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Rice" sheetId="1" state="visible" r:id="rId1"/>
  </sheets>
  <definedNames>
    <definedName name="_xlnm._FilterDatabase" localSheetId="0" hidden="1">'Priority Rice'!$A$2:$I$106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"/>
    <numFmt numFmtId="165" formatCode="dd\.mm\.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9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/>
    </xf>
    <xf numFmtId="164" fontId="4" fillId="2" borderId="79" applyAlignment="1" pivotButton="0" quotePrefix="0" xfId="0">
      <alignment horizontal="center" vertical="center"/>
    </xf>
    <xf numFmtId="0" fontId="4" fillId="2" borderId="79" applyAlignment="1" pivotButton="0" quotePrefix="0" xfId="0">
      <alignment horizontal="center" vertical="bottom"/>
    </xf>
    <xf numFmtId="164" fontId="4" fillId="2" borderId="79" applyAlignment="1" pivotButton="0" quotePrefix="0" xfId="0">
      <alignment horizontal="center" vertical="bottom"/>
    </xf>
    <xf numFmtId="1" fontId="4" fillId="2" borderId="79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165" fontId="4" fillId="2" borderId="79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bottom"/>
    </xf>
    <xf numFmtId="0" fontId="11" fillId="5" borderId="10" applyAlignment="1" pivotButton="0" quotePrefix="0" xfId="0">
      <alignment horizontal="center" vertical="bottom"/>
    </xf>
    <xf numFmtId="165" fontId="11" fillId="5" borderId="1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7.75" customWidth="1" min="4" max="4"/>
    <col width="23" customWidth="1" min="5" max="5"/>
    <col width="12.88" customWidth="1" min="6" max="6"/>
    <col width="6.25" customWidth="1" min="7" max="7"/>
    <col width="11.25" customWidth="1" min="8" max="8"/>
    <col hidden="1" width="28" customWidth="1" min="9" max="9"/>
    <col width="8.630000000000001" customWidth="1" min="10" max="10"/>
  </cols>
  <sheetData>
    <row r="1" ht="45.75" customHeight="1">
      <c r="A1" s="1" t="inlineStr">
        <is>
          <t>THE STATEMENT SHOWING THE PRIORITY LIST OF RICE FRK 2024-25 FOR THE MONTH OF AUGUST-26 – SHED NO 9, 14, 18 AND 20 DATE:- 01.08.26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" customHeight="1">
      <c r="A2" s="3" t="inlineStr">
        <is>
          <t>Sr No.</t>
        </is>
      </c>
      <c r="B2" s="4" t="inlineStr">
        <is>
          <t>Shed No.</t>
        </is>
      </c>
      <c r="C2" s="4" t="inlineStr">
        <is>
          <t>Stack No.</t>
        </is>
      </c>
      <c r="D2" s="5" t="inlineStr">
        <is>
          <t>RDate of Receipt</t>
        </is>
      </c>
      <c r="E2" s="4" t="inlineStr">
        <is>
          <t>Commodity/Crop Year</t>
        </is>
      </c>
      <c r="F2" s="6" t="inlineStr">
        <is>
          <t>Qty(in MT)</t>
        </is>
      </c>
      <c r="G2" s="7" t="inlineStr">
        <is>
          <t>Cat</t>
        </is>
      </c>
      <c r="H2" s="7" t="inlineStr">
        <is>
          <t>Remarks</t>
        </is>
      </c>
      <c r="I2" s="8" t="inlineStr">
        <is>
          <t>Remarks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" customHeight="1">
      <c r="A3" s="9">
        <f>IFERROR(SMALL('Master Stock'!$R$2:$R$99,ROWS($A$3:A3)),"")</f>
        <v/>
      </c>
      <c r="B3" s="10">
        <f t="array" ref="B3">IF($A3="","",INDEX('Master Stock'!$C$2:$C$99,MATCH($A3,'Master Stock'!$R$2:$R$99,0)))</f>
        <v/>
      </c>
      <c r="C3" s="10">
        <f t="array" ref="C3">IF($A3="","",INDEX('Master Stock'!$D$2:$D$99,MATCH($A3,'Master Stock'!$R$2:$R$99,0)))</f>
        <v/>
      </c>
      <c r="D3" s="11">
        <f t="array" ref="D3">IF($A3="","",INDEX('Master Stock'!$B$2:$B$99,MATCH($A3,'Master Stock'!$R$2:$R$99,0)))</f>
        <v/>
      </c>
      <c r="E3" s="10">
        <f t="array" ref="E3">IF($A3="","",INDEX('Master Stock'!$G$2:$G$99,MATCH($A3,'Master Stock'!$R$2:$R$99,0)))</f>
        <v/>
      </c>
      <c r="F3" s="12">
        <f t="array" ref="F3">IF($A3="","",INDEX('Master Stock'!$F$2:$F$99,MATCH($A3,'Master Stock'!$R$2:$R$99,0)))</f>
        <v/>
      </c>
      <c r="G3" s="13" t="inlineStr">
        <is>
          <t>A</t>
        </is>
      </c>
      <c r="H3" s="14" t="n"/>
      <c r="I3" s="11">
        <f>IF($A3="","","FIFO - Oldest Receipt First")</f>
        <v/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" customHeight="1">
      <c r="A4" s="9">
        <f>IFERROR(SMALL('Master Stock'!$R$2:$R$99,ROWS($A$3:A4)),"")</f>
        <v/>
      </c>
      <c r="B4" s="10">
        <f t="array" ref="B4">IF($A4="","",INDEX('Master Stock'!$C$2:$C$99,MATCH($A4,'Master Stock'!$R$2:$R$99,0)))</f>
        <v/>
      </c>
      <c r="C4" s="10">
        <f t="array" ref="C4">IF($A4="","",INDEX('Master Stock'!$D$2:$D$99,MATCH($A4,'Master Stock'!$R$2:$R$99,0)))</f>
        <v/>
      </c>
      <c r="D4" s="11">
        <f t="array" ref="D4">IF($A4="","",INDEX('Master Stock'!$B$2:$B$99,MATCH($A4,'Master Stock'!$R$2:$R$99,0)))</f>
        <v/>
      </c>
      <c r="E4" s="10">
        <f t="array" ref="E4">IF($A4="","",INDEX('Master Stock'!$G$2:$G$99,MATCH($A4,'Master Stock'!$R$2:$R$99,0)))</f>
        <v/>
      </c>
      <c r="F4" s="12">
        <f t="array" ref="F4">IF($A4="","",INDEX('Master Stock'!$F$2:$F$99,MATCH($A4,'Master Stock'!$R$2:$R$99,0)))</f>
        <v/>
      </c>
      <c r="G4" s="13" t="inlineStr">
        <is>
          <t>A</t>
        </is>
      </c>
      <c r="H4" s="14" t="n"/>
      <c r="I4" s="11">
        <f>IF($A4="","","FIFO - Oldest Receipt First")</f>
        <v/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" customHeight="1">
      <c r="A5" s="9">
        <f>IFERROR(SMALL('Master Stock'!$R$2:$R$99,ROWS($A$3:A5)),"")</f>
        <v/>
      </c>
      <c r="B5" s="10">
        <f t="array" ref="B5">IF($A5="","",INDEX('Master Stock'!$C$2:$C$99,MATCH($A5,'Master Stock'!$R$2:$R$99,0)))</f>
        <v/>
      </c>
      <c r="C5" s="10">
        <f t="array" ref="C5">IF($A5="","",INDEX('Master Stock'!$D$2:$D$99,MATCH($A5,'Master Stock'!$R$2:$R$99,0)))</f>
        <v/>
      </c>
      <c r="D5" s="11">
        <f t="array" ref="D5">IF($A5="","",INDEX('Master Stock'!$B$2:$B$99,MATCH($A5,'Master Stock'!$R$2:$R$99,0)))</f>
        <v/>
      </c>
      <c r="E5" s="10">
        <f t="array" ref="E5">IF($A5="","",INDEX('Master Stock'!$G$2:$G$99,MATCH($A5,'Master Stock'!$R$2:$R$99,0)))</f>
        <v/>
      </c>
      <c r="F5" s="12">
        <f t="array" ref="F5">IF($A5="","",INDEX('Master Stock'!$F$2:$F$99,MATCH($A5,'Master Stock'!$R$2:$R$99,0)))</f>
        <v/>
      </c>
      <c r="G5" s="13" t="inlineStr">
        <is>
          <t>A</t>
        </is>
      </c>
      <c r="H5" s="14" t="n"/>
      <c r="I5" s="11">
        <f>IF($A5="","","FIFO - Oldest Receipt First")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" customHeight="1">
      <c r="A6" s="9">
        <f>IFERROR(SMALL('Master Stock'!$R$2:$R$99,ROWS($A$3:A6)),"")</f>
        <v/>
      </c>
      <c r="B6" s="10">
        <f t="array" ref="B6">IF($A6="","",INDEX('Master Stock'!$C$2:$C$99,MATCH($A6,'Master Stock'!$R$2:$R$99,0)))</f>
        <v/>
      </c>
      <c r="C6" s="10">
        <f t="array" ref="C6">IF($A6="","",INDEX('Master Stock'!$D$2:$D$99,MATCH($A6,'Master Stock'!$R$2:$R$99,0)))</f>
        <v/>
      </c>
      <c r="D6" s="11">
        <f t="array" ref="D6">IF($A6="","",INDEX('Master Stock'!$B$2:$B$99,MATCH($A6,'Master Stock'!$R$2:$R$99,0)))</f>
        <v/>
      </c>
      <c r="E6" s="10">
        <f t="array" ref="E6">IF($A6="","",INDEX('Master Stock'!$G$2:$G$99,MATCH($A6,'Master Stock'!$R$2:$R$99,0)))</f>
        <v/>
      </c>
      <c r="F6" s="12">
        <f t="array" ref="F6">IF($A6="","",INDEX('Master Stock'!$F$2:$F$99,MATCH($A6,'Master Stock'!$R$2:$R$99,0)))</f>
        <v/>
      </c>
      <c r="G6" s="13" t="inlineStr">
        <is>
          <t>A</t>
        </is>
      </c>
      <c r="H6" s="14" t="n"/>
      <c r="I6" s="11">
        <f>IF($A6="","","FIFO - Oldest Receipt First")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" customHeight="1">
      <c r="A7" s="9">
        <f>IFERROR(SMALL('Master Stock'!$R$2:$R$99,ROWS($A$3:A7)),"")</f>
        <v/>
      </c>
      <c r="B7" s="10">
        <f t="array" ref="B7">IF($A7="","",INDEX('Master Stock'!$C$2:$C$99,MATCH($A7,'Master Stock'!$R$2:$R$99,0)))</f>
        <v/>
      </c>
      <c r="C7" s="10">
        <f t="array" ref="C7">IF($A7="","",INDEX('Master Stock'!$D$2:$D$99,MATCH($A7,'Master Stock'!$R$2:$R$99,0)))</f>
        <v/>
      </c>
      <c r="D7" s="11">
        <f t="array" ref="D7">IF($A7="","",INDEX('Master Stock'!$B$2:$B$99,MATCH($A7,'Master Stock'!$R$2:$R$99,0)))</f>
        <v/>
      </c>
      <c r="E7" s="10">
        <f t="array" ref="E7">IF($A7="","",INDEX('Master Stock'!$G$2:$G$99,MATCH($A7,'Master Stock'!$R$2:$R$99,0)))</f>
        <v/>
      </c>
      <c r="F7" s="12">
        <f t="array" ref="F7">IF($A7="","",INDEX('Master Stock'!$F$2:$F$99,MATCH($A7,'Master Stock'!$R$2:$R$99,0)))</f>
        <v/>
      </c>
      <c r="G7" s="13" t="inlineStr">
        <is>
          <t>A</t>
        </is>
      </c>
      <c r="H7" s="14" t="n"/>
      <c r="I7" s="11">
        <f>IF($A7="","","FIFO - Oldest Receipt First")</f>
        <v/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" customHeight="1">
      <c r="A8" s="9">
        <f>IFERROR(SMALL('Master Stock'!$R$2:$R$99,ROWS($A$3:A8)),"")</f>
        <v/>
      </c>
      <c r="B8" s="10">
        <f t="array" ref="B8">IF($A8="","",INDEX('Master Stock'!$C$2:$C$99,MATCH($A8,'Master Stock'!$R$2:$R$99,0)))</f>
        <v/>
      </c>
      <c r="C8" s="10">
        <f t="array" ref="C8">IF($A8="","",INDEX('Master Stock'!$D$2:$D$99,MATCH($A8,'Master Stock'!$R$2:$R$99,0)))</f>
        <v/>
      </c>
      <c r="D8" s="11">
        <f t="array" ref="D8">IF($A8="","",INDEX('Master Stock'!$B$2:$B$99,MATCH($A8,'Master Stock'!$R$2:$R$99,0)))</f>
        <v/>
      </c>
      <c r="E8" s="10">
        <f t="array" ref="E8">IF($A8="","",INDEX('Master Stock'!$G$2:$G$99,MATCH($A8,'Master Stock'!$R$2:$R$99,0)))</f>
        <v/>
      </c>
      <c r="F8" s="12">
        <f t="array" ref="F8">IF($A8="","",INDEX('Master Stock'!$F$2:$F$99,MATCH($A8,'Master Stock'!$R$2:$R$99,0)))</f>
        <v/>
      </c>
      <c r="G8" s="13" t="inlineStr">
        <is>
          <t>A</t>
        </is>
      </c>
      <c r="H8" s="14" t="n"/>
      <c r="I8" s="11">
        <f>IF($A8="","","FIFO - Oldest Receipt First")</f>
        <v/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" customHeight="1">
      <c r="A9" s="9">
        <f>IFERROR(SMALL('Master Stock'!$R$2:$R$99,ROWS($A$3:A9)),"")</f>
        <v/>
      </c>
      <c r="B9" s="10">
        <f t="array" ref="B9">IF($A9="","",INDEX('Master Stock'!$C$2:$C$99,MATCH($A9,'Master Stock'!$R$2:$R$99,0)))</f>
        <v/>
      </c>
      <c r="C9" s="10">
        <f t="array" ref="C9">IF($A9="","",INDEX('Master Stock'!$D$2:$D$99,MATCH($A9,'Master Stock'!$R$2:$R$99,0)))</f>
        <v/>
      </c>
      <c r="D9" s="11">
        <f t="array" ref="D9">IF($A9="","",INDEX('Master Stock'!$B$2:$B$99,MATCH($A9,'Master Stock'!$R$2:$R$99,0)))</f>
        <v/>
      </c>
      <c r="E9" s="10">
        <f t="array" ref="E9">IF($A9="","",INDEX('Master Stock'!$G$2:$G$99,MATCH($A9,'Master Stock'!$R$2:$R$99,0)))</f>
        <v/>
      </c>
      <c r="F9" s="12">
        <f t="array" ref="F9">IF($A9="","",INDEX('Master Stock'!$F$2:$F$99,MATCH($A9,'Master Stock'!$R$2:$R$99,0)))</f>
        <v/>
      </c>
      <c r="G9" s="13" t="inlineStr">
        <is>
          <t>A</t>
        </is>
      </c>
      <c r="H9" s="14" t="n"/>
      <c r="I9" s="11">
        <f>IF($A9="","","FIFO - Oldest Receipt First")</f>
        <v/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" customHeight="1">
      <c r="A10" s="9">
        <f>IFERROR(SMALL('Master Stock'!$R$2:$R$99,ROWS($A$3:A10)),"")</f>
        <v/>
      </c>
      <c r="B10" s="10">
        <f t="array" ref="B10">IF($A10="","",INDEX('Master Stock'!$C$2:$C$99,MATCH($A10,'Master Stock'!$R$2:$R$99,0)))</f>
        <v/>
      </c>
      <c r="C10" s="10">
        <f t="array" ref="C10">IF($A10="","",INDEX('Master Stock'!$D$2:$D$99,MATCH($A10,'Master Stock'!$R$2:$R$99,0)))</f>
        <v/>
      </c>
      <c r="D10" s="11">
        <f t="array" ref="D10">IF($A10="","",INDEX('Master Stock'!$B$2:$B$99,MATCH($A10,'Master Stock'!$R$2:$R$99,0)))</f>
        <v/>
      </c>
      <c r="E10" s="10">
        <f t="array" ref="E10">IF($A10="","",INDEX('Master Stock'!$G$2:$G$99,MATCH($A10,'Master Stock'!$R$2:$R$99,0)))</f>
        <v/>
      </c>
      <c r="F10" s="12">
        <f t="array" ref="F10">IF($A10="","",INDEX('Master Stock'!$F$2:$F$99,MATCH($A10,'Master Stock'!$R$2:$R$99,0)))</f>
        <v/>
      </c>
      <c r="G10" s="13" t="inlineStr">
        <is>
          <t>A</t>
        </is>
      </c>
      <c r="H10" s="14" t="n"/>
      <c r="I10" s="11">
        <f>IF($A10="","","FIFO - Oldest Receipt First")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" customHeight="1">
      <c r="A11" s="9">
        <f>IFERROR(SMALL('Master Stock'!$R$2:$R$99,ROWS($A$3:A11)),"")</f>
        <v/>
      </c>
      <c r="B11" s="10">
        <f t="array" ref="B11">IF($A11="","",INDEX('Master Stock'!$C$2:$C$99,MATCH($A11,'Master Stock'!$R$2:$R$99,0)))</f>
        <v/>
      </c>
      <c r="C11" s="10">
        <f t="array" ref="C11">IF($A11="","",INDEX('Master Stock'!$D$2:$D$99,MATCH($A11,'Master Stock'!$R$2:$R$99,0)))</f>
        <v/>
      </c>
      <c r="D11" s="11">
        <f t="array" ref="D11">IF($A11="","",INDEX('Master Stock'!$B$2:$B$99,MATCH($A11,'Master Stock'!$R$2:$R$99,0)))</f>
        <v/>
      </c>
      <c r="E11" s="10">
        <f t="array" ref="E11">IF($A11="","",INDEX('Master Stock'!$G$2:$G$99,MATCH($A11,'Master Stock'!$R$2:$R$99,0)))</f>
        <v/>
      </c>
      <c r="F11" s="12">
        <f t="array" ref="F11">IF($A11="","",INDEX('Master Stock'!$F$2:$F$99,MATCH($A11,'Master Stock'!$R$2:$R$99,0)))</f>
        <v/>
      </c>
      <c r="G11" s="13" t="inlineStr">
        <is>
          <t>A</t>
        </is>
      </c>
      <c r="H11" s="14" t="n"/>
      <c r="I11" s="11">
        <f>IF($A11="","","FIFO - Oldest Receipt First")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" customHeight="1">
      <c r="A12" s="9">
        <f>IFERROR(SMALL('Master Stock'!$R$2:$R$99,ROWS($A$3:A12)),"")</f>
        <v/>
      </c>
      <c r="B12" s="10">
        <f t="array" ref="B12">IF($A12="","",INDEX('Master Stock'!$C$2:$C$99,MATCH($A12,'Master Stock'!$R$2:$R$99,0)))</f>
        <v/>
      </c>
      <c r="C12" s="10">
        <f t="array" ref="C12">IF($A12="","",INDEX('Master Stock'!$D$2:$D$99,MATCH($A12,'Master Stock'!$R$2:$R$99,0)))</f>
        <v/>
      </c>
      <c r="D12" s="11">
        <f t="array" ref="D12">IF($A12="","",INDEX('Master Stock'!$B$2:$B$99,MATCH($A12,'Master Stock'!$R$2:$R$99,0)))</f>
        <v/>
      </c>
      <c r="E12" s="10">
        <f t="array" ref="E12">IF($A12="","",INDEX('Master Stock'!$G$2:$G$99,MATCH($A12,'Master Stock'!$R$2:$R$99,0)))</f>
        <v/>
      </c>
      <c r="F12" s="12">
        <f t="array" ref="F12">IF($A12="","",INDEX('Master Stock'!$F$2:$F$99,MATCH($A12,'Master Stock'!$R$2:$R$99,0)))</f>
        <v/>
      </c>
      <c r="G12" s="13" t="inlineStr">
        <is>
          <t>A</t>
        </is>
      </c>
      <c r="H12" s="14" t="n"/>
      <c r="I12" s="11">
        <f>IF($A12="","","FIFO - Oldest Receipt First")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" customHeight="1">
      <c r="A13" s="9">
        <f>IFERROR(SMALL('Master Stock'!$R$2:$R$99,ROWS($A$3:A13)),"")</f>
        <v/>
      </c>
      <c r="B13" s="10">
        <f t="array" ref="B13">IF($A13="","",INDEX('Master Stock'!$C$2:$C$99,MATCH($A13,'Master Stock'!$R$2:$R$99,0)))</f>
        <v/>
      </c>
      <c r="C13" s="10">
        <f t="array" ref="C13">IF($A13="","",INDEX('Master Stock'!$D$2:$D$99,MATCH($A13,'Master Stock'!$R$2:$R$99,0)))</f>
        <v/>
      </c>
      <c r="D13" s="11">
        <f t="array" ref="D13">IF($A13="","",INDEX('Master Stock'!$B$2:$B$99,MATCH($A13,'Master Stock'!$R$2:$R$99,0)))</f>
        <v/>
      </c>
      <c r="E13" s="10">
        <f t="array" ref="E13">IF($A13="","",INDEX('Master Stock'!$G$2:$G$99,MATCH($A13,'Master Stock'!$R$2:$R$99,0)))</f>
        <v/>
      </c>
      <c r="F13" s="12">
        <f t="array" ref="F13">IF($A13="","",INDEX('Master Stock'!$F$2:$F$99,MATCH($A13,'Master Stock'!$R$2:$R$99,0)))</f>
        <v/>
      </c>
      <c r="G13" s="13" t="inlineStr">
        <is>
          <t>A</t>
        </is>
      </c>
      <c r="H13" s="14" t="n"/>
      <c r="I13" s="11">
        <f>IF($A13="","","FIFO - Oldest Receipt First")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" customHeight="1">
      <c r="A14" s="9">
        <f>IFERROR(SMALL('Master Stock'!$R$2:$R$99,ROWS($A$3:A14)),"")</f>
        <v/>
      </c>
      <c r="B14" s="10">
        <f t="array" ref="B14">IF($A14="","",INDEX('Master Stock'!$C$2:$C$99,MATCH($A14,'Master Stock'!$R$2:$R$99,0)))</f>
        <v/>
      </c>
      <c r="C14" s="10">
        <f t="array" ref="C14">IF($A14="","",INDEX('Master Stock'!$D$2:$D$99,MATCH($A14,'Master Stock'!$R$2:$R$99,0)))</f>
        <v/>
      </c>
      <c r="D14" s="11">
        <f t="array" ref="D14">IF($A14="","",INDEX('Master Stock'!$B$2:$B$99,MATCH($A14,'Master Stock'!$R$2:$R$99,0)))</f>
        <v/>
      </c>
      <c r="E14" s="10">
        <f t="array" ref="E14">IF($A14="","",INDEX('Master Stock'!$G$2:$G$99,MATCH($A14,'Master Stock'!$R$2:$R$99,0)))</f>
        <v/>
      </c>
      <c r="F14" s="12">
        <f t="array" ref="F14">IF($A14="","",INDEX('Master Stock'!$F$2:$F$99,MATCH($A14,'Master Stock'!$R$2:$R$99,0)))</f>
        <v/>
      </c>
      <c r="G14" s="13" t="inlineStr">
        <is>
          <t>A</t>
        </is>
      </c>
      <c r="H14" s="14" t="n"/>
      <c r="I14" s="11">
        <f>IF($A14="","","FIFO - Oldest Receipt First")</f>
        <v/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" customHeight="1">
      <c r="A15" s="9">
        <f>IFERROR(SMALL('Master Stock'!$R$2:$R$99,ROWS($A$3:A15)),"")</f>
        <v/>
      </c>
      <c r="B15" s="10">
        <f t="array" ref="B15">IF($A15="","",INDEX('Master Stock'!$C$2:$C$99,MATCH($A15,'Master Stock'!$R$2:$R$99,0)))</f>
        <v/>
      </c>
      <c r="C15" s="10">
        <f t="array" ref="C15">IF($A15="","",INDEX('Master Stock'!$D$2:$D$99,MATCH($A15,'Master Stock'!$R$2:$R$99,0)))</f>
        <v/>
      </c>
      <c r="D15" s="11">
        <f t="array" ref="D15">IF($A15="","",INDEX('Master Stock'!$B$2:$B$99,MATCH($A15,'Master Stock'!$R$2:$R$99,0)))</f>
        <v/>
      </c>
      <c r="E15" s="10">
        <f t="array" ref="E15">IF($A15="","",INDEX('Master Stock'!$G$2:$G$99,MATCH($A15,'Master Stock'!$R$2:$R$99,0)))</f>
        <v/>
      </c>
      <c r="F15" s="12">
        <f t="array" ref="F15">IF($A15="","",INDEX('Master Stock'!$F$2:$F$99,MATCH($A15,'Master Stock'!$R$2:$R$99,0)))</f>
        <v/>
      </c>
      <c r="G15" s="13" t="inlineStr">
        <is>
          <t>A</t>
        </is>
      </c>
      <c r="H15" s="14" t="n"/>
      <c r="I15" s="11">
        <f>IF($A15="","","FIFO - Oldest Receipt First")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" customHeight="1">
      <c r="A16" s="9">
        <f>IFERROR(SMALL('Master Stock'!$R$2:$R$99,ROWS($A$3:A16)),"")</f>
        <v/>
      </c>
      <c r="B16" s="10">
        <f t="array" ref="B16">IF($A16="","",INDEX('Master Stock'!$C$2:$C$99,MATCH($A16,'Master Stock'!$R$2:$R$99,0)))</f>
        <v/>
      </c>
      <c r="C16" s="10">
        <f t="array" ref="C16">IF($A16="","",INDEX('Master Stock'!$D$2:$D$99,MATCH($A16,'Master Stock'!$R$2:$R$99,0)))</f>
        <v/>
      </c>
      <c r="D16" s="11">
        <f t="array" ref="D16">IF($A16="","",INDEX('Master Stock'!$B$2:$B$99,MATCH($A16,'Master Stock'!$R$2:$R$99,0)))</f>
        <v/>
      </c>
      <c r="E16" s="10">
        <f t="array" ref="E16">IF($A16="","",INDEX('Master Stock'!$G$2:$G$99,MATCH($A16,'Master Stock'!$R$2:$R$99,0)))</f>
        <v/>
      </c>
      <c r="F16" s="12">
        <f t="array" ref="F16">IF($A16="","",INDEX('Master Stock'!$F$2:$F$99,MATCH($A16,'Master Stock'!$R$2:$R$99,0)))</f>
        <v/>
      </c>
      <c r="G16" s="13" t="inlineStr">
        <is>
          <t>A</t>
        </is>
      </c>
      <c r="H16" s="14" t="n"/>
      <c r="I16" s="11">
        <f>IF($A16="","","FIFO - Oldest Receipt First")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" customHeight="1">
      <c r="A17" s="9">
        <f>IFERROR(SMALL('Master Stock'!$R$2:$R$99,ROWS($A$3:A17)),"")</f>
        <v/>
      </c>
      <c r="B17" s="10">
        <f t="array" ref="B17">IF($A17="","",INDEX('Master Stock'!$C$2:$C$99,MATCH($A17,'Master Stock'!$R$2:$R$99,0)))</f>
        <v/>
      </c>
      <c r="C17" s="10">
        <f t="array" ref="C17">IF($A17="","",INDEX('Master Stock'!$D$2:$D$99,MATCH($A17,'Master Stock'!$R$2:$R$99,0)))</f>
        <v/>
      </c>
      <c r="D17" s="11">
        <f t="array" ref="D17">IF($A17="","",INDEX('Master Stock'!$B$2:$B$99,MATCH($A17,'Master Stock'!$R$2:$R$99,0)))</f>
        <v/>
      </c>
      <c r="E17" s="10">
        <f t="array" ref="E17">IF($A17="","",INDEX('Master Stock'!$G$2:$G$99,MATCH($A17,'Master Stock'!$R$2:$R$99,0)))</f>
        <v/>
      </c>
      <c r="F17" s="12">
        <f t="array" ref="F17">IF($A17="","",INDEX('Master Stock'!$F$2:$F$99,MATCH($A17,'Master Stock'!$R$2:$R$99,0)))</f>
        <v/>
      </c>
      <c r="G17" s="13" t="inlineStr">
        <is>
          <t>A</t>
        </is>
      </c>
      <c r="H17" s="14" t="n"/>
      <c r="I17" s="11">
        <f>IF($A17="","","FIFO - Oldest Receipt First")</f>
        <v/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" customHeight="1">
      <c r="A18" s="9">
        <f>IFERROR(SMALL('Master Stock'!$R$2:$R$99,ROWS($A$3:A18)),"")</f>
        <v/>
      </c>
      <c r="B18" s="10">
        <f t="array" ref="B18">IF($A18="","",INDEX('Master Stock'!$C$2:$C$99,MATCH($A18,'Master Stock'!$R$2:$R$99,0)))</f>
        <v/>
      </c>
      <c r="C18" s="10">
        <f t="array" ref="C18">IF($A18="","",INDEX('Master Stock'!$D$2:$D$99,MATCH($A18,'Master Stock'!$R$2:$R$99,0)))</f>
        <v/>
      </c>
      <c r="D18" s="11">
        <f t="array" ref="D18">IF($A18="","",INDEX('Master Stock'!$B$2:$B$99,MATCH($A18,'Master Stock'!$R$2:$R$99,0)))</f>
        <v/>
      </c>
      <c r="E18" s="10">
        <f t="array" ref="E18">IF($A18="","",INDEX('Master Stock'!$G$2:$G$99,MATCH($A18,'Master Stock'!$R$2:$R$99,0)))</f>
        <v/>
      </c>
      <c r="F18" s="12">
        <f t="array" ref="F18">IF($A18="","",INDEX('Master Stock'!$F$2:$F$99,MATCH($A18,'Master Stock'!$R$2:$R$99,0)))</f>
        <v/>
      </c>
      <c r="G18" s="13" t="inlineStr">
        <is>
          <t>A</t>
        </is>
      </c>
      <c r="H18" s="14" t="n"/>
      <c r="I18" s="11">
        <f>IF($A18="","","FIFO - Oldest Receipt First")</f>
        <v/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" customHeight="1">
      <c r="A19" s="9">
        <f>IFERROR(SMALL('Master Stock'!$R$2:$R$99,ROWS($A$3:A19)),"")</f>
        <v/>
      </c>
      <c r="B19" s="10">
        <f t="array" ref="B19">IF($A19="","",INDEX('Master Stock'!$C$2:$C$99,MATCH($A19,'Master Stock'!$R$2:$R$99,0)))</f>
        <v/>
      </c>
      <c r="C19" s="10">
        <f t="array" ref="C19">IF($A19="","",INDEX('Master Stock'!$D$2:$D$99,MATCH($A19,'Master Stock'!$R$2:$R$99,0)))</f>
        <v/>
      </c>
      <c r="D19" s="11">
        <f t="array" ref="D19">IF($A19="","",INDEX('Master Stock'!$B$2:$B$99,MATCH($A19,'Master Stock'!$R$2:$R$99,0)))</f>
        <v/>
      </c>
      <c r="E19" s="10">
        <f t="array" ref="E19">IF($A19="","",INDEX('Master Stock'!$G$2:$G$99,MATCH($A19,'Master Stock'!$R$2:$R$99,0)))</f>
        <v/>
      </c>
      <c r="F19" s="12">
        <f t="array" ref="F19">IF($A19="","",INDEX('Master Stock'!$F$2:$F$99,MATCH($A19,'Master Stock'!$R$2:$R$99,0)))</f>
        <v/>
      </c>
      <c r="G19" s="13" t="inlineStr">
        <is>
          <t>A</t>
        </is>
      </c>
      <c r="H19" s="14" t="n"/>
      <c r="I19" s="11">
        <f>IF($A19="","","FIFO - Oldest Receipt First")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" customHeight="1">
      <c r="A20" s="9">
        <f>IFERROR(SMALL('Master Stock'!$R$2:$R$99,ROWS($A$3:A20)),"")</f>
        <v/>
      </c>
      <c r="B20" s="10">
        <f t="array" ref="B20">IF($A20="","",INDEX('Master Stock'!$C$2:$C$99,MATCH($A20,'Master Stock'!$R$2:$R$99,0)))</f>
        <v/>
      </c>
      <c r="C20" s="10">
        <f t="array" ref="C20">IF($A20="","",INDEX('Master Stock'!$D$2:$D$99,MATCH($A20,'Master Stock'!$R$2:$R$99,0)))</f>
        <v/>
      </c>
      <c r="D20" s="11">
        <f t="array" ref="D20">IF($A20="","",INDEX('Master Stock'!$B$2:$B$99,MATCH($A20,'Master Stock'!$R$2:$R$99,0)))</f>
        <v/>
      </c>
      <c r="E20" s="10">
        <f t="array" ref="E20">IF($A20="","",INDEX('Master Stock'!$G$2:$G$99,MATCH($A20,'Master Stock'!$R$2:$R$99,0)))</f>
        <v/>
      </c>
      <c r="F20" s="12">
        <f t="array" ref="F20">IF($A20="","",INDEX('Master Stock'!$F$2:$F$99,MATCH($A20,'Master Stock'!$R$2:$R$99,0)))</f>
        <v/>
      </c>
      <c r="G20" s="13" t="inlineStr">
        <is>
          <t>A</t>
        </is>
      </c>
      <c r="H20" s="14" t="n"/>
      <c r="I20" s="11">
        <f>IF($A20="","","FIFO - Oldest Receipt First")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" customHeight="1">
      <c r="A21" s="9">
        <f>IFERROR(SMALL('Master Stock'!$R$2:$R$99,ROWS($A$3:A21)),"")</f>
        <v/>
      </c>
      <c r="B21" s="10">
        <f t="array" ref="B21">IF($A21="","",INDEX('Master Stock'!$C$2:$C$99,MATCH($A21,'Master Stock'!$R$2:$R$99,0)))</f>
        <v/>
      </c>
      <c r="C21" s="10">
        <f t="array" ref="C21">IF($A21="","",INDEX('Master Stock'!$D$2:$D$99,MATCH($A21,'Master Stock'!$R$2:$R$99,0)))</f>
        <v/>
      </c>
      <c r="D21" s="11">
        <f t="array" ref="D21">IF($A21="","",INDEX('Master Stock'!$B$2:$B$99,MATCH($A21,'Master Stock'!$R$2:$R$99,0)))</f>
        <v/>
      </c>
      <c r="E21" s="10">
        <f t="array" ref="E21">IF($A21="","",INDEX('Master Stock'!$G$2:$G$99,MATCH($A21,'Master Stock'!$R$2:$R$99,0)))</f>
        <v/>
      </c>
      <c r="F21" s="12">
        <f t="array" ref="F21">IF($A21="","",INDEX('Master Stock'!$F$2:$F$99,MATCH($A21,'Master Stock'!$R$2:$R$99,0)))</f>
        <v/>
      </c>
      <c r="G21" s="13" t="inlineStr">
        <is>
          <t>A</t>
        </is>
      </c>
      <c r="H21" s="14" t="n"/>
      <c r="I21" s="11">
        <f>IF($A21="","","FIFO - Oldest Receipt First")</f>
        <v/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" customHeight="1">
      <c r="A22" s="9">
        <f>IFERROR(SMALL('Master Stock'!$R$2:$R$99,ROWS($A$3:A22)),"")</f>
        <v/>
      </c>
      <c r="B22" s="10">
        <f t="array" ref="B22">IF($A22="","",INDEX('Master Stock'!$C$2:$C$99,MATCH($A22,'Master Stock'!$R$2:$R$99,0)))</f>
        <v/>
      </c>
      <c r="C22" s="10">
        <f t="array" ref="C22">IF($A22="","",INDEX('Master Stock'!$D$2:$D$99,MATCH($A22,'Master Stock'!$R$2:$R$99,0)))</f>
        <v/>
      </c>
      <c r="D22" s="11">
        <f t="array" ref="D22">IF($A22="","",INDEX('Master Stock'!$B$2:$B$99,MATCH($A22,'Master Stock'!$R$2:$R$99,0)))</f>
        <v/>
      </c>
      <c r="E22" s="10">
        <f t="array" ref="E22">IF($A22="","",INDEX('Master Stock'!$G$2:$G$99,MATCH($A22,'Master Stock'!$R$2:$R$99,0)))</f>
        <v/>
      </c>
      <c r="F22" s="12">
        <f t="array" ref="F22">IF($A22="","",INDEX('Master Stock'!$F$2:$F$99,MATCH($A22,'Master Stock'!$R$2:$R$99,0)))</f>
        <v/>
      </c>
      <c r="G22" s="13" t="inlineStr">
        <is>
          <t>A</t>
        </is>
      </c>
      <c r="H22" s="14" t="n"/>
      <c r="I22" s="11">
        <f>IF($A22="","","FIFO - Oldest Receipt First")</f>
        <v/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" customHeight="1">
      <c r="A23" s="9">
        <f>IFERROR(SMALL('Master Stock'!$R$2:$R$99,ROWS($A$3:A23)),"")</f>
        <v/>
      </c>
      <c r="B23" s="10">
        <f t="array" ref="B23">IF($A23="","",INDEX('Master Stock'!$C$2:$C$99,MATCH($A23,'Master Stock'!$R$2:$R$99,0)))</f>
        <v/>
      </c>
      <c r="C23" s="10">
        <f t="array" ref="C23">IF($A23="","",INDEX('Master Stock'!$D$2:$D$99,MATCH($A23,'Master Stock'!$R$2:$R$99,0)))</f>
        <v/>
      </c>
      <c r="D23" s="11">
        <f t="array" ref="D23">IF($A23="","",INDEX('Master Stock'!$B$2:$B$99,MATCH($A23,'Master Stock'!$R$2:$R$99,0)))</f>
        <v/>
      </c>
      <c r="E23" s="10">
        <f t="array" ref="E23">IF($A23="","",INDEX('Master Stock'!$G$2:$G$99,MATCH($A23,'Master Stock'!$R$2:$R$99,0)))</f>
        <v/>
      </c>
      <c r="F23" s="12">
        <f t="array" ref="F23">IF($A23="","",INDEX('Master Stock'!$F$2:$F$99,MATCH($A23,'Master Stock'!$R$2:$R$99,0)))</f>
        <v/>
      </c>
      <c r="G23" s="13" t="inlineStr">
        <is>
          <t>A</t>
        </is>
      </c>
      <c r="H23" s="14" t="n"/>
      <c r="I23" s="11">
        <f>IF($A23="","","FIFO - Oldest Receipt First")</f>
        <v/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" customHeight="1">
      <c r="A24" s="9">
        <f>IFERROR(SMALL('Master Stock'!$R$2:$R$99,ROWS($A$3:A24)),"")</f>
        <v/>
      </c>
      <c r="B24" s="10">
        <f t="array" ref="B24">IF($A24="","",INDEX('Master Stock'!$C$2:$C$99,MATCH($A24,'Master Stock'!$R$2:$R$99,0)))</f>
        <v/>
      </c>
      <c r="C24" s="10">
        <f t="array" ref="C24">IF($A24="","",INDEX('Master Stock'!$D$2:$D$99,MATCH($A24,'Master Stock'!$R$2:$R$99,0)))</f>
        <v/>
      </c>
      <c r="D24" s="11">
        <f t="array" ref="D24">IF($A24="","",INDEX('Master Stock'!$B$2:$B$99,MATCH($A24,'Master Stock'!$R$2:$R$99,0)))</f>
        <v/>
      </c>
      <c r="E24" s="10">
        <f t="array" ref="E24">IF($A24="","",INDEX('Master Stock'!$G$2:$G$99,MATCH($A24,'Master Stock'!$R$2:$R$99,0)))</f>
        <v/>
      </c>
      <c r="F24" s="12">
        <f t="array" ref="F24">IF($A24="","",INDEX('Master Stock'!$F$2:$F$99,MATCH($A24,'Master Stock'!$R$2:$R$99,0)))</f>
        <v/>
      </c>
      <c r="G24" s="13" t="inlineStr">
        <is>
          <t>A</t>
        </is>
      </c>
      <c r="H24" s="14" t="n"/>
      <c r="I24" s="11">
        <f>IF($A24="","","FIFO - Oldest Receipt First")</f>
        <v/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" customHeight="1">
      <c r="A25" s="9">
        <f>IFERROR(SMALL('Master Stock'!$R$2:$R$99,ROWS($A$3:A25)),"")</f>
        <v/>
      </c>
      <c r="B25" s="10">
        <f t="array" ref="B25">IF($A25="","",INDEX('Master Stock'!$C$2:$C$99,MATCH($A25,'Master Stock'!$R$2:$R$99,0)))</f>
        <v/>
      </c>
      <c r="C25" s="10">
        <f t="array" ref="C25">IF($A25="","",INDEX('Master Stock'!$D$2:$D$99,MATCH($A25,'Master Stock'!$R$2:$R$99,0)))</f>
        <v/>
      </c>
      <c r="D25" s="11">
        <f t="array" ref="D25">IF($A25="","",INDEX('Master Stock'!$B$2:$B$99,MATCH($A25,'Master Stock'!$R$2:$R$99,0)))</f>
        <v/>
      </c>
      <c r="E25" s="10">
        <f t="array" ref="E25">IF($A25="","",INDEX('Master Stock'!$G$2:$G$99,MATCH($A25,'Master Stock'!$R$2:$R$99,0)))</f>
        <v/>
      </c>
      <c r="F25" s="12">
        <f t="array" ref="F25">IF($A25="","",INDEX('Master Stock'!$F$2:$F$99,MATCH($A25,'Master Stock'!$R$2:$R$99,0)))</f>
        <v/>
      </c>
      <c r="G25" s="13" t="inlineStr">
        <is>
          <t>A</t>
        </is>
      </c>
      <c r="H25" s="14" t="n"/>
      <c r="I25" s="11">
        <f>IF($A25="","","FIFO - Oldest Receipt First")</f>
        <v/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" customHeight="1">
      <c r="A26" s="9">
        <f>IFERROR(SMALL('Master Stock'!$R$2:$R$99,ROWS($A$3:A26)),"")</f>
        <v/>
      </c>
      <c r="B26" s="10">
        <f t="array" ref="B26">IF($A26="","",INDEX('Master Stock'!$C$2:$C$99,MATCH($A26,'Master Stock'!$R$2:$R$99,0)))</f>
        <v/>
      </c>
      <c r="C26" s="10">
        <f t="array" ref="C26">IF($A26="","",INDEX('Master Stock'!$D$2:$D$99,MATCH($A26,'Master Stock'!$R$2:$R$99,0)))</f>
        <v/>
      </c>
      <c r="D26" s="11">
        <f t="array" ref="D26">IF($A26="","",INDEX('Master Stock'!$B$2:$B$99,MATCH($A26,'Master Stock'!$R$2:$R$99,0)))</f>
        <v/>
      </c>
      <c r="E26" s="10">
        <f t="array" ref="E26">IF($A26="","",INDEX('Master Stock'!$G$2:$G$99,MATCH($A26,'Master Stock'!$R$2:$R$99,0)))</f>
        <v/>
      </c>
      <c r="F26" s="12">
        <f t="array" ref="F26">IF($A26="","",INDEX('Master Stock'!$F$2:$F$99,MATCH($A26,'Master Stock'!$R$2:$R$99,0)))</f>
        <v/>
      </c>
      <c r="G26" s="13" t="inlineStr">
        <is>
          <t>A</t>
        </is>
      </c>
      <c r="H26" s="14" t="n"/>
      <c r="I26" s="11">
        <f>IF($A26="","","FIFO - Oldest Receipt First")</f>
        <v/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" customHeight="1">
      <c r="A27" s="9">
        <f>IFERROR(SMALL('Master Stock'!$R$2:$R$99,ROWS($A$3:A27)),"")</f>
        <v/>
      </c>
      <c r="B27" s="10">
        <f t="array" ref="B27">IF($A27="","",INDEX('Master Stock'!$C$2:$C$99,MATCH($A27,'Master Stock'!$R$2:$R$99,0)))</f>
        <v/>
      </c>
      <c r="C27" s="10">
        <f t="array" ref="C27">IF($A27="","",INDEX('Master Stock'!$D$2:$D$99,MATCH($A27,'Master Stock'!$R$2:$R$99,0)))</f>
        <v/>
      </c>
      <c r="D27" s="11">
        <f t="array" ref="D27">IF($A27="","",INDEX('Master Stock'!$B$2:$B$99,MATCH($A27,'Master Stock'!$R$2:$R$99,0)))</f>
        <v/>
      </c>
      <c r="E27" s="10">
        <f t="array" ref="E27">IF($A27="","",INDEX('Master Stock'!$G$2:$G$99,MATCH($A27,'Master Stock'!$R$2:$R$99,0)))</f>
        <v/>
      </c>
      <c r="F27" s="12">
        <f t="array" ref="F27">IF($A27="","",INDEX('Master Stock'!$F$2:$F$99,MATCH($A27,'Master Stock'!$R$2:$R$99,0)))</f>
        <v/>
      </c>
      <c r="G27" s="13" t="inlineStr">
        <is>
          <t>A</t>
        </is>
      </c>
      <c r="H27" s="14" t="n"/>
      <c r="I27" s="11">
        <f>IF($A27="","","FIFO - Oldest Receipt First")</f>
        <v/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" customHeight="1">
      <c r="A28" s="9">
        <f>IFERROR(SMALL('Master Stock'!$R$2:$R$99,ROWS($A$3:A28)),"")</f>
        <v/>
      </c>
      <c r="B28" s="10">
        <f t="array" ref="B28">IF($A28="","",INDEX('Master Stock'!$C$2:$C$99,MATCH($A28,'Master Stock'!$R$2:$R$99,0)))</f>
        <v/>
      </c>
      <c r="C28" s="10">
        <f t="array" ref="C28">IF($A28="","",INDEX('Master Stock'!$D$2:$D$99,MATCH($A28,'Master Stock'!$R$2:$R$99,0)))</f>
        <v/>
      </c>
      <c r="D28" s="11">
        <f t="array" ref="D28">IF($A28="","",INDEX('Master Stock'!$B$2:$B$99,MATCH($A28,'Master Stock'!$R$2:$R$99,0)))</f>
        <v/>
      </c>
      <c r="E28" s="10">
        <f t="array" ref="E28">IF($A28="","",INDEX('Master Stock'!$G$2:$G$99,MATCH($A28,'Master Stock'!$R$2:$R$99,0)))</f>
        <v/>
      </c>
      <c r="F28" s="12">
        <f t="array" ref="F28">IF($A28="","",INDEX('Master Stock'!$F$2:$F$99,MATCH($A28,'Master Stock'!$R$2:$R$99,0)))</f>
        <v/>
      </c>
      <c r="G28" s="13" t="n"/>
      <c r="H28" s="14" t="n"/>
      <c r="I28" s="11">
        <f>IF($A28="","","FIFO - Oldest Receipt First")</f>
        <v/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" customHeight="1">
      <c r="A29" s="9">
        <f>IFERROR(SMALL('Master Stock'!$R$2:$R$99,ROWS($A$3:A29)),"")</f>
        <v/>
      </c>
      <c r="B29" s="10">
        <f t="array" ref="B29">IF($A29="","",INDEX('Master Stock'!$C$2:$C$99,MATCH($A29,'Master Stock'!$R$2:$R$99,0)))</f>
        <v/>
      </c>
      <c r="C29" s="10">
        <f t="array" ref="C29">IF($A29="","",INDEX('Master Stock'!$D$2:$D$99,MATCH($A29,'Master Stock'!$R$2:$R$99,0)))</f>
        <v/>
      </c>
      <c r="D29" s="11">
        <f t="array" ref="D29">IF($A29="","",INDEX('Master Stock'!$B$2:$B$99,MATCH($A29,'Master Stock'!$R$2:$R$99,0)))</f>
        <v/>
      </c>
      <c r="E29" s="10">
        <f t="array" ref="E29">IF($A29="","",INDEX('Master Stock'!$G$2:$G$99,MATCH($A29,'Master Stock'!$R$2:$R$99,0)))</f>
        <v/>
      </c>
      <c r="F29" s="12">
        <f t="array" ref="F29">IF($A29="","",INDEX('Master Stock'!$F$2:$F$99,MATCH($A29,'Master Stock'!$R$2:$R$99,0)))</f>
        <v/>
      </c>
      <c r="G29" s="13" t="n"/>
      <c r="H29" s="14" t="n"/>
      <c r="I29" s="11">
        <f>IF($A29="","","FIFO - Oldest Receipt First")</f>
        <v/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" customHeight="1">
      <c r="A30" s="15">
        <f>IFERROR(SMALL('Master Stock'!$R$2:$R$99,ROWS($A$3:A30)),"")</f>
        <v/>
      </c>
      <c r="B30" s="16">
        <f t="array" ref="B30">IF($A30="","",INDEX('Master Stock'!$C$2:$C$99,MATCH($A30,'Master Stock'!$R$2:$R$99,0)))</f>
        <v/>
      </c>
      <c r="C30" s="16">
        <f t="array" ref="C30">IF($A30="","",INDEX('Master Stock'!$D$2:$D$99,MATCH($A30,'Master Stock'!$R$2:$R$99,0)))</f>
        <v/>
      </c>
      <c r="D30" s="17">
        <f t="array" ref="D30">IF($A30="","",INDEX('Master Stock'!$B$2:$B$99,MATCH($A30,'Master Stock'!$R$2:$R$99,0)))</f>
        <v/>
      </c>
      <c r="E30" s="16">
        <f t="array" ref="E30">IF($A30="","",INDEX('Master Stock'!$G$2:$G$99,MATCH($A30,'Master Stock'!$R$2:$R$99,0)))</f>
        <v/>
      </c>
      <c r="F30" s="18">
        <f t="array" ref="F30">IF($A30="","",INDEX('Master Stock'!$F$2:$F$99,MATCH($A30,'Master Stock'!$R$2:$R$99,0)))</f>
        <v/>
      </c>
      <c r="G30" s="7">
        <f>IF($A30="","","Rice / FRK RRA")</f>
        <v/>
      </c>
      <c r="H30" s="19" t="n"/>
      <c r="I30" s="17">
        <f>IF($A30="","","FIFO - Oldest Receipt First")</f>
        <v/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" customHeight="1">
      <c r="A31" s="15">
        <f>IFERROR(SMALL('Master Stock'!$R$2:$R$99,ROWS($A$3:A31)),"")</f>
        <v/>
      </c>
      <c r="B31" s="16">
        <f t="array" ref="B31">IF($A31="","",INDEX('Master Stock'!$C$2:$C$99,MATCH($A31,'Master Stock'!$R$2:$R$99,0)))</f>
        <v/>
      </c>
      <c r="C31" s="16">
        <f t="array" ref="C31">IF($A31="","",INDEX('Master Stock'!$D$2:$D$99,MATCH($A31,'Master Stock'!$R$2:$R$99,0)))</f>
        <v/>
      </c>
      <c r="D31" s="17">
        <f t="array" ref="D31">IF($A31="","",INDEX('Master Stock'!$B$2:$B$99,MATCH($A31,'Master Stock'!$R$2:$R$99,0)))</f>
        <v/>
      </c>
      <c r="E31" s="16">
        <f t="array" ref="E31">IF($A31="","",INDEX('Master Stock'!$G$2:$G$99,MATCH($A31,'Master Stock'!$R$2:$R$99,0)))</f>
        <v/>
      </c>
      <c r="F31" s="18">
        <f t="array" ref="F31">IF($A31="","",INDEX('Master Stock'!$F$2:$F$99,MATCH($A31,'Master Stock'!$R$2:$R$99,0)))</f>
        <v/>
      </c>
      <c r="G31" s="7">
        <f>IF($A31="","","Rice / FRK RRA")</f>
        <v/>
      </c>
      <c r="H31" s="19" t="n"/>
      <c r="I31" s="17">
        <f>IF($A31="","","FIFO - Oldest Receipt First")</f>
        <v/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" customHeight="1">
      <c r="A32" s="15">
        <f>IFERROR(SMALL('Master Stock'!$R$2:$R$99,ROWS($A$3:A32)),"")</f>
        <v/>
      </c>
      <c r="B32" s="16">
        <f t="array" ref="B32">IF($A32="","",INDEX('Master Stock'!$C$2:$C$99,MATCH($A32,'Master Stock'!$R$2:$R$99,0)))</f>
        <v/>
      </c>
      <c r="C32" s="16">
        <f t="array" ref="C32">IF($A32="","",INDEX('Master Stock'!$D$2:$D$99,MATCH($A32,'Master Stock'!$R$2:$R$99,0)))</f>
        <v/>
      </c>
      <c r="D32" s="17">
        <f t="array" ref="D32">IF($A32="","",INDEX('Master Stock'!$B$2:$B$99,MATCH($A32,'Master Stock'!$R$2:$R$99,0)))</f>
        <v/>
      </c>
      <c r="E32" s="16">
        <f t="array" ref="E32">IF($A32="","",INDEX('Master Stock'!$G$2:$G$99,MATCH($A32,'Master Stock'!$R$2:$R$99,0)))</f>
        <v/>
      </c>
      <c r="F32" s="18">
        <f t="array" ref="F32">IF($A32="","",INDEX('Master Stock'!$F$2:$F$99,MATCH($A32,'Master Stock'!$R$2:$R$99,0)))</f>
        <v/>
      </c>
      <c r="G32" s="7">
        <f>IF($A32="","","Rice / FRK RRA")</f>
        <v/>
      </c>
      <c r="H32" s="19" t="n"/>
      <c r="I32" s="17">
        <f>IF($A32="","","FIFO - Oldest Receipt First")</f>
        <v/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idden="1" ht="15" customHeight="1">
      <c r="A33" s="15">
        <f>IFERROR(SMALL('Master Stock'!$R$2:$R$99,ROWS($A$3:A33)),"")</f>
        <v/>
      </c>
      <c r="B33" s="16">
        <f t="array" ref="B33">IF($A33="","",INDEX('Master Stock'!$C$2:$C$99,MATCH($A33,'Master Stock'!$R$2:$R$99,0)))</f>
        <v/>
      </c>
      <c r="C33" s="16">
        <f t="array" ref="C33">IF($A33="","",INDEX('Master Stock'!$D$2:$D$99,MATCH($A33,'Master Stock'!$R$2:$R$99,0)))</f>
        <v/>
      </c>
      <c r="D33" s="17">
        <f t="array" ref="D33">IF($A33="","",INDEX('Master Stock'!$B$2:$B$99,MATCH($A33,'Master Stock'!$R$2:$R$99,0)))</f>
        <v/>
      </c>
      <c r="E33" s="16">
        <f t="array" ref="E33">IF($A33="","",INDEX('Master Stock'!$G$2:$G$99,MATCH($A33,'Master Stock'!$R$2:$R$99,0)))</f>
        <v/>
      </c>
      <c r="F33" s="18">
        <f t="array" ref="F33">IF($A33="","",INDEX('Master Stock'!$F$2:$F$99,MATCH($A33,'Master Stock'!$R$2:$R$99,0)))</f>
        <v/>
      </c>
      <c r="G33" s="7">
        <f>IF($A33="","","Rice / FRK RRA")</f>
        <v/>
      </c>
      <c r="H33" s="19" t="n"/>
      <c r="I33" s="17">
        <f>IF($A33="","","FIFO - Oldest Receipt First")</f>
        <v/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idden="1" ht="15" customHeight="1">
      <c r="A34" s="15">
        <f>IFERROR(SMALL('Master Stock'!$R$2:$R$99,ROWS($A$3:A34)),"")</f>
        <v/>
      </c>
      <c r="B34" s="16">
        <f t="array" ref="B34">IF($A34="","",INDEX('Master Stock'!$C$2:$C$99,MATCH($A34,'Master Stock'!$R$2:$R$99,0)))</f>
        <v/>
      </c>
      <c r="C34" s="16">
        <f t="array" ref="C34">IF($A34="","",INDEX('Master Stock'!$D$2:$D$99,MATCH($A34,'Master Stock'!$R$2:$R$99,0)))</f>
        <v/>
      </c>
      <c r="D34" s="17">
        <f t="array" ref="D34">IF($A34="","",INDEX('Master Stock'!$B$2:$B$99,MATCH($A34,'Master Stock'!$R$2:$R$99,0)))</f>
        <v/>
      </c>
      <c r="E34" s="16">
        <f t="array" ref="E34">IF($A34="","",INDEX('Master Stock'!$G$2:$G$99,MATCH($A34,'Master Stock'!$R$2:$R$99,0)))</f>
        <v/>
      </c>
      <c r="F34" s="18">
        <f t="array" ref="F34">IF($A34="","",INDEX('Master Stock'!$F$2:$F$99,MATCH($A34,'Master Stock'!$R$2:$R$99,0)))</f>
        <v/>
      </c>
      <c r="G34" s="7">
        <f>IF($A34="","","Rice / FRK RRA")</f>
        <v/>
      </c>
      <c r="H34" s="19" t="n"/>
      <c r="I34" s="17">
        <f>IF($A34="","","FIFO - Oldest Receipt First")</f>
        <v/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idden="1" ht="15" customHeight="1">
      <c r="A35" s="15">
        <f>IFERROR(SMALL('Master Stock'!$R$2:$R$99,ROWS($A$3:A35)),"")</f>
        <v/>
      </c>
      <c r="B35" s="16">
        <f t="array" ref="B35">IF($A35="","",INDEX('Master Stock'!$C$2:$C$99,MATCH($A35,'Master Stock'!$R$2:$R$99,0)))</f>
        <v/>
      </c>
      <c r="C35" s="16">
        <f t="array" ref="C35">IF($A35="","",INDEX('Master Stock'!$D$2:$D$99,MATCH($A35,'Master Stock'!$R$2:$R$99,0)))</f>
        <v/>
      </c>
      <c r="D35" s="17">
        <f t="array" ref="D35">IF($A35="","",INDEX('Master Stock'!$B$2:$B$99,MATCH($A35,'Master Stock'!$R$2:$R$99,0)))</f>
        <v/>
      </c>
      <c r="E35" s="16">
        <f t="array" ref="E35">IF($A35="","",INDEX('Master Stock'!$G$2:$G$99,MATCH($A35,'Master Stock'!$R$2:$R$99,0)))</f>
        <v/>
      </c>
      <c r="F35" s="18">
        <f t="array" ref="F35">IF($A35="","",INDEX('Master Stock'!$F$2:$F$99,MATCH($A35,'Master Stock'!$R$2:$R$99,0)))</f>
        <v/>
      </c>
      <c r="G35" s="7">
        <f>IF($A35="","","Rice / FRK RRA")</f>
        <v/>
      </c>
      <c r="H35" s="19" t="n"/>
      <c r="I35" s="17">
        <f>IF($A35="","","FIFO - Oldest Receipt First")</f>
        <v/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idden="1" ht="15" customHeight="1">
      <c r="A36" s="15">
        <f>IFERROR(SMALL('Master Stock'!$R$2:$R$99,ROWS($A$3:A36)),"")</f>
        <v/>
      </c>
      <c r="B36" s="16">
        <f t="array" ref="B36">IF($A36="","",INDEX('Master Stock'!$C$2:$C$99,MATCH($A36,'Master Stock'!$R$2:$R$99,0)))</f>
        <v/>
      </c>
      <c r="C36" s="16">
        <f t="array" ref="C36">IF($A36="","",INDEX('Master Stock'!$D$2:$D$99,MATCH($A36,'Master Stock'!$R$2:$R$99,0)))</f>
        <v/>
      </c>
      <c r="D36" s="17">
        <f t="array" ref="D36">IF($A36="","",INDEX('Master Stock'!$B$2:$B$99,MATCH($A36,'Master Stock'!$R$2:$R$99,0)))</f>
        <v/>
      </c>
      <c r="E36" s="16">
        <f t="array" ref="E36">IF($A36="","",INDEX('Master Stock'!$G$2:$G$99,MATCH($A36,'Master Stock'!$R$2:$R$99,0)))</f>
        <v/>
      </c>
      <c r="F36" s="18">
        <f t="array" ref="F36">IF($A36="","",INDEX('Master Stock'!$F$2:$F$99,MATCH($A36,'Master Stock'!$R$2:$R$99,0)))</f>
        <v/>
      </c>
      <c r="G36" s="7">
        <f>IF($A36="","","Rice / FRK RRA")</f>
        <v/>
      </c>
      <c r="H36" s="19" t="n"/>
      <c r="I36" s="17">
        <f>IF($A36="","","FIFO - Oldest Receipt First")</f>
        <v/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idden="1" ht="15" customHeight="1">
      <c r="A37" s="15">
        <f>IFERROR(SMALL('Master Stock'!$R$2:$R$99,ROWS($A$3:A37)),"")</f>
        <v/>
      </c>
      <c r="B37" s="16">
        <f t="array" ref="B37">IF($A37="","",INDEX('Master Stock'!$C$2:$C$99,MATCH($A37,'Master Stock'!$R$2:$R$99,0)))</f>
        <v/>
      </c>
      <c r="C37" s="16">
        <f t="array" ref="C37">IF($A37="","",INDEX('Master Stock'!$D$2:$D$99,MATCH($A37,'Master Stock'!$R$2:$R$99,0)))</f>
        <v/>
      </c>
      <c r="D37" s="17">
        <f t="array" ref="D37">IF($A37="","",INDEX('Master Stock'!$B$2:$B$99,MATCH($A37,'Master Stock'!$R$2:$R$99,0)))</f>
        <v/>
      </c>
      <c r="E37" s="16">
        <f t="array" ref="E37">IF($A37="","",INDEX('Master Stock'!$G$2:$G$99,MATCH($A37,'Master Stock'!$R$2:$R$99,0)))</f>
        <v/>
      </c>
      <c r="F37" s="18">
        <f t="array" ref="F37">IF($A37="","",INDEX('Master Stock'!$F$2:$F$99,MATCH($A37,'Master Stock'!$R$2:$R$99,0)))</f>
        <v/>
      </c>
      <c r="G37" s="7">
        <f>IF($A37="","","Rice / FRK RRA")</f>
        <v/>
      </c>
      <c r="H37" s="19" t="n"/>
      <c r="I37" s="17">
        <f>IF($A37="","","FIFO - Oldest Receipt First")</f>
        <v/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idden="1" ht="15" customHeight="1">
      <c r="A38" s="15">
        <f>IFERROR(SMALL('Master Stock'!$R$2:$R$99,ROWS($A$3:A38)),"")</f>
        <v/>
      </c>
      <c r="B38" s="16">
        <f t="array" ref="B38">IF($A38="","",INDEX('Master Stock'!$C$2:$C$99,MATCH($A38,'Master Stock'!$R$2:$R$99,0)))</f>
        <v/>
      </c>
      <c r="C38" s="16">
        <f t="array" ref="C38">IF($A38="","",INDEX('Master Stock'!$D$2:$D$99,MATCH($A38,'Master Stock'!$R$2:$R$99,0)))</f>
        <v/>
      </c>
      <c r="D38" s="17">
        <f t="array" ref="D38">IF($A38="","",INDEX('Master Stock'!$B$2:$B$99,MATCH($A38,'Master Stock'!$R$2:$R$99,0)))</f>
        <v/>
      </c>
      <c r="E38" s="16">
        <f t="array" ref="E38">IF($A38="","",INDEX('Master Stock'!$G$2:$G$99,MATCH($A38,'Master Stock'!$R$2:$R$99,0)))</f>
        <v/>
      </c>
      <c r="F38" s="18">
        <f t="array" ref="F38">IF($A38="","",INDEX('Master Stock'!$F$2:$F$99,MATCH($A38,'Master Stock'!$R$2:$R$99,0)))</f>
        <v/>
      </c>
      <c r="G38" s="7">
        <f>IF($A38="","","Rice / FRK RRA")</f>
        <v/>
      </c>
      <c r="H38" s="19" t="n"/>
      <c r="I38" s="17">
        <f>IF($A38="","","FIFO - Oldest Receipt First")</f>
        <v/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idden="1" ht="15" customHeight="1">
      <c r="A39" s="15">
        <f>IFERROR(SMALL('Master Stock'!$R$2:$R$99,ROWS($A$3:A39)),"")</f>
        <v/>
      </c>
      <c r="B39" s="16">
        <f t="array" ref="B39">IF($A39="","",INDEX('Master Stock'!$C$2:$C$99,MATCH($A39,'Master Stock'!$R$2:$R$99,0)))</f>
        <v/>
      </c>
      <c r="C39" s="16">
        <f t="array" ref="C39">IF($A39="","",INDEX('Master Stock'!$D$2:$D$99,MATCH($A39,'Master Stock'!$R$2:$R$99,0)))</f>
        <v/>
      </c>
      <c r="D39" s="17">
        <f t="array" ref="D39">IF($A39="","",INDEX('Master Stock'!$B$2:$B$99,MATCH($A39,'Master Stock'!$R$2:$R$99,0)))</f>
        <v/>
      </c>
      <c r="E39" s="16">
        <f t="array" ref="E39">IF($A39="","",INDEX('Master Stock'!$G$2:$G$99,MATCH($A39,'Master Stock'!$R$2:$R$99,0)))</f>
        <v/>
      </c>
      <c r="F39" s="18">
        <f t="array" ref="F39">IF($A39="","",INDEX('Master Stock'!$F$2:$F$99,MATCH($A39,'Master Stock'!$R$2:$R$99,0)))</f>
        <v/>
      </c>
      <c r="G39" s="7">
        <f>IF($A39="","","Rice / FRK RRA")</f>
        <v/>
      </c>
      <c r="H39" s="19" t="n"/>
      <c r="I39" s="17">
        <f>IF($A39="","","FIFO - Oldest Receipt First")</f>
        <v/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idden="1" ht="15" customHeight="1">
      <c r="A40" s="15">
        <f>IFERROR(SMALL('Master Stock'!$R$2:$R$99,ROWS($A$3:A40)),"")</f>
        <v/>
      </c>
      <c r="B40" s="16">
        <f t="array" ref="B40">IF($A40="","",INDEX('Master Stock'!$C$2:$C$99,MATCH($A40,'Master Stock'!$R$2:$R$99,0)))</f>
        <v/>
      </c>
      <c r="C40" s="16">
        <f t="array" ref="C40">IF($A40="","",INDEX('Master Stock'!$D$2:$D$99,MATCH($A40,'Master Stock'!$R$2:$R$99,0)))</f>
        <v/>
      </c>
      <c r="D40" s="17">
        <f t="array" ref="D40">IF($A40="","",INDEX('Master Stock'!$B$2:$B$99,MATCH($A40,'Master Stock'!$R$2:$R$99,0)))</f>
        <v/>
      </c>
      <c r="E40" s="16">
        <f t="array" ref="E40">IF($A40="","",INDEX('Master Stock'!$G$2:$G$99,MATCH($A40,'Master Stock'!$R$2:$R$99,0)))</f>
        <v/>
      </c>
      <c r="F40" s="18">
        <f t="array" ref="F40">IF($A40="","",INDEX('Master Stock'!$F$2:$F$99,MATCH($A40,'Master Stock'!$R$2:$R$99,0)))</f>
        <v/>
      </c>
      <c r="G40" s="7">
        <f>IF($A40="","","Rice / FRK RRA")</f>
        <v/>
      </c>
      <c r="H40" s="19" t="n"/>
      <c r="I40" s="17">
        <f>IF($A40="","","FIFO - Oldest Receipt First")</f>
        <v/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idden="1" ht="15" customHeight="1">
      <c r="A41" s="15">
        <f>IFERROR(SMALL('Master Stock'!$R$2:$R$99,ROWS($A$3:A41)),"")</f>
        <v/>
      </c>
      <c r="B41" s="16">
        <f t="array" ref="B41">IF($A41="","",INDEX('Master Stock'!$C$2:$C$99,MATCH($A41,'Master Stock'!$R$2:$R$99,0)))</f>
        <v/>
      </c>
      <c r="C41" s="16">
        <f t="array" ref="C41">IF($A41="","",INDEX('Master Stock'!$D$2:$D$99,MATCH($A41,'Master Stock'!$R$2:$R$99,0)))</f>
        <v/>
      </c>
      <c r="D41" s="17">
        <f t="array" ref="D41">IF($A41="","",INDEX('Master Stock'!$B$2:$B$99,MATCH($A41,'Master Stock'!$R$2:$R$99,0)))</f>
        <v/>
      </c>
      <c r="E41" s="16">
        <f t="array" ref="E41">IF($A41="","",INDEX('Master Stock'!$G$2:$G$99,MATCH($A41,'Master Stock'!$R$2:$R$99,0)))</f>
        <v/>
      </c>
      <c r="F41" s="18">
        <f t="array" ref="F41">IF($A41="","",INDEX('Master Stock'!$F$2:$F$99,MATCH($A41,'Master Stock'!$R$2:$R$99,0)))</f>
        <v/>
      </c>
      <c r="G41" s="7">
        <f>IF($A41="","","Rice / FRK RRA")</f>
        <v/>
      </c>
      <c r="H41" s="19" t="n"/>
      <c r="I41" s="17">
        <f>IF($A41="","","FIFO - Oldest Receipt First")</f>
        <v/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idden="1" ht="15" customHeight="1">
      <c r="A42" s="15">
        <f>IFERROR(SMALL('Master Stock'!$R$2:$R$99,ROWS($A$3:A42)),"")</f>
        <v/>
      </c>
      <c r="B42" s="16">
        <f t="array" ref="B42">IF($A42="","",INDEX('Master Stock'!$C$2:$C$99,MATCH($A42,'Master Stock'!$R$2:$R$99,0)))</f>
        <v/>
      </c>
      <c r="C42" s="16">
        <f t="array" ref="C42">IF($A42="","",INDEX('Master Stock'!$D$2:$D$99,MATCH($A42,'Master Stock'!$R$2:$R$99,0)))</f>
        <v/>
      </c>
      <c r="D42" s="17">
        <f t="array" ref="D42">IF($A42="","",INDEX('Master Stock'!$B$2:$B$99,MATCH($A42,'Master Stock'!$R$2:$R$99,0)))</f>
        <v/>
      </c>
      <c r="E42" s="16">
        <f t="array" ref="E42">IF($A42="","",INDEX('Master Stock'!$G$2:$G$99,MATCH($A42,'Master Stock'!$R$2:$R$99,0)))</f>
        <v/>
      </c>
      <c r="F42" s="18">
        <f t="array" ref="F42">IF($A42="","",INDEX('Master Stock'!$F$2:$F$99,MATCH($A42,'Master Stock'!$R$2:$R$99,0)))</f>
        <v/>
      </c>
      <c r="G42" s="7">
        <f>IF($A42="","","Rice / FRK RRA")</f>
        <v/>
      </c>
      <c r="H42" s="19" t="n"/>
      <c r="I42" s="17">
        <f>IF($A42="","","FIFO - Oldest Receipt First")</f>
        <v/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idden="1" ht="15" customHeight="1">
      <c r="A43" s="15">
        <f>IFERROR(SMALL('Master Stock'!$R$2:$R$99,ROWS($A$3:A43)),"")</f>
        <v/>
      </c>
      <c r="B43" s="16">
        <f t="array" ref="B43">IF($A43="","",INDEX('Master Stock'!$C$2:$C$99,MATCH($A43,'Master Stock'!$R$2:$R$99,0)))</f>
        <v/>
      </c>
      <c r="C43" s="16">
        <f t="array" ref="C43">IF($A43="","",INDEX('Master Stock'!$D$2:$D$99,MATCH($A43,'Master Stock'!$R$2:$R$99,0)))</f>
        <v/>
      </c>
      <c r="D43" s="17">
        <f t="array" ref="D43">IF($A43="","",INDEX('Master Stock'!$B$2:$B$99,MATCH($A43,'Master Stock'!$R$2:$R$99,0)))</f>
        <v/>
      </c>
      <c r="E43" s="16">
        <f t="array" ref="E43">IF($A43="","",INDEX('Master Stock'!$G$2:$G$99,MATCH($A43,'Master Stock'!$R$2:$R$99,0)))</f>
        <v/>
      </c>
      <c r="F43" s="18">
        <f t="array" ref="F43">IF($A43="","",INDEX('Master Stock'!$F$2:$F$99,MATCH($A43,'Master Stock'!$R$2:$R$99,0)))</f>
        <v/>
      </c>
      <c r="G43" s="7">
        <f>IF($A43="","","Rice / FRK RRA")</f>
        <v/>
      </c>
      <c r="H43" s="19" t="n"/>
      <c r="I43" s="17">
        <f>IF($A43="","","FIFO - Oldest Receipt First")</f>
        <v/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idden="1" ht="15" customHeight="1">
      <c r="A44" s="15">
        <f>IFERROR(SMALL('Master Stock'!$R$2:$R$99,ROWS($A$3:A44)),"")</f>
        <v/>
      </c>
      <c r="B44" s="16">
        <f t="array" ref="B44">IF($A44="","",INDEX('Master Stock'!$C$2:$C$99,MATCH($A44,'Master Stock'!$R$2:$R$99,0)))</f>
        <v/>
      </c>
      <c r="C44" s="16">
        <f t="array" ref="C44">IF($A44="","",INDEX('Master Stock'!$D$2:$D$99,MATCH($A44,'Master Stock'!$R$2:$R$99,0)))</f>
        <v/>
      </c>
      <c r="D44" s="17">
        <f t="array" ref="D44">IF($A44="","",INDEX('Master Stock'!$B$2:$B$99,MATCH($A44,'Master Stock'!$R$2:$R$99,0)))</f>
        <v/>
      </c>
      <c r="E44" s="16">
        <f t="array" ref="E44">IF($A44="","",INDEX('Master Stock'!$G$2:$G$99,MATCH($A44,'Master Stock'!$R$2:$R$99,0)))</f>
        <v/>
      </c>
      <c r="F44" s="18">
        <f t="array" ref="F44">IF($A44="","",INDEX('Master Stock'!$F$2:$F$99,MATCH($A44,'Master Stock'!$R$2:$R$99,0)))</f>
        <v/>
      </c>
      <c r="G44" s="7">
        <f>IF($A44="","","Rice / FRK RRA")</f>
        <v/>
      </c>
      <c r="H44" s="19" t="n"/>
      <c r="I44" s="17">
        <f>IF($A44="","","FIFO - Oldest Receipt First")</f>
        <v/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idden="1" ht="15" customHeight="1">
      <c r="A45" s="15">
        <f>IFERROR(SMALL('Master Stock'!$R$2:$R$99,ROWS($A$3:A45)),"")</f>
        <v/>
      </c>
      <c r="B45" s="16">
        <f t="array" ref="B45">IF($A45="","",INDEX('Master Stock'!$C$2:$C$99,MATCH($A45,'Master Stock'!$R$2:$R$99,0)))</f>
        <v/>
      </c>
      <c r="C45" s="16">
        <f t="array" ref="C45">IF($A45="","",INDEX('Master Stock'!$D$2:$D$99,MATCH($A45,'Master Stock'!$R$2:$R$99,0)))</f>
        <v/>
      </c>
      <c r="D45" s="17">
        <f t="array" ref="D45">IF($A45="","",INDEX('Master Stock'!$B$2:$B$99,MATCH($A45,'Master Stock'!$R$2:$R$99,0)))</f>
        <v/>
      </c>
      <c r="E45" s="16">
        <f t="array" ref="E45">IF($A45="","",INDEX('Master Stock'!$G$2:$G$99,MATCH($A45,'Master Stock'!$R$2:$R$99,0)))</f>
        <v/>
      </c>
      <c r="F45" s="18">
        <f t="array" ref="F45">IF($A45="","",INDEX('Master Stock'!$F$2:$F$99,MATCH($A45,'Master Stock'!$R$2:$R$99,0)))</f>
        <v/>
      </c>
      <c r="G45" s="7">
        <f>IF($A45="","","Rice / FRK RRA")</f>
        <v/>
      </c>
      <c r="H45" s="19" t="n"/>
      <c r="I45" s="17">
        <f>IF($A45="","","FIFO - Oldest Receipt First")</f>
        <v/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idden="1" ht="15" customHeight="1">
      <c r="A46" s="15">
        <f>IFERROR(SMALL('Master Stock'!$R$2:$R$99,ROWS($A$3:A46)),"")</f>
        <v/>
      </c>
      <c r="B46" s="16">
        <f t="array" ref="B46">IF($A46="","",INDEX('Master Stock'!$C$2:$C$99,MATCH($A46,'Master Stock'!$R$2:$R$99,0)))</f>
        <v/>
      </c>
      <c r="C46" s="16">
        <f t="array" ref="C46">IF($A46="","",INDEX('Master Stock'!$D$2:$D$99,MATCH($A46,'Master Stock'!$R$2:$R$99,0)))</f>
        <v/>
      </c>
      <c r="D46" s="17">
        <f t="array" ref="D46">IF($A46="","",INDEX('Master Stock'!$B$2:$B$99,MATCH($A46,'Master Stock'!$R$2:$R$99,0)))</f>
        <v/>
      </c>
      <c r="E46" s="16">
        <f t="array" ref="E46">IF($A46="","",INDEX('Master Stock'!$G$2:$G$99,MATCH($A46,'Master Stock'!$R$2:$R$99,0)))</f>
        <v/>
      </c>
      <c r="F46" s="18">
        <f t="array" ref="F46">IF($A46="","",INDEX('Master Stock'!$F$2:$F$99,MATCH($A46,'Master Stock'!$R$2:$R$99,0)))</f>
        <v/>
      </c>
      <c r="G46" s="7">
        <f>IF($A46="","","Rice / FRK RRA")</f>
        <v/>
      </c>
      <c r="H46" s="19" t="n"/>
      <c r="I46" s="17">
        <f>IF($A46="","","FIFO - Oldest Receipt First")</f>
        <v/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idden="1" ht="15" customHeight="1">
      <c r="A47" s="15">
        <f>IFERROR(SMALL('Master Stock'!$R$2:$R$99,ROWS($A$3:A47)),"")</f>
        <v/>
      </c>
      <c r="B47" s="16">
        <f t="array" ref="B47">IF($A47="","",INDEX('Master Stock'!$C$2:$C$99,MATCH($A47,'Master Stock'!$R$2:$R$99,0)))</f>
        <v/>
      </c>
      <c r="C47" s="16">
        <f t="array" ref="C47">IF($A47="","",INDEX('Master Stock'!$D$2:$D$99,MATCH($A47,'Master Stock'!$R$2:$R$99,0)))</f>
        <v/>
      </c>
      <c r="D47" s="17">
        <f t="array" ref="D47">IF($A47="","",INDEX('Master Stock'!$B$2:$B$99,MATCH($A47,'Master Stock'!$R$2:$R$99,0)))</f>
        <v/>
      </c>
      <c r="E47" s="16">
        <f t="array" ref="E47">IF($A47="","",INDEX('Master Stock'!$G$2:$G$99,MATCH($A47,'Master Stock'!$R$2:$R$99,0)))</f>
        <v/>
      </c>
      <c r="F47" s="18">
        <f t="array" ref="F47">IF($A47="","",INDEX('Master Stock'!$F$2:$F$99,MATCH($A47,'Master Stock'!$R$2:$R$99,0)))</f>
        <v/>
      </c>
      <c r="G47" s="7">
        <f>IF($A47="","","Rice / FRK RRA")</f>
        <v/>
      </c>
      <c r="H47" s="19" t="n"/>
      <c r="I47" s="17">
        <f>IF($A47="","","FIFO - Oldest Receipt First")</f>
        <v/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idden="1" ht="15" customHeight="1">
      <c r="A48" s="15">
        <f>IFERROR(SMALL('Master Stock'!$R$2:$R$99,ROWS($A$3:A48)),"")</f>
        <v/>
      </c>
      <c r="B48" s="16">
        <f t="array" ref="B48">IF($A48="","",INDEX('Master Stock'!$C$2:$C$99,MATCH($A48,'Master Stock'!$R$2:$R$99,0)))</f>
        <v/>
      </c>
      <c r="C48" s="16">
        <f t="array" ref="C48">IF($A48="","",INDEX('Master Stock'!$D$2:$D$99,MATCH($A48,'Master Stock'!$R$2:$R$99,0)))</f>
        <v/>
      </c>
      <c r="D48" s="17">
        <f t="array" ref="D48">IF($A48="","",INDEX('Master Stock'!$B$2:$B$99,MATCH($A48,'Master Stock'!$R$2:$R$99,0)))</f>
        <v/>
      </c>
      <c r="E48" s="16">
        <f t="array" ref="E48">IF($A48="","",INDEX('Master Stock'!$G$2:$G$99,MATCH($A48,'Master Stock'!$R$2:$R$99,0)))</f>
        <v/>
      </c>
      <c r="F48" s="18">
        <f t="array" ref="F48">IF($A48="","",INDEX('Master Stock'!$F$2:$F$99,MATCH($A48,'Master Stock'!$R$2:$R$99,0)))</f>
        <v/>
      </c>
      <c r="G48" s="7">
        <f>IF($A48="","","Rice / FRK RRA")</f>
        <v/>
      </c>
      <c r="H48" s="19" t="n"/>
      <c r="I48" s="17">
        <f>IF($A48="","","FIFO - Oldest Receipt First")</f>
        <v/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idden="1" ht="15" customHeight="1">
      <c r="A49" s="15">
        <f>IFERROR(SMALL('Master Stock'!$R$2:$R$99,ROWS($A$3:A49)),"")</f>
        <v/>
      </c>
      <c r="B49" s="16">
        <f t="array" ref="B49">IF($A49="","",INDEX('Master Stock'!$C$2:$C$99,MATCH($A49,'Master Stock'!$R$2:$R$99,0)))</f>
        <v/>
      </c>
      <c r="C49" s="16">
        <f t="array" ref="C49">IF($A49="","",INDEX('Master Stock'!$D$2:$D$99,MATCH($A49,'Master Stock'!$R$2:$R$99,0)))</f>
        <v/>
      </c>
      <c r="D49" s="17">
        <f t="array" ref="D49">IF($A49="","",INDEX('Master Stock'!$B$2:$B$99,MATCH($A49,'Master Stock'!$R$2:$R$99,0)))</f>
        <v/>
      </c>
      <c r="E49" s="16">
        <f t="array" ref="E49">IF($A49="","",INDEX('Master Stock'!$G$2:$G$99,MATCH($A49,'Master Stock'!$R$2:$R$99,0)))</f>
        <v/>
      </c>
      <c r="F49" s="18">
        <f t="array" ref="F49">IF($A49="","",INDEX('Master Stock'!$F$2:$F$99,MATCH($A49,'Master Stock'!$R$2:$R$99,0)))</f>
        <v/>
      </c>
      <c r="G49" s="7">
        <f>IF($A49="","","Rice / FRK RRA")</f>
        <v/>
      </c>
      <c r="H49" s="19" t="n"/>
      <c r="I49" s="17">
        <f>IF($A49="","","FIFO - Oldest Receipt First")</f>
        <v/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idden="1" ht="15" customHeight="1">
      <c r="A50" s="15">
        <f>IFERROR(SMALL('Master Stock'!$R$2:$R$99,ROWS($A$3:A50)),"")</f>
        <v/>
      </c>
      <c r="B50" s="16">
        <f t="array" ref="B50">IF($A50="","",INDEX('Master Stock'!$C$2:$C$99,MATCH($A50,'Master Stock'!$R$2:$R$99,0)))</f>
        <v/>
      </c>
      <c r="C50" s="16">
        <f t="array" ref="C50">IF($A50="","",INDEX('Master Stock'!$D$2:$D$99,MATCH($A50,'Master Stock'!$R$2:$R$99,0)))</f>
        <v/>
      </c>
      <c r="D50" s="17">
        <f t="array" ref="D50">IF($A50="","",INDEX('Master Stock'!$B$2:$B$99,MATCH($A50,'Master Stock'!$R$2:$R$99,0)))</f>
        <v/>
      </c>
      <c r="E50" s="16">
        <f t="array" ref="E50">IF($A50="","",INDEX('Master Stock'!$G$2:$G$99,MATCH($A50,'Master Stock'!$R$2:$R$99,0)))</f>
        <v/>
      </c>
      <c r="F50" s="18">
        <f t="array" ref="F50">IF($A50="","",INDEX('Master Stock'!$F$2:$F$99,MATCH($A50,'Master Stock'!$R$2:$R$99,0)))</f>
        <v/>
      </c>
      <c r="G50" s="7">
        <f>IF($A50="","","Rice / FRK RRA")</f>
        <v/>
      </c>
      <c r="H50" s="19" t="n"/>
      <c r="I50" s="17">
        <f>IF($A50="","","FIFO - Oldest Receipt First")</f>
        <v/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idden="1" ht="15" customHeight="1">
      <c r="A51" s="15">
        <f>IFERROR(SMALL('Master Stock'!$R$2:$R$99,ROWS($A$3:A51)),"")</f>
        <v/>
      </c>
      <c r="B51" s="16">
        <f t="array" ref="B51">IF($A51="","",INDEX('Master Stock'!$C$2:$C$99,MATCH($A51,'Master Stock'!$R$2:$R$99,0)))</f>
        <v/>
      </c>
      <c r="C51" s="16">
        <f t="array" ref="C51">IF($A51="","",INDEX('Master Stock'!$D$2:$D$99,MATCH($A51,'Master Stock'!$R$2:$R$99,0)))</f>
        <v/>
      </c>
      <c r="D51" s="17">
        <f t="array" ref="D51">IF($A51="","",INDEX('Master Stock'!$B$2:$B$99,MATCH($A51,'Master Stock'!$R$2:$R$99,0)))</f>
        <v/>
      </c>
      <c r="E51" s="16">
        <f t="array" ref="E51">IF($A51="","",INDEX('Master Stock'!$G$2:$G$99,MATCH($A51,'Master Stock'!$R$2:$R$99,0)))</f>
        <v/>
      </c>
      <c r="F51" s="18">
        <f t="array" ref="F51">IF($A51="","",INDEX('Master Stock'!$F$2:$F$99,MATCH($A51,'Master Stock'!$R$2:$R$99,0)))</f>
        <v/>
      </c>
      <c r="G51" s="7">
        <f>IF($A51="","","Rice / FRK RRA")</f>
        <v/>
      </c>
      <c r="H51" s="19" t="n"/>
      <c r="I51" s="17">
        <f>IF($A51="","","FIFO - Oldest Receipt First")</f>
        <v/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idden="1" ht="15" customHeight="1">
      <c r="A52" s="15">
        <f>IFERROR(SMALL('Master Stock'!$R$2:$R$99,ROWS($A$3:A52)),"")</f>
        <v/>
      </c>
      <c r="B52" s="16">
        <f t="array" ref="B52">IF($A52="","",INDEX('Master Stock'!$C$2:$C$99,MATCH($A52,'Master Stock'!$R$2:$R$99,0)))</f>
        <v/>
      </c>
      <c r="C52" s="16">
        <f t="array" ref="C52">IF($A52="","",INDEX('Master Stock'!$D$2:$D$99,MATCH($A52,'Master Stock'!$R$2:$R$99,0)))</f>
        <v/>
      </c>
      <c r="D52" s="17">
        <f t="array" ref="D52">IF($A52="","",INDEX('Master Stock'!$B$2:$B$99,MATCH($A52,'Master Stock'!$R$2:$R$99,0)))</f>
        <v/>
      </c>
      <c r="E52" s="16">
        <f t="array" ref="E52">IF($A52="","",INDEX('Master Stock'!$G$2:$G$99,MATCH($A52,'Master Stock'!$R$2:$R$99,0)))</f>
        <v/>
      </c>
      <c r="F52" s="18">
        <f t="array" ref="F52">IF($A52="","",INDEX('Master Stock'!$F$2:$F$99,MATCH($A52,'Master Stock'!$R$2:$R$99,0)))</f>
        <v/>
      </c>
      <c r="G52" s="7">
        <f>IF($A52="","","Rice / FRK RRA")</f>
        <v/>
      </c>
      <c r="H52" s="19" t="n"/>
      <c r="I52" s="17">
        <f>IF($A52="","","FIFO - Oldest Receipt First")</f>
        <v/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idden="1" ht="15" customHeight="1">
      <c r="A53" s="15">
        <f>IFERROR(SMALL('Master Stock'!$R$2:$R$99,ROWS($A$3:A53)),"")</f>
        <v/>
      </c>
      <c r="B53" s="16">
        <f t="array" ref="B53">IF($A53="","",INDEX('Master Stock'!$C$2:$C$99,MATCH($A53,'Master Stock'!$R$2:$R$99,0)))</f>
        <v/>
      </c>
      <c r="C53" s="16">
        <f t="array" ref="C53">IF($A53="","",INDEX('Master Stock'!$D$2:$D$99,MATCH($A53,'Master Stock'!$R$2:$R$99,0)))</f>
        <v/>
      </c>
      <c r="D53" s="17">
        <f t="array" ref="D53">IF($A53="","",INDEX('Master Stock'!$B$2:$B$99,MATCH($A53,'Master Stock'!$R$2:$R$99,0)))</f>
        <v/>
      </c>
      <c r="E53" s="16">
        <f t="array" ref="E53">IF($A53="","",INDEX('Master Stock'!$G$2:$G$99,MATCH($A53,'Master Stock'!$R$2:$R$99,0)))</f>
        <v/>
      </c>
      <c r="F53" s="18">
        <f t="array" ref="F53">IF($A53="","",INDEX('Master Stock'!$F$2:$F$99,MATCH($A53,'Master Stock'!$R$2:$R$99,0)))</f>
        <v/>
      </c>
      <c r="G53" s="7">
        <f>IF($A53="","","Rice / FRK RRA")</f>
        <v/>
      </c>
      <c r="H53" s="19" t="n"/>
      <c r="I53" s="17">
        <f>IF($A53="","","FIFO - Oldest Receipt First")</f>
        <v/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idden="1" ht="15" customHeight="1">
      <c r="A54" s="15">
        <f>IFERROR(SMALL('Master Stock'!$R$2:$R$99,ROWS($A$3:A54)),"")</f>
        <v/>
      </c>
      <c r="B54" s="16">
        <f t="array" ref="B54">IF($A54="","",INDEX('Master Stock'!$C$2:$C$99,MATCH($A54,'Master Stock'!$R$2:$R$99,0)))</f>
        <v/>
      </c>
      <c r="C54" s="16">
        <f t="array" ref="C54">IF($A54="","",INDEX('Master Stock'!$D$2:$D$99,MATCH($A54,'Master Stock'!$R$2:$R$99,0)))</f>
        <v/>
      </c>
      <c r="D54" s="17">
        <f t="array" ref="D54">IF($A54="","",INDEX('Master Stock'!$B$2:$B$99,MATCH($A54,'Master Stock'!$R$2:$R$99,0)))</f>
        <v/>
      </c>
      <c r="E54" s="16">
        <f t="array" ref="E54">IF($A54="","",INDEX('Master Stock'!$G$2:$G$99,MATCH($A54,'Master Stock'!$R$2:$R$99,0)))</f>
        <v/>
      </c>
      <c r="F54" s="18">
        <f t="array" ref="F54">IF($A54="","",INDEX('Master Stock'!$F$2:$F$99,MATCH($A54,'Master Stock'!$R$2:$R$99,0)))</f>
        <v/>
      </c>
      <c r="G54" s="7">
        <f>IF($A54="","","Rice / FRK RRA")</f>
        <v/>
      </c>
      <c r="H54" s="19" t="n"/>
      <c r="I54" s="17">
        <f>IF($A54="","","FIFO - Oldest Receipt First")</f>
        <v/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idden="1" ht="15" customHeight="1">
      <c r="A55" s="15">
        <f>IFERROR(SMALL('Master Stock'!$R$2:$R$99,ROWS($A$3:A55)),"")</f>
        <v/>
      </c>
      <c r="B55" s="16">
        <f t="array" ref="B55">IF($A55="","",INDEX('Master Stock'!$C$2:$C$99,MATCH($A55,'Master Stock'!$R$2:$R$99,0)))</f>
        <v/>
      </c>
      <c r="C55" s="16">
        <f t="array" ref="C55">IF($A55="","",INDEX('Master Stock'!$D$2:$D$99,MATCH($A55,'Master Stock'!$R$2:$R$99,0)))</f>
        <v/>
      </c>
      <c r="D55" s="17">
        <f t="array" ref="D55">IF($A55="","",INDEX('Master Stock'!$B$2:$B$99,MATCH($A55,'Master Stock'!$R$2:$R$99,0)))</f>
        <v/>
      </c>
      <c r="E55" s="16">
        <f t="array" ref="E55">IF($A55="","",INDEX('Master Stock'!$G$2:$G$99,MATCH($A55,'Master Stock'!$R$2:$R$99,0)))</f>
        <v/>
      </c>
      <c r="F55" s="18">
        <f t="array" ref="F55">IF($A55="","",INDEX('Master Stock'!$F$2:$F$99,MATCH($A55,'Master Stock'!$R$2:$R$99,0)))</f>
        <v/>
      </c>
      <c r="G55" s="7">
        <f>IF($A55="","","Rice / FRK RRA")</f>
        <v/>
      </c>
      <c r="H55" s="19" t="n"/>
      <c r="I55" s="17">
        <f>IF($A55="","","FIFO - Oldest Receipt First")</f>
        <v/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idden="1" ht="15" customHeight="1">
      <c r="A56" s="15">
        <f>IFERROR(SMALL('Master Stock'!$R$2:$R$99,ROWS($A$3:A56)),"")</f>
        <v/>
      </c>
      <c r="B56" s="16">
        <f t="array" ref="B56">IF($A56="","",INDEX('Master Stock'!$C$2:$C$99,MATCH($A56,'Master Stock'!$R$2:$R$99,0)))</f>
        <v/>
      </c>
      <c r="C56" s="16">
        <f t="array" ref="C56">IF($A56="","",INDEX('Master Stock'!$D$2:$D$99,MATCH($A56,'Master Stock'!$R$2:$R$99,0)))</f>
        <v/>
      </c>
      <c r="D56" s="17">
        <f t="array" ref="D56">IF($A56="","",INDEX('Master Stock'!$B$2:$B$99,MATCH($A56,'Master Stock'!$R$2:$R$99,0)))</f>
        <v/>
      </c>
      <c r="E56" s="16">
        <f t="array" ref="E56">IF($A56="","",INDEX('Master Stock'!$G$2:$G$99,MATCH($A56,'Master Stock'!$R$2:$R$99,0)))</f>
        <v/>
      </c>
      <c r="F56" s="18">
        <f t="array" ref="F56">IF($A56="","",INDEX('Master Stock'!$F$2:$F$99,MATCH($A56,'Master Stock'!$R$2:$R$99,0)))</f>
        <v/>
      </c>
      <c r="G56" s="7">
        <f>IF($A56="","","Rice / FRK RRA")</f>
        <v/>
      </c>
      <c r="H56" s="19" t="n"/>
      <c r="I56" s="17">
        <f>IF($A56="","","FIFO - Oldest Receipt First")</f>
        <v/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idden="1" ht="15" customHeight="1">
      <c r="A57" s="15">
        <f>IFERROR(SMALL('Master Stock'!$R$2:$R$99,ROWS($A$3:A57)),"")</f>
        <v/>
      </c>
      <c r="B57" s="16">
        <f t="array" ref="B57">IF($A57="","",INDEX('Master Stock'!$C$2:$C$99,MATCH($A57,'Master Stock'!$R$2:$R$99,0)))</f>
        <v/>
      </c>
      <c r="C57" s="16">
        <f t="array" ref="C57">IF($A57="","",INDEX('Master Stock'!$D$2:$D$99,MATCH($A57,'Master Stock'!$R$2:$R$99,0)))</f>
        <v/>
      </c>
      <c r="D57" s="17">
        <f t="array" ref="D57">IF($A57="","",INDEX('Master Stock'!$B$2:$B$99,MATCH($A57,'Master Stock'!$R$2:$R$99,0)))</f>
        <v/>
      </c>
      <c r="E57" s="16">
        <f t="array" ref="E57">IF($A57="","",INDEX('Master Stock'!$G$2:$G$99,MATCH($A57,'Master Stock'!$R$2:$R$99,0)))</f>
        <v/>
      </c>
      <c r="F57" s="18">
        <f t="array" ref="F57">IF($A57="","",INDEX('Master Stock'!$F$2:$F$99,MATCH($A57,'Master Stock'!$R$2:$R$99,0)))</f>
        <v/>
      </c>
      <c r="G57" s="7">
        <f>IF($A57="","","Rice / FRK RRA")</f>
        <v/>
      </c>
      <c r="H57" s="19" t="n"/>
      <c r="I57" s="17">
        <f>IF($A57="","","FIFO - Oldest Receipt First")</f>
        <v/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idden="1" ht="15" customHeight="1">
      <c r="A58" s="15">
        <f>IFERROR(SMALL('Master Stock'!$R$2:$R$99,ROWS($A$3:A58)),"")</f>
        <v/>
      </c>
      <c r="B58" s="16">
        <f t="array" ref="B58">IF($A58="","",INDEX('Master Stock'!$C$2:$C$99,MATCH($A58,'Master Stock'!$R$2:$R$99,0)))</f>
        <v/>
      </c>
      <c r="C58" s="16">
        <f t="array" ref="C58">IF($A58="","",INDEX('Master Stock'!$D$2:$D$99,MATCH($A58,'Master Stock'!$R$2:$R$99,0)))</f>
        <v/>
      </c>
      <c r="D58" s="17">
        <f t="array" ref="D58">IF($A58="","",INDEX('Master Stock'!$B$2:$B$99,MATCH($A58,'Master Stock'!$R$2:$R$99,0)))</f>
        <v/>
      </c>
      <c r="E58" s="16">
        <f t="array" ref="E58">IF($A58="","",INDEX('Master Stock'!$G$2:$G$99,MATCH($A58,'Master Stock'!$R$2:$R$99,0)))</f>
        <v/>
      </c>
      <c r="F58" s="18">
        <f t="array" ref="F58">IF($A58="","",INDEX('Master Stock'!$F$2:$F$99,MATCH($A58,'Master Stock'!$R$2:$R$99,0)))</f>
        <v/>
      </c>
      <c r="G58" s="7">
        <f>IF($A58="","","Rice / FRK RRA")</f>
        <v/>
      </c>
      <c r="H58" s="19" t="n"/>
      <c r="I58" s="17">
        <f>IF($A58="","","FIFO - Oldest Receipt First")</f>
        <v/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idden="1" ht="15" customHeight="1">
      <c r="A59" s="15">
        <f>IFERROR(SMALL('Master Stock'!$R$2:$R$99,ROWS($A$3:A59)),"")</f>
        <v/>
      </c>
      <c r="B59" s="16">
        <f t="array" ref="B59">IF($A59="","",INDEX('Master Stock'!$C$2:$C$99,MATCH($A59,'Master Stock'!$R$2:$R$99,0)))</f>
        <v/>
      </c>
      <c r="C59" s="16">
        <f t="array" ref="C59">IF($A59="","",INDEX('Master Stock'!$D$2:$D$99,MATCH($A59,'Master Stock'!$R$2:$R$99,0)))</f>
        <v/>
      </c>
      <c r="D59" s="17">
        <f t="array" ref="D59">IF($A59="","",INDEX('Master Stock'!$B$2:$B$99,MATCH($A59,'Master Stock'!$R$2:$R$99,0)))</f>
        <v/>
      </c>
      <c r="E59" s="16">
        <f t="array" ref="E59">IF($A59="","",INDEX('Master Stock'!$G$2:$G$99,MATCH($A59,'Master Stock'!$R$2:$R$99,0)))</f>
        <v/>
      </c>
      <c r="F59" s="18">
        <f t="array" ref="F59">IF($A59="","",INDEX('Master Stock'!$F$2:$F$99,MATCH($A59,'Master Stock'!$R$2:$R$99,0)))</f>
        <v/>
      </c>
      <c r="G59" s="7">
        <f>IF($A59="","","Rice / FRK RRA")</f>
        <v/>
      </c>
      <c r="H59" s="19" t="n"/>
      <c r="I59" s="17">
        <f>IF($A59="","","FIFO - Oldest Receipt First")</f>
        <v/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idden="1" ht="15" customHeight="1">
      <c r="A60" s="15">
        <f>IFERROR(SMALL('Master Stock'!$R$2:$R$99,ROWS($A$3:A60)),"")</f>
        <v/>
      </c>
      <c r="B60" s="16">
        <f t="array" ref="B60">IF($A60="","",INDEX('Master Stock'!$C$2:$C$99,MATCH($A60,'Master Stock'!$R$2:$R$99,0)))</f>
        <v/>
      </c>
      <c r="C60" s="16">
        <f t="array" ref="C60">IF($A60="","",INDEX('Master Stock'!$D$2:$D$99,MATCH($A60,'Master Stock'!$R$2:$R$99,0)))</f>
        <v/>
      </c>
      <c r="D60" s="17">
        <f t="array" ref="D60">IF($A60="","",INDEX('Master Stock'!$B$2:$B$99,MATCH($A60,'Master Stock'!$R$2:$R$99,0)))</f>
        <v/>
      </c>
      <c r="E60" s="16">
        <f t="array" ref="E60">IF($A60="","",INDEX('Master Stock'!$G$2:$G$99,MATCH($A60,'Master Stock'!$R$2:$R$99,0)))</f>
        <v/>
      </c>
      <c r="F60" s="18">
        <f t="array" ref="F60">IF($A60="","",INDEX('Master Stock'!$F$2:$F$99,MATCH($A60,'Master Stock'!$R$2:$R$99,0)))</f>
        <v/>
      </c>
      <c r="G60" s="7">
        <f>IF($A60="","","Rice / FRK RRA")</f>
        <v/>
      </c>
      <c r="H60" s="19" t="n"/>
      <c r="I60" s="17">
        <f>IF($A60="","","FIFO - Oldest Receipt First")</f>
        <v/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idden="1" ht="15" customHeight="1">
      <c r="A61" s="15">
        <f>IFERROR(SMALL('Master Stock'!$R$2:$R$99,ROWS($A$3:A61)),"")</f>
        <v/>
      </c>
      <c r="B61" s="16">
        <f t="array" ref="B61">IF($A61="","",INDEX('Master Stock'!$C$2:$C$99,MATCH($A61,'Master Stock'!$R$2:$R$99,0)))</f>
        <v/>
      </c>
      <c r="C61" s="16">
        <f t="array" ref="C61">IF($A61="","",INDEX('Master Stock'!$D$2:$D$99,MATCH($A61,'Master Stock'!$R$2:$R$99,0)))</f>
        <v/>
      </c>
      <c r="D61" s="17">
        <f t="array" ref="D61">IF($A61="","",INDEX('Master Stock'!$B$2:$B$99,MATCH($A61,'Master Stock'!$R$2:$R$99,0)))</f>
        <v/>
      </c>
      <c r="E61" s="16">
        <f t="array" ref="E61">IF($A61="","",INDEX('Master Stock'!$G$2:$G$99,MATCH($A61,'Master Stock'!$R$2:$R$99,0)))</f>
        <v/>
      </c>
      <c r="F61" s="18">
        <f t="array" ref="F61">IF($A61="","",INDEX('Master Stock'!$F$2:$F$99,MATCH($A61,'Master Stock'!$R$2:$R$99,0)))</f>
        <v/>
      </c>
      <c r="G61" s="7">
        <f>IF($A61="","","Rice / FRK RRA")</f>
        <v/>
      </c>
      <c r="H61" s="19" t="n"/>
      <c r="I61" s="17">
        <f>IF($A61="","","FIFO - Oldest Receipt First")</f>
        <v/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idden="1" ht="15" customHeight="1">
      <c r="A62" s="15">
        <f>IFERROR(SMALL('Master Stock'!$R$2:$R$99,ROWS($A$3:A62)),"")</f>
        <v/>
      </c>
      <c r="B62" s="16">
        <f t="array" ref="B62">IF($A62="","",INDEX('Master Stock'!$C$2:$C$99,MATCH($A62,'Master Stock'!$R$2:$R$99,0)))</f>
        <v/>
      </c>
      <c r="C62" s="16">
        <f t="array" ref="C62">IF($A62="","",INDEX('Master Stock'!$D$2:$D$99,MATCH($A62,'Master Stock'!$R$2:$R$99,0)))</f>
        <v/>
      </c>
      <c r="D62" s="17">
        <f t="array" ref="D62">IF($A62="","",INDEX('Master Stock'!$B$2:$B$99,MATCH($A62,'Master Stock'!$R$2:$R$99,0)))</f>
        <v/>
      </c>
      <c r="E62" s="16">
        <f t="array" ref="E62">IF($A62="","",INDEX('Master Stock'!$G$2:$G$99,MATCH($A62,'Master Stock'!$R$2:$R$99,0)))</f>
        <v/>
      </c>
      <c r="F62" s="18">
        <f t="array" ref="F62">IF($A62="","",INDEX('Master Stock'!$F$2:$F$99,MATCH($A62,'Master Stock'!$R$2:$R$99,0)))</f>
        <v/>
      </c>
      <c r="G62" s="7">
        <f>IF($A62="","","Rice / FRK RRA")</f>
        <v/>
      </c>
      <c r="H62" s="19" t="n"/>
      <c r="I62" s="17">
        <f>IF($A62="","","FIFO - Oldest Receipt First")</f>
        <v/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idden="1" ht="15" customHeight="1">
      <c r="A63" s="15">
        <f>IFERROR(SMALL('Master Stock'!$R$2:$R$99,ROWS($A$3:A63)),"")</f>
        <v/>
      </c>
      <c r="B63" s="16">
        <f t="array" ref="B63">IF($A63="","",INDEX('Master Stock'!$C$2:$C$99,MATCH($A63,'Master Stock'!$R$2:$R$99,0)))</f>
        <v/>
      </c>
      <c r="C63" s="16">
        <f t="array" ref="C63">IF($A63="","",INDEX('Master Stock'!$D$2:$D$99,MATCH($A63,'Master Stock'!$R$2:$R$99,0)))</f>
        <v/>
      </c>
      <c r="D63" s="17">
        <f t="array" ref="D63">IF($A63="","",INDEX('Master Stock'!$B$2:$B$99,MATCH($A63,'Master Stock'!$R$2:$R$99,0)))</f>
        <v/>
      </c>
      <c r="E63" s="16">
        <f t="array" ref="E63">IF($A63="","",INDEX('Master Stock'!$G$2:$G$99,MATCH($A63,'Master Stock'!$R$2:$R$99,0)))</f>
        <v/>
      </c>
      <c r="F63" s="18">
        <f t="array" ref="F63">IF($A63="","",INDEX('Master Stock'!$F$2:$F$99,MATCH($A63,'Master Stock'!$R$2:$R$99,0)))</f>
        <v/>
      </c>
      <c r="G63" s="7">
        <f>IF($A63="","","Rice / FRK RRA")</f>
        <v/>
      </c>
      <c r="H63" s="19" t="n"/>
      <c r="I63" s="17">
        <f>IF($A63="","","FIFO - Oldest Receipt First")</f>
        <v/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idden="1" ht="15" customHeight="1">
      <c r="A64" s="15">
        <f>IFERROR(SMALL('Master Stock'!$R$2:$R$99,ROWS($A$3:A64)),"")</f>
        <v/>
      </c>
      <c r="B64" s="16">
        <f t="array" ref="B64">IF($A64="","",INDEX('Master Stock'!$C$2:$C$99,MATCH($A64,'Master Stock'!$R$2:$R$99,0)))</f>
        <v/>
      </c>
      <c r="C64" s="16">
        <f t="array" ref="C64">IF($A64="","",INDEX('Master Stock'!$D$2:$D$99,MATCH($A64,'Master Stock'!$R$2:$R$99,0)))</f>
        <v/>
      </c>
      <c r="D64" s="17">
        <f t="array" ref="D64">IF($A64="","",INDEX('Master Stock'!$B$2:$B$99,MATCH($A64,'Master Stock'!$R$2:$R$99,0)))</f>
        <v/>
      </c>
      <c r="E64" s="16">
        <f t="array" ref="E64">IF($A64="","",INDEX('Master Stock'!$G$2:$G$99,MATCH($A64,'Master Stock'!$R$2:$R$99,0)))</f>
        <v/>
      </c>
      <c r="F64" s="18">
        <f t="array" ref="F64">IF($A64="","",INDEX('Master Stock'!$F$2:$F$99,MATCH($A64,'Master Stock'!$R$2:$R$99,0)))</f>
        <v/>
      </c>
      <c r="G64" s="7">
        <f>IF($A64="","","Rice / FRK RRA")</f>
        <v/>
      </c>
      <c r="H64" s="19" t="n"/>
      <c r="I64" s="17">
        <f>IF($A64="","","FIFO - Oldest Receipt First")</f>
        <v/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idden="1" ht="15" customHeight="1">
      <c r="A65" s="15">
        <f>IFERROR(SMALL('Master Stock'!$R$2:$R$99,ROWS($A$3:A65)),"")</f>
        <v/>
      </c>
      <c r="B65" s="16">
        <f t="array" ref="B65">IF($A65="","",INDEX('Master Stock'!$C$2:$C$99,MATCH($A65,'Master Stock'!$R$2:$R$99,0)))</f>
        <v/>
      </c>
      <c r="C65" s="16">
        <f t="array" ref="C65">IF($A65="","",INDEX('Master Stock'!$D$2:$D$99,MATCH($A65,'Master Stock'!$R$2:$R$99,0)))</f>
        <v/>
      </c>
      <c r="D65" s="17">
        <f t="array" ref="D65">IF($A65="","",INDEX('Master Stock'!$B$2:$B$99,MATCH($A65,'Master Stock'!$R$2:$R$99,0)))</f>
        <v/>
      </c>
      <c r="E65" s="16">
        <f t="array" ref="E65">IF($A65="","",INDEX('Master Stock'!$G$2:$G$99,MATCH($A65,'Master Stock'!$R$2:$R$99,0)))</f>
        <v/>
      </c>
      <c r="F65" s="18">
        <f t="array" ref="F65">IF($A65="","",INDEX('Master Stock'!$F$2:$F$99,MATCH($A65,'Master Stock'!$R$2:$R$99,0)))</f>
        <v/>
      </c>
      <c r="G65" s="7">
        <f>IF($A65="","","Rice / FRK RRA")</f>
        <v/>
      </c>
      <c r="H65" s="19" t="n"/>
      <c r="I65" s="17">
        <f>IF($A65="","","FIFO - Oldest Receipt First")</f>
        <v/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idden="1" ht="15" customHeight="1">
      <c r="A66" s="15">
        <f>IFERROR(SMALL('Master Stock'!$R$2:$R$99,ROWS($A$3:A66)),"")</f>
        <v/>
      </c>
      <c r="B66" s="16">
        <f t="array" ref="B66">IF($A66="","",INDEX('Master Stock'!$C$2:$C$99,MATCH($A66,'Master Stock'!$R$2:$R$99,0)))</f>
        <v/>
      </c>
      <c r="C66" s="16">
        <f t="array" ref="C66">IF($A66="","",INDEX('Master Stock'!$D$2:$D$99,MATCH($A66,'Master Stock'!$R$2:$R$99,0)))</f>
        <v/>
      </c>
      <c r="D66" s="17">
        <f t="array" ref="D66">IF($A66="","",INDEX('Master Stock'!$B$2:$B$99,MATCH($A66,'Master Stock'!$R$2:$R$99,0)))</f>
        <v/>
      </c>
      <c r="E66" s="16">
        <f t="array" ref="E66">IF($A66="","",INDEX('Master Stock'!$G$2:$G$99,MATCH($A66,'Master Stock'!$R$2:$R$99,0)))</f>
        <v/>
      </c>
      <c r="F66" s="18">
        <f t="array" ref="F66">IF($A66="","",INDEX('Master Stock'!$F$2:$F$99,MATCH($A66,'Master Stock'!$R$2:$R$99,0)))</f>
        <v/>
      </c>
      <c r="G66" s="7">
        <f>IF($A66="","","Rice / FRK RRA")</f>
        <v/>
      </c>
      <c r="H66" s="19" t="n"/>
      <c r="I66" s="17">
        <f>IF($A66="","","FIFO - Oldest Receipt First")</f>
        <v/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idden="1" ht="15" customHeight="1">
      <c r="A67" s="15">
        <f>IFERROR(SMALL('Master Stock'!$R$2:$R$99,ROWS($A$3:A67)),"")</f>
        <v/>
      </c>
      <c r="B67" s="16">
        <f t="array" ref="B67">IF($A67="","",INDEX('Master Stock'!$C$2:$C$99,MATCH($A67,'Master Stock'!$R$2:$R$99,0)))</f>
        <v/>
      </c>
      <c r="C67" s="16">
        <f t="array" ref="C67">IF($A67="","",INDEX('Master Stock'!$D$2:$D$99,MATCH($A67,'Master Stock'!$R$2:$R$99,0)))</f>
        <v/>
      </c>
      <c r="D67" s="17">
        <f t="array" ref="D67">IF($A67="","",INDEX('Master Stock'!$B$2:$B$99,MATCH($A67,'Master Stock'!$R$2:$R$99,0)))</f>
        <v/>
      </c>
      <c r="E67" s="16">
        <f t="array" ref="E67">IF($A67="","",INDEX('Master Stock'!$G$2:$G$99,MATCH($A67,'Master Stock'!$R$2:$R$99,0)))</f>
        <v/>
      </c>
      <c r="F67" s="18">
        <f t="array" ref="F67">IF($A67="","",INDEX('Master Stock'!$F$2:$F$99,MATCH($A67,'Master Stock'!$R$2:$R$99,0)))</f>
        <v/>
      </c>
      <c r="G67" s="7">
        <f>IF($A67="","","Rice / FRK RRA")</f>
        <v/>
      </c>
      <c r="H67" s="19" t="n"/>
      <c r="I67" s="17">
        <f>IF($A67="","","FIFO - Oldest Receipt First")</f>
        <v/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idden="1" ht="15" customHeight="1">
      <c r="A68" s="15">
        <f>IFERROR(SMALL('Master Stock'!$R$2:$R$99,ROWS($A$3:A68)),"")</f>
        <v/>
      </c>
      <c r="B68" s="16">
        <f t="array" ref="B68">IF($A68="","",INDEX('Master Stock'!$C$2:$C$99,MATCH($A68,'Master Stock'!$R$2:$R$99,0)))</f>
        <v/>
      </c>
      <c r="C68" s="16">
        <f t="array" ref="C68">IF($A68="","",INDEX('Master Stock'!$D$2:$D$99,MATCH($A68,'Master Stock'!$R$2:$R$99,0)))</f>
        <v/>
      </c>
      <c r="D68" s="17">
        <f t="array" ref="D68">IF($A68="","",INDEX('Master Stock'!$B$2:$B$99,MATCH($A68,'Master Stock'!$R$2:$R$99,0)))</f>
        <v/>
      </c>
      <c r="E68" s="16">
        <f t="array" ref="E68">IF($A68="","",INDEX('Master Stock'!$G$2:$G$99,MATCH($A68,'Master Stock'!$R$2:$R$99,0)))</f>
        <v/>
      </c>
      <c r="F68" s="18">
        <f t="array" ref="F68">IF($A68="","",INDEX('Master Stock'!$F$2:$F$99,MATCH($A68,'Master Stock'!$R$2:$R$99,0)))</f>
        <v/>
      </c>
      <c r="G68" s="7">
        <f>IF($A68="","","Rice / FRK RRA")</f>
        <v/>
      </c>
      <c r="H68" s="19" t="n"/>
      <c r="I68" s="17">
        <f>IF($A68="","","FIFO - Oldest Receipt First")</f>
        <v/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idden="1" ht="15" customHeight="1">
      <c r="A69" s="15">
        <f>IFERROR(SMALL('Master Stock'!$R$2:$R$99,ROWS($A$3:A69)),"")</f>
        <v/>
      </c>
      <c r="B69" s="16">
        <f t="array" ref="B69">IF($A69="","",INDEX('Master Stock'!$C$2:$C$99,MATCH($A69,'Master Stock'!$R$2:$R$99,0)))</f>
        <v/>
      </c>
      <c r="C69" s="16">
        <f t="array" ref="C69">IF($A69="","",INDEX('Master Stock'!$D$2:$D$99,MATCH($A69,'Master Stock'!$R$2:$R$99,0)))</f>
        <v/>
      </c>
      <c r="D69" s="17">
        <f t="array" ref="D69">IF($A69="","",INDEX('Master Stock'!$B$2:$B$99,MATCH($A69,'Master Stock'!$R$2:$R$99,0)))</f>
        <v/>
      </c>
      <c r="E69" s="16">
        <f t="array" ref="E69">IF($A69="","",INDEX('Master Stock'!$G$2:$G$99,MATCH($A69,'Master Stock'!$R$2:$R$99,0)))</f>
        <v/>
      </c>
      <c r="F69" s="18">
        <f t="array" ref="F69">IF($A69="","",INDEX('Master Stock'!$F$2:$F$99,MATCH($A69,'Master Stock'!$R$2:$R$99,0)))</f>
        <v/>
      </c>
      <c r="G69" s="7">
        <f>IF($A69="","","Rice / FRK RRA")</f>
        <v/>
      </c>
      <c r="H69" s="19" t="n"/>
      <c r="I69" s="17">
        <f>IF($A69="","","FIFO - Oldest Receipt First")</f>
        <v/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idden="1" ht="15" customHeight="1">
      <c r="A70" s="15">
        <f>IFERROR(SMALL('Master Stock'!$R$2:$R$99,ROWS($A$3:A70)),"")</f>
        <v/>
      </c>
      <c r="B70" s="16">
        <f t="array" ref="B70">IF($A70="","",INDEX('Master Stock'!$C$2:$C$99,MATCH($A70,'Master Stock'!$R$2:$R$99,0)))</f>
        <v/>
      </c>
      <c r="C70" s="16">
        <f t="array" ref="C70">IF($A70="","",INDEX('Master Stock'!$D$2:$D$99,MATCH($A70,'Master Stock'!$R$2:$R$99,0)))</f>
        <v/>
      </c>
      <c r="D70" s="17">
        <f t="array" ref="D70">IF($A70="","",INDEX('Master Stock'!$B$2:$B$99,MATCH($A70,'Master Stock'!$R$2:$R$99,0)))</f>
        <v/>
      </c>
      <c r="E70" s="16">
        <f t="array" ref="E70">IF($A70="","",INDEX('Master Stock'!$G$2:$G$99,MATCH($A70,'Master Stock'!$R$2:$R$99,0)))</f>
        <v/>
      </c>
      <c r="F70" s="18">
        <f t="array" ref="F70">IF($A70="","",INDEX('Master Stock'!$F$2:$F$99,MATCH($A70,'Master Stock'!$R$2:$R$99,0)))</f>
        <v/>
      </c>
      <c r="G70" s="7">
        <f>IF($A70="","","Rice / FRK RRA")</f>
        <v/>
      </c>
      <c r="H70" s="19" t="n"/>
      <c r="I70" s="17">
        <f>IF($A70="","","FIFO - Oldest Receipt First")</f>
        <v/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idden="1" ht="15" customHeight="1">
      <c r="A71" s="15">
        <f>IFERROR(SMALL('Master Stock'!$R$2:$R$99,ROWS($A$3:A71)),"")</f>
        <v/>
      </c>
      <c r="B71" s="16">
        <f t="array" ref="B71">IF($A71="","",INDEX('Master Stock'!$C$2:$C$99,MATCH($A71,'Master Stock'!$R$2:$R$99,0)))</f>
        <v/>
      </c>
      <c r="C71" s="16">
        <f t="array" ref="C71">IF($A71="","",INDEX('Master Stock'!$D$2:$D$99,MATCH($A71,'Master Stock'!$R$2:$R$99,0)))</f>
        <v/>
      </c>
      <c r="D71" s="17">
        <f t="array" ref="D71">IF($A71="","",INDEX('Master Stock'!$B$2:$B$99,MATCH($A71,'Master Stock'!$R$2:$R$99,0)))</f>
        <v/>
      </c>
      <c r="E71" s="16">
        <f t="array" ref="E71">IF($A71="","",INDEX('Master Stock'!$G$2:$G$99,MATCH($A71,'Master Stock'!$R$2:$R$99,0)))</f>
        <v/>
      </c>
      <c r="F71" s="18">
        <f t="array" ref="F71">IF($A71="","",INDEX('Master Stock'!$F$2:$F$99,MATCH($A71,'Master Stock'!$R$2:$R$99,0)))</f>
        <v/>
      </c>
      <c r="G71" s="7">
        <f>IF($A71="","","Rice / FRK RRA")</f>
        <v/>
      </c>
      <c r="H71" s="19" t="n"/>
      <c r="I71" s="17">
        <f>IF($A71="","","FIFO - Oldest Receipt First")</f>
        <v/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idden="1" ht="15" customHeight="1">
      <c r="A72" s="15">
        <f>IFERROR(SMALL('Master Stock'!$R$2:$R$99,ROWS($A$3:A72)),"")</f>
        <v/>
      </c>
      <c r="B72" s="16">
        <f t="array" ref="B72">IF($A72="","",INDEX('Master Stock'!$C$2:$C$99,MATCH($A72,'Master Stock'!$R$2:$R$99,0)))</f>
        <v/>
      </c>
      <c r="C72" s="16">
        <f t="array" ref="C72">IF($A72="","",INDEX('Master Stock'!$D$2:$D$99,MATCH($A72,'Master Stock'!$R$2:$R$99,0)))</f>
        <v/>
      </c>
      <c r="D72" s="17">
        <f t="array" ref="D72">IF($A72="","",INDEX('Master Stock'!$B$2:$B$99,MATCH($A72,'Master Stock'!$R$2:$R$99,0)))</f>
        <v/>
      </c>
      <c r="E72" s="16">
        <f t="array" ref="E72">IF($A72="","",INDEX('Master Stock'!$G$2:$G$99,MATCH($A72,'Master Stock'!$R$2:$R$99,0)))</f>
        <v/>
      </c>
      <c r="F72" s="18">
        <f t="array" ref="F72">IF($A72="","",INDEX('Master Stock'!$F$2:$F$99,MATCH($A72,'Master Stock'!$R$2:$R$99,0)))</f>
        <v/>
      </c>
      <c r="G72" s="7">
        <f>IF($A72="","","Rice / FRK RRA")</f>
        <v/>
      </c>
      <c r="H72" s="19" t="n"/>
      <c r="I72" s="17">
        <f>IF($A72="","","FIFO - Oldest Receipt First")</f>
        <v/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idden="1" ht="15" customHeight="1">
      <c r="A73" s="15">
        <f>IFERROR(SMALL('Master Stock'!$R$2:$R$99,ROWS($A$3:A73)),"")</f>
        <v/>
      </c>
      <c r="B73" s="16">
        <f t="array" ref="B73">IF($A73="","",INDEX('Master Stock'!$C$2:$C$99,MATCH($A73,'Master Stock'!$R$2:$R$99,0)))</f>
        <v/>
      </c>
      <c r="C73" s="16">
        <f t="array" ref="C73">IF($A73="","",INDEX('Master Stock'!$D$2:$D$99,MATCH($A73,'Master Stock'!$R$2:$R$99,0)))</f>
        <v/>
      </c>
      <c r="D73" s="17">
        <f t="array" ref="D73">IF($A73="","",INDEX('Master Stock'!$B$2:$B$99,MATCH($A73,'Master Stock'!$R$2:$R$99,0)))</f>
        <v/>
      </c>
      <c r="E73" s="16">
        <f t="array" ref="E73">IF($A73="","",INDEX('Master Stock'!$G$2:$G$99,MATCH($A73,'Master Stock'!$R$2:$R$99,0)))</f>
        <v/>
      </c>
      <c r="F73" s="18">
        <f t="array" ref="F73">IF($A73="","",INDEX('Master Stock'!$F$2:$F$99,MATCH($A73,'Master Stock'!$R$2:$R$99,0)))</f>
        <v/>
      </c>
      <c r="G73" s="7">
        <f>IF($A73="","","Rice / FRK RRA")</f>
        <v/>
      </c>
      <c r="H73" s="19" t="n"/>
      <c r="I73" s="17">
        <f>IF($A73="","","FIFO - Oldest Receipt First")</f>
        <v/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idden="1" ht="15" customHeight="1">
      <c r="A74" s="15">
        <f>IFERROR(SMALL('Master Stock'!$R$2:$R$99,ROWS($A$3:A74)),"")</f>
        <v/>
      </c>
      <c r="B74" s="16">
        <f t="array" ref="B74">IF($A74="","",INDEX('Master Stock'!$C$2:$C$99,MATCH($A74,'Master Stock'!$R$2:$R$99,0)))</f>
        <v/>
      </c>
      <c r="C74" s="16">
        <f t="array" ref="C74">IF($A74="","",INDEX('Master Stock'!$D$2:$D$99,MATCH($A74,'Master Stock'!$R$2:$R$99,0)))</f>
        <v/>
      </c>
      <c r="D74" s="17">
        <f t="array" ref="D74">IF($A74="","",INDEX('Master Stock'!$B$2:$B$99,MATCH($A74,'Master Stock'!$R$2:$R$99,0)))</f>
        <v/>
      </c>
      <c r="E74" s="16">
        <f t="array" ref="E74">IF($A74="","",INDEX('Master Stock'!$G$2:$G$99,MATCH($A74,'Master Stock'!$R$2:$R$99,0)))</f>
        <v/>
      </c>
      <c r="F74" s="18">
        <f t="array" ref="F74">IF($A74="","",INDEX('Master Stock'!$F$2:$F$99,MATCH($A74,'Master Stock'!$R$2:$R$99,0)))</f>
        <v/>
      </c>
      <c r="G74" s="7">
        <f>IF($A74="","","Rice / FRK RRA")</f>
        <v/>
      </c>
      <c r="H74" s="19" t="n"/>
      <c r="I74" s="17">
        <f>IF($A74="","","FIFO - Oldest Receipt First")</f>
        <v/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idden="1" ht="15" customHeight="1">
      <c r="A75" s="15">
        <f>IFERROR(SMALL('Master Stock'!$R$2:$R$99,ROWS($A$3:A75)),"")</f>
        <v/>
      </c>
      <c r="B75" s="16">
        <f t="array" ref="B75">IF($A75="","",INDEX('Master Stock'!$C$2:$C$99,MATCH($A75,'Master Stock'!$R$2:$R$99,0)))</f>
        <v/>
      </c>
      <c r="C75" s="16">
        <f t="array" ref="C75">IF($A75="","",INDEX('Master Stock'!$D$2:$D$99,MATCH($A75,'Master Stock'!$R$2:$R$99,0)))</f>
        <v/>
      </c>
      <c r="D75" s="17">
        <f t="array" ref="D75">IF($A75="","",INDEX('Master Stock'!$B$2:$B$99,MATCH($A75,'Master Stock'!$R$2:$R$99,0)))</f>
        <v/>
      </c>
      <c r="E75" s="16">
        <f t="array" ref="E75">IF($A75="","",INDEX('Master Stock'!$G$2:$G$99,MATCH($A75,'Master Stock'!$R$2:$R$99,0)))</f>
        <v/>
      </c>
      <c r="F75" s="18">
        <f t="array" ref="F75">IF($A75="","",INDEX('Master Stock'!$F$2:$F$99,MATCH($A75,'Master Stock'!$R$2:$R$99,0)))</f>
        <v/>
      </c>
      <c r="G75" s="7">
        <f>IF($A75="","","Rice / FRK RRA")</f>
        <v/>
      </c>
      <c r="H75" s="19" t="n"/>
      <c r="I75" s="17">
        <f>IF($A75="","","FIFO - Oldest Receipt First")</f>
        <v/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idden="1" ht="15" customHeight="1">
      <c r="A76" s="15">
        <f>IFERROR(SMALL('Master Stock'!$R$2:$R$99,ROWS($A$3:A76)),"")</f>
        <v/>
      </c>
      <c r="B76" s="16">
        <f t="array" ref="B76">IF($A76="","",INDEX('Master Stock'!$C$2:$C$99,MATCH($A76,'Master Stock'!$R$2:$R$99,0)))</f>
        <v/>
      </c>
      <c r="C76" s="16">
        <f t="array" ref="C76">IF($A76="","",INDEX('Master Stock'!$D$2:$D$99,MATCH($A76,'Master Stock'!$R$2:$R$99,0)))</f>
        <v/>
      </c>
      <c r="D76" s="17">
        <f t="array" ref="D76">IF($A76="","",INDEX('Master Stock'!$B$2:$B$99,MATCH($A76,'Master Stock'!$R$2:$R$99,0)))</f>
        <v/>
      </c>
      <c r="E76" s="16">
        <f t="array" ref="E76">IF($A76="","",INDEX('Master Stock'!$G$2:$G$99,MATCH($A76,'Master Stock'!$R$2:$R$99,0)))</f>
        <v/>
      </c>
      <c r="F76" s="18">
        <f t="array" ref="F76">IF($A76="","",INDEX('Master Stock'!$F$2:$F$99,MATCH($A76,'Master Stock'!$R$2:$R$99,0)))</f>
        <v/>
      </c>
      <c r="G76" s="7">
        <f>IF($A76="","","Rice / FRK RRA")</f>
        <v/>
      </c>
      <c r="H76" s="19" t="n"/>
      <c r="I76" s="17">
        <f>IF($A76="","","FIFO - Oldest Receipt First")</f>
        <v/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idden="1" ht="15" customHeight="1">
      <c r="A77" s="15">
        <f>IFERROR(SMALL('Master Stock'!$R$2:$R$99,ROWS($A$3:A77)),"")</f>
        <v/>
      </c>
      <c r="B77" s="16">
        <f t="array" ref="B77">IF($A77="","",INDEX('Master Stock'!$C$2:$C$99,MATCH($A77,'Master Stock'!$R$2:$R$99,0)))</f>
        <v/>
      </c>
      <c r="C77" s="16">
        <f t="array" ref="C77">IF($A77="","",INDEX('Master Stock'!$D$2:$D$99,MATCH($A77,'Master Stock'!$R$2:$R$99,0)))</f>
        <v/>
      </c>
      <c r="D77" s="17">
        <f t="array" ref="D77">IF($A77="","",INDEX('Master Stock'!$B$2:$B$99,MATCH($A77,'Master Stock'!$R$2:$R$99,0)))</f>
        <v/>
      </c>
      <c r="E77" s="16">
        <f t="array" ref="E77">IF($A77="","",INDEX('Master Stock'!$G$2:$G$99,MATCH($A77,'Master Stock'!$R$2:$R$99,0)))</f>
        <v/>
      </c>
      <c r="F77" s="18">
        <f t="array" ref="F77">IF($A77="","",INDEX('Master Stock'!$F$2:$F$99,MATCH($A77,'Master Stock'!$R$2:$R$99,0)))</f>
        <v/>
      </c>
      <c r="G77" s="7">
        <f>IF($A77="","","Rice / FRK RRA")</f>
        <v/>
      </c>
      <c r="H77" s="19" t="n"/>
      <c r="I77" s="17">
        <f>IF($A77="","","FIFO - Oldest Receipt First")</f>
        <v/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idden="1" ht="15" customHeight="1">
      <c r="A78" s="15">
        <f>IFERROR(SMALL('Master Stock'!$R$2:$R$99,ROWS($A$3:A78)),"")</f>
        <v/>
      </c>
      <c r="B78" s="16">
        <f t="array" ref="B78">IF($A78="","",INDEX('Master Stock'!$C$2:$C$99,MATCH($A78,'Master Stock'!$R$2:$R$99,0)))</f>
        <v/>
      </c>
      <c r="C78" s="16">
        <f t="array" ref="C78">IF($A78="","",INDEX('Master Stock'!$D$2:$D$99,MATCH($A78,'Master Stock'!$R$2:$R$99,0)))</f>
        <v/>
      </c>
      <c r="D78" s="17">
        <f t="array" ref="D78">IF($A78="","",INDEX('Master Stock'!$B$2:$B$99,MATCH($A78,'Master Stock'!$R$2:$R$99,0)))</f>
        <v/>
      </c>
      <c r="E78" s="16">
        <f t="array" ref="E78">IF($A78="","",INDEX('Master Stock'!$G$2:$G$99,MATCH($A78,'Master Stock'!$R$2:$R$99,0)))</f>
        <v/>
      </c>
      <c r="F78" s="18">
        <f t="array" ref="F78">IF($A78="","",INDEX('Master Stock'!$F$2:$F$99,MATCH($A78,'Master Stock'!$R$2:$R$99,0)))</f>
        <v/>
      </c>
      <c r="G78" s="7">
        <f>IF($A78="","","Rice / FRK RRA")</f>
        <v/>
      </c>
      <c r="H78" s="19" t="n"/>
      <c r="I78" s="17">
        <f>IF($A78="","","FIFO - Oldest Receipt First")</f>
        <v/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idden="1" ht="15" customHeight="1">
      <c r="A79" s="15">
        <f>IFERROR(SMALL('Master Stock'!$R$2:$R$99,ROWS($A$3:A79)),"")</f>
        <v/>
      </c>
      <c r="B79" s="16">
        <f t="array" ref="B79">IF($A79="","",INDEX('Master Stock'!$C$2:$C$99,MATCH($A79,'Master Stock'!$R$2:$R$99,0)))</f>
        <v/>
      </c>
      <c r="C79" s="16">
        <f t="array" ref="C79">IF($A79="","",INDEX('Master Stock'!$D$2:$D$99,MATCH($A79,'Master Stock'!$R$2:$R$99,0)))</f>
        <v/>
      </c>
      <c r="D79" s="17">
        <f t="array" ref="D79">IF($A79="","",INDEX('Master Stock'!$B$2:$B$99,MATCH($A79,'Master Stock'!$R$2:$R$99,0)))</f>
        <v/>
      </c>
      <c r="E79" s="16">
        <f t="array" ref="E79">IF($A79="","",INDEX('Master Stock'!$G$2:$G$99,MATCH($A79,'Master Stock'!$R$2:$R$99,0)))</f>
        <v/>
      </c>
      <c r="F79" s="18">
        <f t="array" ref="F79">IF($A79="","",INDEX('Master Stock'!$F$2:$F$99,MATCH($A79,'Master Stock'!$R$2:$R$99,0)))</f>
        <v/>
      </c>
      <c r="G79" s="7">
        <f>IF($A79="","","Rice / FRK RRA")</f>
        <v/>
      </c>
      <c r="H79" s="19" t="n"/>
      <c r="I79" s="17">
        <f>IF($A79="","","FIFO - Oldest Receipt First")</f>
        <v/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idden="1" ht="15" customHeight="1">
      <c r="A80" s="15">
        <f>IFERROR(SMALL('Master Stock'!$R$2:$R$99,ROWS($A$3:A80)),"")</f>
        <v/>
      </c>
      <c r="B80" s="16">
        <f t="array" ref="B80">IF($A80="","",INDEX('Master Stock'!$C$2:$C$99,MATCH($A80,'Master Stock'!$R$2:$R$99,0)))</f>
        <v/>
      </c>
      <c r="C80" s="16">
        <f t="array" ref="C80">IF($A80="","",INDEX('Master Stock'!$D$2:$D$99,MATCH($A80,'Master Stock'!$R$2:$R$99,0)))</f>
        <v/>
      </c>
      <c r="D80" s="17">
        <f t="array" ref="D80">IF($A80="","",INDEX('Master Stock'!$B$2:$B$99,MATCH($A80,'Master Stock'!$R$2:$R$99,0)))</f>
        <v/>
      </c>
      <c r="E80" s="16">
        <f t="array" ref="E80">IF($A80="","",INDEX('Master Stock'!$G$2:$G$99,MATCH($A80,'Master Stock'!$R$2:$R$99,0)))</f>
        <v/>
      </c>
      <c r="F80" s="18">
        <f t="array" ref="F80">IF($A80="","",INDEX('Master Stock'!$F$2:$F$99,MATCH($A80,'Master Stock'!$R$2:$R$99,0)))</f>
        <v/>
      </c>
      <c r="G80" s="7">
        <f>IF($A80="","","Rice / FRK RRA")</f>
        <v/>
      </c>
      <c r="H80" s="19" t="n"/>
      <c r="I80" s="17">
        <f>IF($A80="","","FIFO - Oldest Receipt First")</f>
        <v/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idden="1" ht="15" customHeight="1">
      <c r="A81" s="15">
        <f>IFERROR(SMALL('Master Stock'!$R$2:$R$99,ROWS($A$3:A81)),"")</f>
        <v/>
      </c>
      <c r="B81" s="16">
        <f t="array" ref="B81">IF($A81="","",INDEX('Master Stock'!$C$2:$C$99,MATCH($A81,'Master Stock'!$R$2:$R$99,0)))</f>
        <v/>
      </c>
      <c r="C81" s="16">
        <f t="array" ref="C81">IF($A81="","",INDEX('Master Stock'!$D$2:$D$99,MATCH($A81,'Master Stock'!$R$2:$R$99,0)))</f>
        <v/>
      </c>
      <c r="D81" s="17">
        <f t="array" ref="D81">IF($A81="","",INDEX('Master Stock'!$B$2:$B$99,MATCH($A81,'Master Stock'!$R$2:$R$99,0)))</f>
        <v/>
      </c>
      <c r="E81" s="16">
        <f t="array" ref="E81">IF($A81="","",INDEX('Master Stock'!$G$2:$G$99,MATCH($A81,'Master Stock'!$R$2:$R$99,0)))</f>
        <v/>
      </c>
      <c r="F81" s="18">
        <f t="array" ref="F81">IF($A81="","",INDEX('Master Stock'!$F$2:$F$99,MATCH($A81,'Master Stock'!$R$2:$R$99,0)))</f>
        <v/>
      </c>
      <c r="G81" s="7">
        <f>IF($A81="","","Rice / FRK RRA")</f>
        <v/>
      </c>
      <c r="H81" s="19" t="n"/>
      <c r="I81" s="17">
        <f>IF($A81="","","FIFO - Oldest Receipt First")</f>
        <v/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idden="1" ht="15" customHeight="1">
      <c r="A82" s="15">
        <f>IFERROR(SMALL('Master Stock'!$R$2:$R$99,ROWS($A$3:A82)),"")</f>
        <v/>
      </c>
      <c r="B82" s="16">
        <f t="array" ref="B82">IF($A82="","",INDEX('Master Stock'!$C$2:$C$99,MATCH($A82,'Master Stock'!$R$2:$R$99,0)))</f>
        <v/>
      </c>
      <c r="C82" s="16">
        <f t="array" ref="C82">IF($A82="","",INDEX('Master Stock'!$D$2:$D$99,MATCH($A82,'Master Stock'!$R$2:$R$99,0)))</f>
        <v/>
      </c>
      <c r="D82" s="17">
        <f t="array" ref="D82">IF($A82="","",INDEX('Master Stock'!$B$2:$B$99,MATCH($A82,'Master Stock'!$R$2:$R$99,0)))</f>
        <v/>
      </c>
      <c r="E82" s="16">
        <f t="array" ref="E82">IF($A82="","",INDEX('Master Stock'!$G$2:$G$99,MATCH($A82,'Master Stock'!$R$2:$R$99,0)))</f>
        <v/>
      </c>
      <c r="F82" s="18">
        <f t="array" ref="F82">IF($A82="","",INDEX('Master Stock'!$F$2:$F$99,MATCH($A82,'Master Stock'!$R$2:$R$99,0)))</f>
        <v/>
      </c>
      <c r="G82" s="7">
        <f>IF($A82="","","Rice / FRK RRA")</f>
        <v/>
      </c>
      <c r="H82" s="19" t="n"/>
      <c r="I82" s="17">
        <f>IF($A82="","","FIFO - Oldest Receipt First")</f>
        <v/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idden="1" ht="15" customHeight="1">
      <c r="A83" s="15">
        <f>IFERROR(SMALL('Master Stock'!$R$2:$R$99,ROWS($A$3:A83)),"")</f>
        <v/>
      </c>
      <c r="B83" s="16">
        <f t="array" ref="B83">IF($A83="","",INDEX('Master Stock'!$C$2:$C$99,MATCH($A83,'Master Stock'!$R$2:$R$99,0)))</f>
        <v/>
      </c>
      <c r="C83" s="16">
        <f t="array" ref="C83">IF($A83="","",INDEX('Master Stock'!$D$2:$D$99,MATCH($A83,'Master Stock'!$R$2:$R$99,0)))</f>
        <v/>
      </c>
      <c r="D83" s="17">
        <f t="array" ref="D83">IF($A83="","",INDEX('Master Stock'!$B$2:$B$99,MATCH($A83,'Master Stock'!$R$2:$R$99,0)))</f>
        <v/>
      </c>
      <c r="E83" s="16">
        <f t="array" ref="E83">IF($A83="","",INDEX('Master Stock'!$G$2:$G$99,MATCH($A83,'Master Stock'!$R$2:$R$99,0)))</f>
        <v/>
      </c>
      <c r="F83" s="18">
        <f t="array" ref="F83">IF($A83="","",INDEX('Master Stock'!$F$2:$F$99,MATCH($A83,'Master Stock'!$R$2:$R$99,0)))</f>
        <v/>
      </c>
      <c r="G83" s="7">
        <f>IF($A83="","","Rice / FRK RRA")</f>
        <v/>
      </c>
      <c r="H83" s="19" t="n"/>
      <c r="I83" s="17">
        <f>IF($A83="","","FIFO - Oldest Receipt First")</f>
        <v/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idden="1" ht="15" customHeight="1">
      <c r="A84" s="15">
        <f>IFERROR(SMALL('Master Stock'!$R$2:$R$99,ROWS($A$3:A84)),"")</f>
        <v/>
      </c>
      <c r="B84" s="16">
        <f t="array" ref="B84">IF($A84="","",INDEX('Master Stock'!$C$2:$C$99,MATCH($A84,'Master Stock'!$R$2:$R$99,0)))</f>
        <v/>
      </c>
      <c r="C84" s="16">
        <f t="array" ref="C84">IF($A84="","",INDEX('Master Stock'!$D$2:$D$99,MATCH($A84,'Master Stock'!$R$2:$R$99,0)))</f>
        <v/>
      </c>
      <c r="D84" s="17">
        <f t="array" ref="D84">IF($A84="","",INDEX('Master Stock'!$B$2:$B$99,MATCH($A84,'Master Stock'!$R$2:$R$99,0)))</f>
        <v/>
      </c>
      <c r="E84" s="16">
        <f t="array" ref="E84">IF($A84="","",INDEX('Master Stock'!$G$2:$G$99,MATCH($A84,'Master Stock'!$R$2:$R$99,0)))</f>
        <v/>
      </c>
      <c r="F84" s="18">
        <f t="array" ref="F84">IF($A84="","",INDEX('Master Stock'!$F$2:$F$99,MATCH($A84,'Master Stock'!$R$2:$R$99,0)))</f>
        <v/>
      </c>
      <c r="G84" s="7">
        <f>IF($A84="","","Rice / FRK RRA")</f>
        <v/>
      </c>
      <c r="H84" s="19" t="n"/>
      <c r="I84" s="17">
        <f>IF($A84="","","FIFO - Oldest Receipt First")</f>
        <v/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idden="1" ht="15" customHeight="1">
      <c r="A85" s="15">
        <f>IFERROR(SMALL('Master Stock'!$R$2:$R$99,ROWS($A$3:A85)),"")</f>
        <v/>
      </c>
      <c r="B85" s="16">
        <f t="array" ref="B85">IF($A85="","",INDEX('Master Stock'!$C$2:$C$99,MATCH($A85,'Master Stock'!$R$2:$R$99,0)))</f>
        <v/>
      </c>
      <c r="C85" s="16">
        <f t="array" ref="C85">IF($A85="","",INDEX('Master Stock'!$D$2:$D$99,MATCH($A85,'Master Stock'!$R$2:$R$99,0)))</f>
        <v/>
      </c>
      <c r="D85" s="17">
        <f t="array" ref="D85">IF($A85="","",INDEX('Master Stock'!$B$2:$B$99,MATCH($A85,'Master Stock'!$R$2:$R$99,0)))</f>
        <v/>
      </c>
      <c r="E85" s="16">
        <f t="array" ref="E85">IF($A85="","",INDEX('Master Stock'!$G$2:$G$99,MATCH($A85,'Master Stock'!$R$2:$R$99,0)))</f>
        <v/>
      </c>
      <c r="F85" s="18">
        <f t="array" ref="F85">IF($A85="","",INDEX('Master Stock'!$F$2:$F$99,MATCH($A85,'Master Stock'!$R$2:$R$99,0)))</f>
        <v/>
      </c>
      <c r="G85" s="7">
        <f>IF($A85="","","Rice / FRK RRA")</f>
        <v/>
      </c>
      <c r="H85" s="19" t="n"/>
      <c r="I85" s="17">
        <f>IF($A85="","","FIFO - Oldest Receipt First")</f>
        <v/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idden="1" ht="15" customHeight="1">
      <c r="A86" s="15">
        <f>IFERROR(SMALL('Master Stock'!$R$2:$R$99,ROWS($A$3:A86)),"")</f>
        <v/>
      </c>
      <c r="B86" s="16">
        <f t="array" ref="B86">IF($A86="","",INDEX('Master Stock'!$C$2:$C$99,MATCH($A86,'Master Stock'!$R$2:$R$99,0)))</f>
        <v/>
      </c>
      <c r="C86" s="16">
        <f t="array" ref="C86">IF($A86="","",INDEX('Master Stock'!$D$2:$D$99,MATCH($A86,'Master Stock'!$R$2:$R$99,0)))</f>
        <v/>
      </c>
      <c r="D86" s="17">
        <f t="array" ref="D86">IF($A86="","",INDEX('Master Stock'!$B$2:$B$99,MATCH($A86,'Master Stock'!$R$2:$R$99,0)))</f>
        <v/>
      </c>
      <c r="E86" s="16">
        <f t="array" ref="E86">IF($A86="","",INDEX('Master Stock'!$G$2:$G$99,MATCH($A86,'Master Stock'!$R$2:$R$99,0)))</f>
        <v/>
      </c>
      <c r="F86" s="18">
        <f t="array" ref="F86">IF($A86="","",INDEX('Master Stock'!$F$2:$F$99,MATCH($A86,'Master Stock'!$R$2:$R$99,0)))</f>
        <v/>
      </c>
      <c r="G86" s="7">
        <f>IF($A86="","","Rice / FRK RRA")</f>
        <v/>
      </c>
      <c r="H86" s="19" t="n"/>
      <c r="I86" s="17">
        <f>IF($A86="","","FIFO - Oldest Receipt First")</f>
        <v/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idden="1" ht="15" customHeight="1">
      <c r="A87" s="15">
        <f>IFERROR(SMALL('Master Stock'!$R$2:$R$99,ROWS($A$3:A87)),"")</f>
        <v/>
      </c>
      <c r="B87" s="16">
        <f t="array" ref="B87">IF($A87="","",INDEX('Master Stock'!$C$2:$C$99,MATCH($A87,'Master Stock'!$R$2:$R$99,0)))</f>
        <v/>
      </c>
      <c r="C87" s="16">
        <f t="array" ref="C87">IF($A87="","",INDEX('Master Stock'!$D$2:$D$99,MATCH($A87,'Master Stock'!$R$2:$R$99,0)))</f>
        <v/>
      </c>
      <c r="D87" s="17">
        <f t="array" ref="D87">IF($A87="","",INDEX('Master Stock'!$B$2:$B$99,MATCH($A87,'Master Stock'!$R$2:$R$99,0)))</f>
        <v/>
      </c>
      <c r="E87" s="16">
        <f t="array" ref="E87">IF($A87="","",INDEX('Master Stock'!$G$2:$G$99,MATCH($A87,'Master Stock'!$R$2:$R$99,0)))</f>
        <v/>
      </c>
      <c r="F87" s="18">
        <f t="array" ref="F87">IF($A87="","",INDEX('Master Stock'!$F$2:$F$99,MATCH($A87,'Master Stock'!$R$2:$R$99,0)))</f>
        <v/>
      </c>
      <c r="G87" s="7">
        <f>IF($A87="","","Rice / FRK RRA")</f>
        <v/>
      </c>
      <c r="H87" s="19" t="n"/>
      <c r="I87" s="17">
        <f>IF($A87="","","FIFO - Oldest Receipt First")</f>
        <v/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idden="1" ht="15" customHeight="1">
      <c r="A88" s="15">
        <f>IFERROR(SMALL('Master Stock'!$R$2:$R$99,ROWS($A$3:A88)),"")</f>
        <v/>
      </c>
      <c r="B88" s="16">
        <f t="array" ref="B88">IF($A88="","",INDEX('Master Stock'!$C$2:$C$99,MATCH($A88,'Master Stock'!$R$2:$R$99,0)))</f>
        <v/>
      </c>
      <c r="C88" s="16">
        <f t="array" ref="C88">IF($A88="","",INDEX('Master Stock'!$D$2:$D$99,MATCH($A88,'Master Stock'!$R$2:$R$99,0)))</f>
        <v/>
      </c>
      <c r="D88" s="17">
        <f t="array" ref="D88">IF($A88="","",INDEX('Master Stock'!$B$2:$B$99,MATCH($A88,'Master Stock'!$R$2:$R$99,0)))</f>
        <v/>
      </c>
      <c r="E88" s="16">
        <f t="array" ref="E88">IF($A88="","",INDEX('Master Stock'!$G$2:$G$99,MATCH($A88,'Master Stock'!$R$2:$R$99,0)))</f>
        <v/>
      </c>
      <c r="F88" s="18">
        <f t="array" ref="F88">IF($A88="","",INDEX('Master Stock'!$F$2:$F$99,MATCH($A88,'Master Stock'!$R$2:$R$99,0)))</f>
        <v/>
      </c>
      <c r="G88" s="7">
        <f>IF($A88="","","Rice / FRK RRA")</f>
        <v/>
      </c>
      <c r="H88" s="19" t="n"/>
      <c r="I88" s="17">
        <f>IF($A88="","","FIFO - Oldest Receipt First")</f>
        <v/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idden="1" ht="15" customHeight="1">
      <c r="A89" s="15">
        <f>IFERROR(SMALL('Master Stock'!$R$2:$R$99,ROWS($A$3:A89)),"")</f>
        <v/>
      </c>
      <c r="B89" s="16">
        <f t="array" ref="B89">IF($A89="","",INDEX('Master Stock'!$C$2:$C$99,MATCH($A89,'Master Stock'!$R$2:$R$99,0)))</f>
        <v/>
      </c>
      <c r="C89" s="16">
        <f t="array" ref="C89">IF($A89="","",INDEX('Master Stock'!$D$2:$D$99,MATCH($A89,'Master Stock'!$R$2:$R$99,0)))</f>
        <v/>
      </c>
      <c r="D89" s="17">
        <f t="array" ref="D89">IF($A89="","",INDEX('Master Stock'!$B$2:$B$99,MATCH($A89,'Master Stock'!$R$2:$R$99,0)))</f>
        <v/>
      </c>
      <c r="E89" s="16">
        <f t="array" ref="E89">IF($A89="","",INDEX('Master Stock'!$G$2:$G$99,MATCH($A89,'Master Stock'!$R$2:$R$99,0)))</f>
        <v/>
      </c>
      <c r="F89" s="18">
        <f t="array" ref="F89">IF($A89="","",INDEX('Master Stock'!$F$2:$F$99,MATCH($A89,'Master Stock'!$R$2:$R$99,0)))</f>
        <v/>
      </c>
      <c r="G89" s="7">
        <f>IF($A89="","","Rice / FRK RRA")</f>
        <v/>
      </c>
      <c r="H89" s="19" t="n"/>
      <c r="I89" s="17">
        <f>IF($A89="","","FIFO - Oldest Receipt First")</f>
        <v/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idden="1" ht="15" customHeight="1">
      <c r="A90" s="15">
        <f>IFERROR(SMALL('Master Stock'!$R$2:$R$99,ROWS($A$3:A90)),"")</f>
        <v/>
      </c>
      <c r="B90" s="16">
        <f t="array" ref="B90">IF($A90="","",INDEX('Master Stock'!$C$2:$C$99,MATCH($A90,'Master Stock'!$R$2:$R$99,0)))</f>
        <v/>
      </c>
      <c r="C90" s="16">
        <f t="array" ref="C90">IF($A90="","",INDEX('Master Stock'!$D$2:$D$99,MATCH($A90,'Master Stock'!$R$2:$R$99,0)))</f>
        <v/>
      </c>
      <c r="D90" s="17">
        <f t="array" ref="D90">IF($A90="","",INDEX('Master Stock'!$B$2:$B$99,MATCH($A90,'Master Stock'!$R$2:$R$99,0)))</f>
        <v/>
      </c>
      <c r="E90" s="16">
        <f t="array" ref="E90">IF($A90="","",INDEX('Master Stock'!$G$2:$G$99,MATCH($A90,'Master Stock'!$R$2:$R$99,0)))</f>
        <v/>
      </c>
      <c r="F90" s="18">
        <f t="array" ref="F90">IF($A90="","",INDEX('Master Stock'!$F$2:$F$99,MATCH($A90,'Master Stock'!$R$2:$R$99,0)))</f>
        <v/>
      </c>
      <c r="G90" s="7">
        <f>IF($A90="","","Rice / FRK RRA")</f>
        <v/>
      </c>
      <c r="H90" s="19" t="n"/>
      <c r="I90" s="17">
        <f>IF($A90="","","FIFO - Oldest Receipt First")</f>
        <v/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idden="1" ht="15" customHeight="1">
      <c r="A91" s="15">
        <f>IFERROR(SMALL('Master Stock'!$R$2:$R$99,ROWS($A$3:A91)),"")</f>
        <v/>
      </c>
      <c r="B91" s="16">
        <f t="array" ref="B91">IF($A91="","",INDEX('Master Stock'!$C$2:$C$99,MATCH($A91,'Master Stock'!$R$2:$R$99,0)))</f>
        <v/>
      </c>
      <c r="C91" s="16">
        <f t="array" ref="C91">IF($A91="","",INDEX('Master Stock'!$D$2:$D$99,MATCH($A91,'Master Stock'!$R$2:$R$99,0)))</f>
        <v/>
      </c>
      <c r="D91" s="17">
        <f t="array" ref="D91">IF($A91="","",INDEX('Master Stock'!$B$2:$B$99,MATCH($A91,'Master Stock'!$R$2:$R$99,0)))</f>
        <v/>
      </c>
      <c r="E91" s="16">
        <f t="array" ref="E91">IF($A91="","",INDEX('Master Stock'!$G$2:$G$99,MATCH($A91,'Master Stock'!$R$2:$R$99,0)))</f>
        <v/>
      </c>
      <c r="F91" s="18">
        <f t="array" ref="F91">IF($A91="","",INDEX('Master Stock'!$F$2:$F$99,MATCH($A91,'Master Stock'!$R$2:$R$99,0)))</f>
        <v/>
      </c>
      <c r="G91" s="7">
        <f>IF($A91="","","Rice / FRK RRA")</f>
        <v/>
      </c>
      <c r="H91" s="19" t="n"/>
      <c r="I91" s="17">
        <f>IF($A91="","","FIFO - Oldest Receipt First")</f>
        <v/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idden="1" ht="15" customHeight="1">
      <c r="A92" s="15">
        <f>IFERROR(SMALL('Master Stock'!$R$2:$R$99,ROWS($A$3:A92)),"")</f>
        <v/>
      </c>
      <c r="B92" s="16">
        <f t="array" ref="B92">IF($A92="","",INDEX('Master Stock'!$C$2:$C$99,MATCH($A92,'Master Stock'!$R$2:$R$99,0)))</f>
        <v/>
      </c>
      <c r="C92" s="16">
        <f t="array" ref="C92">IF($A92="","",INDEX('Master Stock'!$D$2:$D$99,MATCH($A92,'Master Stock'!$R$2:$R$99,0)))</f>
        <v/>
      </c>
      <c r="D92" s="17">
        <f t="array" ref="D92">IF($A92="","",INDEX('Master Stock'!$B$2:$B$99,MATCH($A92,'Master Stock'!$R$2:$R$99,0)))</f>
        <v/>
      </c>
      <c r="E92" s="16">
        <f t="array" ref="E92">IF($A92="","",INDEX('Master Stock'!$G$2:$G$99,MATCH($A92,'Master Stock'!$R$2:$R$99,0)))</f>
        <v/>
      </c>
      <c r="F92" s="18">
        <f t="array" ref="F92">IF($A92="","",INDEX('Master Stock'!$F$2:$F$99,MATCH($A92,'Master Stock'!$R$2:$R$99,0)))</f>
        <v/>
      </c>
      <c r="G92" s="7">
        <f>IF($A92="","","Rice / FRK RRA")</f>
        <v/>
      </c>
      <c r="H92" s="19" t="n"/>
      <c r="I92" s="17">
        <f>IF($A92="","","FIFO - Oldest Receipt First")</f>
        <v/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idden="1" ht="15" customHeight="1">
      <c r="A93" s="15">
        <f>IFERROR(SMALL('Master Stock'!$R$2:$R$99,ROWS($A$3:A93)),"")</f>
        <v/>
      </c>
      <c r="B93" s="16">
        <f t="array" ref="B93">IF($A93="","",INDEX('Master Stock'!$C$2:$C$99,MATCH($A93,'Master Stock'!$R$2:$R$99,0)))</f>
        <v/>
      </c>
      <c r="C93" s="16">
        <f t="array" ref="C93">IF($A93="","",INDEX('Master Stock'!$D$2:$D$99,MATCH($A93,'Master Stock'!$R$2:$R$99,0)))</f>
        <v/>
      </c>
      <c r="D93" s="17">
        <f t="array" ref="D93">IF($A93="","",INDEX('Master Stock'!$B$2:$B$99,MATCH($A93,'Master Stock'!$R$2:$R$99,0)))</f>
        <v/>
      </c>
      <c r="E93" s="16">
        <f t="array" ref="E93">IF($A93="","",INDEX('Master Stock'!$G$2:$G$99,MATCH($A93,'Master Stock'!$R$2:$R$99,0)))</f>
        <v/>
      </c>
      <c r="F93" s="18">
        <f t="array" ref="F93">IF($A93="","",INDEX('Master Stock'!$F$2:$F$99,MATCH($A93,'Master Stock'!$R$2:$R$99,0)))</f>
        <v/>
      </c>
      <c r="G93" s="7">
        <f>IF($A93="","","Rice / FRK RRA")</f>
        <v/>
      </c>
      <c r="H93" s="19" t="n"/>
      <c r="I93" s="17">
        <f>IF($A93="","","FIFO - Oldest Receipt First")</f>
        <v/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idden="1" ht="15" customHeight="1">
      <c r="A94" s="15">
        <f>IFERROR(SMALL('Master Stock'!$R$2:$R$99,ROWS($A$3:A94)),"")</f>
        <v/>
      </c>
      <c r="B94" s="16">
        <f t="array" ref="B94">IF($A94="","",INDEX('Master Stock'!$C$2:$C$99,MATCH($A94,'Master Stock'!$R$2:$R$99,0)))</f>
        <v/>
      </c>
      <c r="C94" s="16">
        <f t="array" ref="C94">IF($A94="","",INDEX('Master Stock'!$D$2:$D$99,MATCH($A94,'Master Stock'!$R$2:$R$99,0)))</f>
        <v/>
      </c>
      <c r="D94" s="17">
        <f t="array" ref="D94">IF($A94="","",INDEX('Master Stock'!$B$2:$B$99,MATCH($A94,'Master Stock'!$R$2:$R$99,0)))</f>
        <v/>
      </c>
      <c r="E94" s="16">
        <f t="array" ref="E94">IF($A94="","",INDEX('Master Stock'!$G$2:$G$99,MATCH($A94,'Master Stock'!$R$2:$R$99,0)))</f>
        <v/>
      </c>
      <c r="F94" s="18">
        <f t="array" ref="F94">IF($A94="","",INDEX('Master Stock'!$F$2:$F$99,MATCH($A94,'Master Stock'!$R$2:$R$99,0)))</f>
        <v/>
      </c>
      <c r="G94" s="7">
        <f>IF($A94="","","Rice / FRK RRA")</f>
        <v/>
      </c>
      <c r="H94" s="19" t="n"/>
      <c r="I94" s="17">
        <f>IF($A94="","","FIFO - Oldest Receipt First")</f>
        <v/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idden="1" ht="15" customHeight="1">
      <c r="A95" s="15">
        <f>IFERROR(SMALL('Master Stock'!$R$2:$R$99,ROWS($A$3:A95)),"")</f>
        <v/>
      </c>
      <c r="B95" s="16">
        <f t="array" ref="B95">IF($A95="","",INDEX('Master Stock'!$C$2:$C$99,MATCH($A95,'Master Stock'!$R$2:$R$99,0)))</f>
        <v/>
      </c>
      <c r="C95" s="16">
        <f t="array" ref="C95">IF($A95="","",INDEX('Master Stock'!$D$2:$D$99,MATCH($A95,'Master Stock'!$R$2:$R$99,0)))</f>
        <v/>
      </c>
      <c r="D95" s="17">
        <f t="array" ref="D95">IF($A95="","",INDEX('Master Stock'!$B$2:$B$99,MATCH($A95,'Master Stock'!$R$2:$R$99,0)))</f>
        <v/>
      </c>
      <c r="E95" s="16">
        <f t="array" ref="E95">IF($A95="","",INDEX('Master Stock'!$G$2:$G$99,MATCH($A95,'Master Stock'!$R$2:$R$99,0)))</f>
        <v/>
      </c>
      <c r="F95" s="18">
        <f t="array" ref="F95">IF($A95="","",INDEX('Master Stock'!$F$2:$F$99,MATCH($A95,'Master Stock'!$R$2:$R$99,0)))</f>
        <v/>
      </c>
      <c r="G95" s="7">
        <f>IF($A95="","","Rice / FRK RRA")</f>
        <v/>
      </c>
      <c r="H95" s="19" t="n"/>
      <c r="I95" s="17">
        <f>IF($A95="","","FIFO - Oldest Receipt First")</f>
        <v/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idden="1" ht="15" customHeight="1">
      <c r="A96" s="15">
        <f>IFERROR(SMALL('Master Stock'!$R$2:$R$99,ROWS($A$3:A96)),"")</f>
        <v/>
      </c>
      <c r="B96" s="16">
        <f t="array" ref="B96">IF($A96="","",INDEX('Master Stock'!$C$2:$C$99,MATCH($A96,'Master Stock'!$R$2:$R$99,0)))</f>
        <v/>
      </c>
      <c r="C96" s="16">
        <f t="array" ref="C96">IF($A96="","",INDEX('Master Stock'!$D$2:$D$99,MATCH($A96,'Master Stock'!$R$2:$R$99,0)))</f>
        <v/>
      </c>
      <c r="D96" s="17">
        <f t="array" ref="D96">IF($A96="","",INDEX('Master Stock'!$B$2:$B$99,MATCH($A96,'Master Stock'!$R$2:$R$99,0)))</f>
        <v/>
      </c>
      <c r="E96" s="16">
        <f t="array" ref="E96">IF($A96="","",INDEX('Master Stock'!$G$2:$G$99,MATCH($A96,'Master Stock'!$R$2:$R$99,0)))</f>
        <v/>
      </c>
      <c r="F96" s="18">
        <f t="array" ref="F96">IF($A96="","",INDEX('Master Stock'!$F$2:$F$99,MATCH($A96,'Master Stock'!$R$2:$R$99,0)))</f>
        <v/>
      </c>
      <c r="G96" s="7">
        <f>IF($A96="","","Rice / FRK RRA")</f>
        <v/>
      </c>
      <c r="H96" s="19" t="n"/>
      <c r="I96" s="17">
        <f>IF($A96="","","FIFO - Oldest Receipt First")</f>
        <v/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idden="1" ht="15" customHeight="1">
      <c r="A97" s="15">
        <f>IFERROR(SMALL('Master Stock'!$R$2:$R$99,ROWS($A$3:A97)),"")</f>
        <v/>
      </c>
      <c r="B97" s="16">
        <f t="array" ref="B97">IF($A97="","",INDEX('Master Stock'!$C$2:$C$99,MATCH($A97,'Master Stock'!$R$2:$R$99,0)))</f>
        <v/>
      </c>
      <c r="C97" s="16">
        <f t="array" ref="C97">IF($A97="","",INDEX('Master Stock'!$D$2:$D$99,MATCH($A97,'Master Stock'!$R$2:$R$99,0)))</f>
        <v/>
      </c>
      <c r="D97" s="17">
        <f t="array" ref="D97">IF($A97="","",INDEX('Master Stock'!$B$2:$B$99,MATCH($A97,'Master Stock'!$R$2:$R$99,0)))</f>
        <v/>
      </c>
      <c r="E97" s="16">
        <f t="array" ref="E97">IF($A97="","",INDEX('Master Stock'!$G$2:$G$99,MATCH($A97,'Master Stock'!$R$2:$R$99,0)))</f>
        <v/>
      </c>
      <c r="F97" s="18">
        <f t="array" ref="F97">IF($A97="","",INDEX('Master Stock'!$F$2:$F$99,MATCH($A97,'Master Stock'!$R$2:$R$99,0)))</f>
        <v/>
      </c>
      <c r="G97" s="7">
        <f>IF($A97="","","Rice / FRK RRA")</f>
        <v/>
      </c>
      <c r="H97" s="19" t="n"/>
      <c r="I97" s="17">
        <f>IF($A97="","","FIFO - Oldest Receipt First")</f>
        <v/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idden="1" ht="15" customHeight="1">
      <c r="A98" s="15">
        <f>IFERROR(SMALL('Master Stock'!$R$2:$R$99,ROWS($A$3:A98)),"")</f>
        <v/>
      </c>
      <c r="B98" s="16">
        <f t="array" ref="B98">IF($A98="","",INDEX('Master Stock'!$C$2:$C$99,MATCH($A98,'Master Stock'!$R$2:$R$99,0)))</f>
        <v/>
      </c>
      <c r="C98" s="16">
        <f t="array" ref="C98">IF($A98="","",INDEX('Master Stock'!$D$2:$D$99,MATCH($A98,'Master Stock'!$R$2:$R$99,0)))</f>
        <v/>
      </c>
      <c r="D98" s="17">
        <f t="array" ref="D98">IF($A98="","",INDEX('Master Stock'!$B$2:$B$99,MATCH($A98,'Master Stock'!$R$2:$R$99,0)))</f>
        <v/>
      </c>
      <c r="E98" s="16">
        <f t="array" ref="E98">IF($A98="","",INDEX('Master Stock'!$G$2:$G$99,MATCH($A98,'Master Stock'!$R$2:$R$99,0)))</f>
        <v/>
      </c>
      <c r="F98" s="18">
        <f t="array" ref="F98">IF($A98="","",INDEX('Master Stock'!$F$2:$F$99,MATCH($A98,'Master Stock'!$R$2:$R$99,0)))</f>
        <v/>
      </c>
      <c r="G98" s="7">
        <f>IF($A98="","","Rice / FRK RRA")</f>
        <v/>
      </c>
      <c r="H98" s="19" t="n"/>
      <c r="I98" s="17">
        <f>IF($A98="","","FIFO - Oldest Receipt First")</f>
        <v/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idden="1" ht="15" customHeight="1">
      <c r="A99" s="15">
        <f>IFERROR(SMALL('Master Stock'!$R$2:$R$99,ROWS($A$3:A99)),"")</f>
        <v/>
      </c>
      <c r="B99" s="16">
        <f t="array" ref="B99">IF($A99="","",INDEX('Master Stock'!$C$2:$C$99,MATCH($A99,'Master Stock'!$R$2:$R$99,0)))</f>
        <v/>
      </c>
      <c r="C99" s="16">
        <f t="array" ref="C99">IF($A99="","",INDEX('Master Stock'!$D$2:$D$99,MATCH($A99,'Master Stock'!$R$2:$R$99,0)))</f>
        <v/>
      </c>
      <c r="D99" s="17">
        <f t="array" ref="D99">IF($A99="","",INDEX('Master Stock'!$B$2:$B$99,MATCH($A99,'Master Stock'!$R$2:$R$99,0)))</f>
        <v/>
      </c>
      <c r="E99" s="16">
        <f t="array" ref="E99">IF($A99="","",INDEX('Master Stock'!$G$2:$G$99,MATCH($A99,'Master Stock'!$R$2:$R$99,0)))</f>
        <v/>
      </c>
      <c r="F99" s="18">
        <f t="array" ref="F99">IF($A99="","",INDEX('Master Stock'!$F$2:$F$99,MATCH($A99,'Master Stock'!$R$2:$R$99,0)))</f>
        <v/>
      </c>
      <c r="G99" s="7">
        <f>IF($A99="","","Rice / FRK RRA")</f>
        <v/>
      </c>
      <c r="H99" s="19" t="n"/>
      <c r="I99" s="17">
        <f>IF($A99="","","FIFO - Oldest Receipt First")</f>
        <v/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idden="1" ht="15" customHeight="1">
      <c r="A100" s="15">
        <f>IFERROR(SMALL('Master Stock'!$R$2:$R$99,ROWS($A$3:A100)),"")</f>
        <v/>
      </c>
      <c r="B100" s="16">
        <f t="array" ref="B100">IF($A100="","",INDEX('Master Stock'!$C$2:$C$99,MATCH($A100,'Master Stock'!$R$2:$R$99,0)))</f>
        <v/>
      </c>
      <c r="C100" s="16">
        <f t="array" ref="C100">IF($A100="","",INDEX('Master Stock'!$D$2:$D$99,MATCH($A100,'Master Stock'!$R$2:$R$99,0)))</f>
        <v/>
      </c>
      <c r="D100" s="17">
        <f t="array" ref="D100">IF($A100="","",INDEX('Master Stock'!$B$2:$B$99,MATCH($A100,'Master Stock'!$R$2:$R$99,0)))</f>
        <v/>
      </c>
      <c r="E100" s="16">
        <f t="array" ref="E100">IF($A100="","",INDEX('Master Stock'!$G$2:$G$99,MATCH($A100,'Master Stock'!$R$2:$R$99,0)))</f>
        <v/>
      </c>
      <c r="F100" s="18">
        <f t="array" ref="F100">IF($A100="","",INDEX('Master Stock'!$F$2:$F$99,MATCH($A100,'Master Stock'!$R$2:$R$99,0)))</f>
        <v/>
      </c>
      <c r="G100" s="7">
        <f>IF($A100="","","Rice / FRK RRA")</f>
        <v/>
      </c>
      <c r="H100" s="19" t="n"/>
      <c r="I100" s="17">
        <f>IF($A100="","","FIFO - Oldest Receipt First")</f>
        <v/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>
      <c r="A101" s="20" t="inlineStr">
        <is>
          <t>To,</t>
        </is>
      </c>
      <c r="B101" s="16" t="n"/>
      <c r="C101" s="16" t="n"/>
      <c r="D101" s="16" t="n"/>
      <c r="E101" s="16" t="n"/>
      <c r="F101" s="18" t="n"/>
      <c r="G101" s="7" t="n"/>
      <c r="H101" s="7" t="n"/>
      <c r="I101" s="16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>
      <c r="A102" s="20" t="inlineStr">
        <is>
          <t>The Manager (QC)</t>
        </is>
      </c>
      <c r="B102" s="16" t="n"/>
      <c r="C102" s="16" t="n"/>
      <c r="D102" s="16" t="n"/>
      <c r="E102" s="16" t="n"/>
      <c r="F102" s="18" t="n"/>
      <c r="G102" s="7" t="n"/>
      <c r="H102" s="7" t="n"/>
      <c r="I102" s="16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>
      <c r="A103" s="20" t="inlineStr">
        <is>
          <t>GCI, FSD SABARMATI</t>
        </is>
      </c>
      <c r="B103" s="16" t="n"/>
      <c r="C103" s="16" t="n"/>
      <c r="D103" s="16" t="n"/>
      <c r="E103" s="16" t="n"/>
      <c r="F103" s="18" t="n"/>
      <c r="G103" s="7" t="n"/>
      <c r="H103" s="7" t="n"/>
      <c r="I103" s="16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>
      <c r="A104" s="16" t="n"/>
      <c r="B104" s="16" t="n"/>
      <c r="C104" s="16" t="n"/>
      <c r="D104" s="16" t="n"/>
      <c r="E104" s="16" t="n"/>
      <c r="F104" s="18" t="n"/>
      <c r="G104" s="7" t="inlineStr">
        <is>
          <t>SHAMBHU DAYAL MEENA</t>
        </is>
      </c>
      <c r="H104" s="7" t="n"/>
      <c r="I104" s="16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>
      <c r="A105" s="16" t="n"/>
      <c r="B105" s="16" t="n"/>
      <c r="C105" s="16" t="n"/>
      <c r="D105" s="16" t="n"/>
      <c r="E105" s="16" t="n"/>
      <c r="F105" s="18" t="n"/>
      <c r="G105" s="7" t="inlineStr">
        <is>
          <t>TA-II, FSD SABARMATI</t>
        </is>
      </c>
      <c r="H105" s="7" t="n"/>
      <c r="I105" s="16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>
      <c r="A106" s="16" t="n"/>
      <c r="B106" s="16" t="n"/>
      <c r="C106" s="16" t="n"/>
      <c r="D106" s="16" t="n"/>
      <c r="E106" s="16" t="n"/>
      <c r="F106" s="18" t="n"/>
      <c r="G106" s="7" t="inlineStr">
        <is>
          <t>QC UNIT NO -III</t>
        </is>
      </c>
      <c r="H106" s="7" t="n"/>
      <c r="I106" s="16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>
      <c r="A107" s="16" t="n"/>
      <c r="B107" s="16" t="n"/>
      <c r="C107" s="16" t="n"/>
      <c r="D107" s="16" t="n"/>
      <c r="E107" s="16" t="n"/>
      <c r="F107" s="18" t="n"/>
      <c r="G107" s="7" t="n"/>
      <c r="H107" s="7" t="n"/>
      <c r="I107" s="16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>
      <c r="A108" s="16" t="n"/>
      <c r="B108" s="16" t="n"/>
      <c r="C108" s="16" t="n"/>
      <c r="D108" s="16" t="n"/>
      <c r="E108" s="16" t="n"/>
      <c r="F108" s="18" t="n"/>
      <c r="G108" s="7" t="n"/>
      <c r="H108" s="7" t="n"/>
      <c r="I108" s="16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>
      <c r="A109" s="16" t="n"/>
      <c r="B109" s="16" t="n"/>
      <c r="C109" s="16" t="n"/>
      <c r="D109" s="16" t="n"/>
      <c r="E109" s="16" t="n"/>
      <c r="F109" s="18" t="n"/>
      <c r="G109" s="7" t="n"/>
      <c r="H109" s="7" t="n"/>
      <c r="I109" s="16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>
      <c r="A110" s="16" t="n"/>
      <c r="B110" s="16" t="n"/>
      <c r="C110" s="16" t="n"/>
      <c r="D110" s="16" t="n"/>
      <c r="E110" s="16" t="n"/>
      <c r="F110" s="18" t="n"/>
      <c r="G110" s="7" t="n"/>
      <c r="H110" s="7" t="n"/>
      <c r="I110" s="16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>
      <c r="A111" s="16" t="n"/>
      <c r="B111" s="16" t="n"/>
      <c r="C111" s="16" t="n"/>
      <c r="D111" s="16" t="n"/>
      <c r="E111" s="16" t="n"/>
      <c r="F111" s="18" t="n"/>
      <c r="G111" s="7" t="n"/>
      <c r="H111" s="7" t="n"/>
      <c r="I111" s="16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>
      <c r="A112" s="16" t="n"/>
      <c r="B112" s="16" t="n"/>
      <c r="C112" s="16" t="n"/>
      <c r="D112" s="16" t="n"/>
      <c r="E112" s="16" t="n"/>
      <c r="F112" s="18" t="n"/>
      <c r="G112" s="7" t="n"/>
      <c r="H112" s="7" t="n"/>
      <c r="I112" s="16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>
      <c r="A113" s="16" t="n"/>
      <c r="B113" s="16" t="n"/>
      <c r="C113" s="16" t="n"/>
      <c r="D113" s="16" t="n"/>
      <c r="E113" s="16" t="n"/>
      <c r="F113" s="18" t="n"/>
      <c r="G113" s="7" t="n"/>
      <c r="H113" s="7" t="n"/>
      <c r="I113" s="16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>
      <c r="A114" s="16" t="n"/>
      <c r="B114" s="16" t="n"/>
      <c r="C114" s="16" t="n"/>
      <c r="D114" s="16" t="n"/>
      <c r="E114" s="16" t="n"/>
      <c r="F114" s="18" t="n"/>
      <c r="G114" s="7" t="n"/>
      <c r="H114" s="7" t="n"/>
      <c r="I114" s="16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>
      <c r="A115" s="16" t="n"/>
      <c r="B115" s="16" t="n"/>
      <c r="C115" s="16" t="n"/>
      <c r="D115" s="16" t="n"/>
      <c r="E115" s="16" t="n"/>
      <c r="F115" s="18" t="n"/>
      <c r="G115" s="7" t="n"/>
      <c r="H115" s="7" t="n"/>
      <c r="I115" s="16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>
      <c r="A116" s="16" t="n"/>
      <c r="B116" s="16" t="n"/>
      <c r="C116" s="16" t="n"/>
      <c r="D116" s="16" t="n"/>
      <c r="E116" s="16" t="n"/>
      <c r="F116" s="18" t="n"/>
      <c r="G116" s="7" t="n"/>
      <c r="H116" s="7" t="n"/>
      <c r="I116" s="16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>
      <c r="A117" s="16" t="n"/>
      <c r="B117" s="16" t="n"/>
      <c r="C117" s="16" t="n"/>
      <c r="D117" s="16" t="n"/>
      <c r="E117" s="16" t="n"/>
      <c r="F117" s="18" t="n"/>
      <c r="G117" s="7" t="n"/>
      <c r="H117" s="7" t="n"/>
      <c r="I117" s="16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>
      <c r="A118" s="16" t="n"/>
      <c r="B118" s="16" t="n"/>
      <c r="C118" s="16" t="n"/>
      <c r="D118" s="16" t="n"/>
      <c r="E118" s="16" t="n"/>
      <c r="F118" s="18" t="n"/>
      <c r="G118" s="7" t="n"/>
      <c r="H118" s="7" t="n"/>
      <c r="I118" s="16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>
      <c r="A119" s="16" t="n"/>
      <c r="B119" s="16" t="n"/>
      <c r="C119" s="16" t="n"/>
      <c r="D119" s="16" t="n"/>
      <c r="E119" s="16" t="n"/>
      <c r="F119" s="18" t="n"/>
      <c r="G119" s="7" t="n"/>
      <c r="H119" s="7" t="n"/>
      <c r="I119" s="16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>
      <c r="A120" s="16" t="n"/>
      <c r="B120" s="16" t="n"/>
      <c r="C120" s="16" t="n"/>
      <c r="D120" s="16" t="n"/>
      <c r="E120" s="16" t="n"/>
      <c r="F120" s="18" t="n"/>
      <c r="G120" s="7" t="n"/>
      <c r="H120" s="7" t="n"/>
      <c r="I120" s="16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>
      <c r="A121" s="16" t="n"/>
      <c r="B121" s="16" t="n"/>
      <c r="C121" s="16" t="n"/>
      <c r="D121" s="16" t="n"/>
      <c r="E121" s="16" t="n"/>
      <c r="F121" s="18" t="n"/>
      <c r="G121" s="7" t="n"/>
      <c r="H121" s="7" t="n"/>
      <c r="I121" s="16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>
      <c r="A122" s="16" t="n"/>
      <c r="B122" s="16" t="n"/>
      <c r="C122" s="16" t="n"/>
      <c r="D122" s="16" t="n"/>
      <c r="E122" s="16" t="n"/>
      <c r="F122" s="18" t="n"/>
      <c r="G122" s="7" t="n"/>
      <c r="H122" s="7" t="n"/>
      <c r="I122" s="16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>
      <c r="A123" s="16" t="n"/>
      <c r="B123" s="16" t="n"/>
      <c r="C123" s="16" t="n"/>
      <c r="D123" s="16" t="n"/>
      <c r="E123" s="16" t="n"/>
      <c r="F123" s="18" t="n"/>
      <c r="G123" s="7" t="n"/>
      <c r="H123" s="7" t="n"/>
      <c r="I123" s="16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>
      <c r="A124" s="16" t="n"/>
      <c r="B124" s="16" t="n"/>
      <c r="C124" s="16" t="n"/>
      <c r="D124" s="16" t="n"/>
      <c r="E124" s="16" t="n"/>
      <c r="F124" s="18" t="n"/>
      <c r="G124" s="7" t="n"/>
      <c r="H124" s="7" t="n"/>
      <c r="I124" s="16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>
      <c r="A125" s="16" t="n"/>
      <c r="B125" s="16" t="n"/>
      <c r="C125" s="16" t="n"/>
      <c r="D125" s="16" t="n"/>
      <c r="E125" s="16" t="n"/>
      <c r="F125" s="18" t="n"/>
      <c r="G125" s="7" t="n"/>
      <c r="H125" s="7" t="n"/>
      <c r="I125" s="16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>
      <c r="A126" s="16" t="n"/>
      <c r="B126" s="16" t="n"/>
      <c r="C126" s="16" t="n"/>
      <c r="D126" s="16" t="n"/>
      <c r="E126" s="16" t="n"/>
      <c r="F126" s="18" t="n"/>
      <c r="G126" s="7" t="n"/>
      <c r="H126" s="7" t="n"/>
      <c r="I126" s="16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>
      <c r="A127" s="16" t="n"/>
      <c r="B127" s="16" t="n"/>
      <c r="C127" s="16" t="n"/>
      <c r="D127" s="16" t="n"/>
      <c r="E127" s="16" t="n"/>
      <c r="F127" s="18" t="n"/>
      <c r="G127" s="7" t="n"/>
      <c r="H127" s="7" t="n"/>
      <c r="I127" s="16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>
      <c r="A128" s="16" t="n"/>
      <c r="B128" s="16" t="n"/>
      <c r="C128" s="16" t="n"/>
      <c r="D128" s="16" t="n"/>
      <c r="E128" s="16" t="n"/>
      <c r="F128" s="18" t="n"/>
      <c r="G128" s="7" t="n"/>
      <c r="H128" s="7" t="n"/>
      <c r="I128" s="16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>
      <c r="A129" s="16" t="n"/>
      <c r="B129" s="16" t="n"/>
      <c r="C129" s="16" t="n"/>
      <c r="D129" s="16" t="n"/>
      <c r="E129" s="16" t="n"/>
      <c r="F129" s="18" t="n"/>
      <c r="G129" s="7" t="n"/>
      <c r="H129" s="7" t="n"/>
      <c r="I129" s="16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>
      <c r="A130" s="16" t="n"/>
      <c r="B130" s="16" t="n"/>
      <c r="C130" s="16" t="n"/>
      <c r="D130" s="16" t="n"/>
      <c r="E130" s="16" t="n"/>
      <c r="F130" s="18" t="n"/>
      <c r="G130" s="7" t="n"/>
      <c r="H130" s="7" t="n"/>
      <c r="I130" s="16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>
      <c r="A131" s="16" t="n"/>
      <c r="B131" s="16" t="n"/>
      <c r="C131" s="16" t="n"/>
      <c r="D131" s="16" t="n"/>
      <c r="E131" s="16" t="n"/>
      <c r="F131" s="18" t="n"/>
      <c r="G131" s="7" t="n"/>
      <c r="H131" s="7" t="n"/>
      <c r="I131" s="16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>
      <c r="A132" s="16" t="n"/>
      <c r="B132" s="16" t="n"/>
      <c r="C132" s="16" t="n"/>
      <c r="D132" s="16" t="n"/>
      <c r="E132" s="16" t="n"/>
      <c r="F132" s="18" t="n"/>
      <c r="G132" s="7" t="n"/>
      <c r="H132" s="7" t="n"/>
      <c r="I132" s="16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>
      <c r="A133" s="16" t="n"/>
      <c r="B133" s="16" t="n"/>
      <c r="C133" s="16" t="n"/>
      <c r="D133" s="16" t="n"/>
      <c r="E133" s="16" t="n"/>
      <c r="F133" s="18" t="n"/>
      <c r="G133" s="7" t="n"/>
      <c r="H133" s="7" t="n"/>
      <c r="I133" s="16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>
      <c r="A134" s="16" t="n"/>
      <c r="B134" s="16" t="n"/>
      <c r="C134" s="16" t="n"/>
      <c r="D134" s="16" t="n"/>
      <c r="E134" s="16" t="n"/>
      <c r="F134" s="18" t="n"/>
      <c r="G134" s="7" t="n"/>
      <c r="H134" s="7" t="n"/>
      <c r="I134" s="16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>
      <c r="A135" s="16" t="n"/>
      <c r="B135" s="16" t="n"/>
      <c r="C135" s="16" t="n"/>
      <c r="D135" s="16" t="n"/>
      <c r="E135" s="16" t="n"/>
      <c r="F135" s="18" t="n"/>
      <c r="G135" s="7" t="n"/>
      <c r="H135" s="7" t="n"/>
      <c r="I135" s="16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>
      <c r="A136" s="16" t="n"/>
      <c r="B136" s="16" t="n"/>
      <c r="C136" s="16" t="n"/>
      <c r="D136" s="16" t="n"/>
      <c r="E136" s="16" t="n"/>
      <c r="F136" s="18" t="n"/>
      <c r="G136" s="7" t="n"/>
      <c r="H136" s="7" t="n"/>
      <c r="I136" s="16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>
      <c r="A137" s="16" t="n"/>
      <c r="B137" s="16" t="n"/>
      <c r="C137" s="16" t="n"/>
      <c r="D137" s="16" t="n"/>
      <c r="E137" s="16" t="n"/>
      <c r="F137" s="18" t="n"/>
      <c r="G137" s="7" t="n"/>
      <c r="H137" s="7" t="n"/>
      <c r="I137" s="16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>
      <c r="A138" s="16" t="n"/>
      <c r="B138" s="16" t="n"/>
      <c r="C138" s="16" t="n"/>
      <c r="D138" s="16" t="n"/>
      <c r="E138" s="16" t="n"/>
      <c r="F138" s="18" t="n"/>
      <c r="G138" s="7" t="n"/>
      <c r="H138" s="7" t="n"/>
      <c r="I138" s="16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>
      <c r="A139" s="16" t="n"/>
      <c r="B139" s="16" t="n"/>
      <c r="C139" s="16" t="n"/>
      <c r="D139" s="16" t="n"/>
      <c r="E139" s="16" t="n"/>
      <c r="F139" s="18" t="n"/>
      <c r="G139" s="7" t="n"/>
      <c r="H139" s="7" t="n"/>
      <c r="I139" s="16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>
      <c r="A140" s="16" t="n"/>
      <c r="B140" s="16" t="n"/>
      <c r="C140" s="16" t="n"/>
      <c r="D140" s="16" t="n"/>
      <c r="E140" s="16" t="n"/>
      <c r="F140" s="18" t="n"/>
      <c r="G140" s="7" t="n"/>
      <c r="H140" s="7" t="n"/>
      <c r="I140" s="16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>
      <c r="A141" s="16" t="n"/>
      <c r="B141" s="16" t="n"/>
      <c r="C141" s="16" t="n"/>
      <c r="D141" s="16" t="n"/>
      <c r="E141" s="16" t="n"/>
      <c r="F141" s="18" t="n"/>
      <c r="G141" s="7" t="n"/>
      <c r="H141" s="7" t="n"/>
      <c r="I141" s="16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>
      <c r="A142" s="16" t="n"/>
      <c r="B142" s="16" t="n"/>
      <c r="C142" s="16" t="n"/>
      <c r="D142" s="16" t="n"/>
      <c r="E142" s="16" t="n"/>
      <c r="F142" s="18" t="n"/>
      <c r="G142" s="7" t="n"/>
      <c r="H142" s="7" t="n"/>
      <c r="I142" s="16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>
      <c r="A143" s="16" t="n"/>
      <c r="B143" s="16" t="n"/>
      <c r="C143" s="16" t="n"/>
      <c r="D143" s="16" t="n"/>
      <c r="E143" s="16" t="n"/>
      <c r="F143" s="18" t="n"/>
      <c r="G143" s="7" t="n"/>
      <c r="H143" s="7" t="n"/>
      <c r="I143" s="16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>
      <c r="A144" s="16" t="n"/>
      <c r="B144" s="16" t="n"/>
      <c r="C144" s="16" t="n"/>
      <c r="D144" s="16" t="n"/>
      <c r="E144" s="16" t="n"/>
      <c r="F144" s="18" t="n"/>
      <c r="G144" s="7" t="n"/>
      <c r="H144" s="7" t="n"/>
      <c r="I144" s="16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>
      <c r="A145" s="16" t="n"/>
      <c r="B145" s="16" t="n"/>
      <c r="C145" s="16" t="n"/>
      <c r="D145" s="16" t="n"/>
      <c r="E145" s="16" t="n"/>
      <c r="F145" s="18" t="n"/>
      <c r="G145" s="7" t="n"/>
      <c r="H145" s="7" t="n"/>
      <c r="I145" s="16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>
      <c r="A146" s="16" t="n"/>
      <c r="B146" s="16" t="n"/>
      <c r="C146" s="16" t="n"/>
      <c r="D146" s="16" t="n"/>
      <c r="E146" s="16" t="n"/>
      <c r="F146" s="18" t="n"/>
      <c r="G146" s="7" t="n"/>
      <c r="H146" s="7" t="n"/>
      <c r="I146" s="16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>
      <c r="A147" s="16" t="n"/>
      <c r="B147" s="16" t="n"/>
      <c r="C147" s="16" t="n"/>
      <c r="D147" s="16" t="n"/>
      <c r="E147" s="16" t="n"/>
      <c r="F147" s="18" t="n"/>
      <c r="G147" s="7" t="n"/>
      <c r="H147" s="7" t="n"/>
      <c r="I147" s="16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>
      <c r="A148" s="16" t="n"/>
      <c r="B148" s="16" t="n"/>
      <c r="C148" s="16" t="n"/>
      <c r="D148" s="16" t="n"/>
      <c r="E148" s="16" t="n"/>
      <c r="F148" s="18" t="n"/>
      <c r="G148" s="7" t="n"/>
      <c r="H148" s="7" t="n"/>
      <c r="I148" s="16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>
      <c r="A149" s="16" t="n"/>
      <c r="B149" s="16" t="n"/>
      <c r="C149" s="16" t="n"/>
      <c r="D149" s="16" t="n"/>
      <c r="E149" s="16" t="n"/>
      <c r="F149" s="18" t="n"/>
      <c r="G149" s="7" t="n"/>
      <c r="H149" s="7" t="n"/>
      <c r="I149" s="16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>
      <c r="A150" s="16" t="n"/>
      <c r="B150" s="16" t="n"/>
      <c r="C150" s="16" t="n"/>
      <c r="D150" s="16" t="n"/>
      <c r="E150" s="16" t="n"/>
      <c r="F150" s="18" t="n"/>
      <c r="G150" s="7" t="n"/>
      <c r="H150" s="7" t="n"/>
      <c r="I150" s="16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>
      <c r="A151" s="16" t="n"/>
      <c r="B151" s="16" t="n"/>
      <c r="C151" s="16" t="n"/>
      <c r="D151" s="16" t="n"/>
      <c r="E151" s="16" t="n"/>
      <c r="F151" s="18" t="n"/>
      <c r="G151" s="7" t="n"/>
      <c r="H151" s="7" t="n"/>
      <c r="I151" s="16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>
      <c r="A152" s="16" t="n"/>
      <c r="B152" s="16" t="n"/>
      <c r="C152" s="16" t="n"/>
      <c r="D152" s="16" t="n"/>
      <c r="E152" s="16" t="n"/>
      <c r="F152" s="18" t="n"/>
      <c r="G152" s="7" t="n"/>
      <c r="H152" s="7" t="n"/>
      <c r="I152" s="16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>
      <c r="A153" s="16" t="n"/>
      <c r="B153" s="16" t="n"/>
      <c r="C153" s="16" t="n"/>
      <c r="D153" s="16" t="n"/>
      <c r="E153" s="16" t="n"/>
      <c r="F153" s="18" t="n"/>
      <c r="G153" s="7" t="n"/>
      <c r="H153" s="7" t="n"/>
      <c r="I153" s="16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>
      <c r="A154" s="16" t="n"/>
      <c r="B154" s="16" t="n"/>
      <c r="C154" s="16" t="n"/>
      <c r="D154" s="16" t="n"/>
      <c r="E154" s="16" t="n"/>
      <c r="F154" s="18" t="n"/>
      <c r="G154" s="7" t="n"/>
      <c r="H154" s="7" t="n"/>
      <c r="I154" s="16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>
      <c r="A155" s="16" t="n"/>
      <c r="B155" s="16" t="n"/>
      <c r="C155" s="16" t="n"/>
      <c r="D155" s="16" t="n"/>
      <c r="E155" s="16" t="n"/>
      <c r="F155" s="18" t="n"/>
      <c r="G155" s="7" t="n"/>
      <c r="H155" s="7" t="n"/>
      <c r="I155" s="16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>
      <c r="A156" s="16" t="n"/>
      <c r="B156" s="16" t="n"/>
      <c r="C156" s="16" t="n"/>
      <c r="D156" s="16" t="n"/>
      <c r="E156" s="16" t="n"/>
      <c r="F156" s="18" t="n"/>
      <c r="G156" s="7" t="n"/>
      <c r="H156" s="7" t="n"/>
      <c r="I156" s="16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>
      <c r="A157" s="16" t="n"/>
      <c r="B157" s="16" t="n"/>
      <c r="C157" s="16" t="n"/>
      <c r="D157" s="16" t="n"/>
      <c r="E157" s="16" t="n"/>
      <c r="F157" s="18" t="n"/>
      <c r="G157" s="7" t="n"/>
      <c r="H157" s="7" t="n"/>
      <c r="I157" s="16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>
      <c r="A158" s="16" t="n"/>
      <c r="B158" s="16" t="n"/>
      <c r="C158" s="16" t="n"/>
      <c r="D158" s="16" t="n"/>
      <c r="E158" s="16" t="n"/>
      <c r="F158" s="18" t="n"/>
      <c r="G158" s="7" t="n"/>
      <c r="H158" s="7" t="n"/>
      <c r="I158" s="16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>
      <c r="A159" s="16" t="n"/>
      <c r="B159" s="16" t="n"/>
      <c r="C159" s="16" t="n"/>
      <c r="D159" s="16" t="n"/>
      <c r="E159" s="16" t="n"/>
      <c r="F159" s="18" t="n"/>
      <c r="G159" s="7" t="n"/>
      <c r="H159" s="7" t="n"/>
      <c r="I159" s="16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>
      <c r="A160" s="16" t="n"/>
      <c r="B160" s="16" t="n"/>
      <c r="C160" s="16" t="n"/>
      <c r="D160" s="16" t="n"/>
      <c r="E160" s="16" t="n"/>
      <c r="F160" s="18" t="n"/>
      <c r="G160" s="7" t="n"/>
      <c r="H160" s="7" t="n"/>
      <c r="I160" s="16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>
      <c r="A161" s="16" t="n"/>
      <c r="B161" s="16" t="n"/>
      <c r="C161" s="16" t="n"/>
      <c r="D161" s="16" t="n"/>
      <c r="E161" s="16" t="n"/>
      <c r="F161" s="18" t="n"/>
      <c r="G161" s="7" t="n"/>
      <c r="H161" s="7" t="n"/>
      <c r="I161" s="16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>
      <c r="A162" s="16" t="n"/>
      <c r="B162" s="16" t="n"/>
      <c r="C162" s="16" t="n"/>
      <c r="D162" s="16" t="n"/>
      <c r="E162" s="16" t="n"/>
      <c r="F162" s="18" t="n"/>
      <c r="G162" s="7" t="n"/>
      <c r="H162" s="7" t="n"/>
      <c r="I162" s="16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>
      <c r="A163" s="16" t="n"/>
      <c r="B163" s="16" t="n"/>
      <c r="C163" s="16" t="n"/>
      <c r="D163" s="16" t="n"/>
      <c r="E163" s="16" t="n"/>
      <c r="F163" s="18" t="n"/>
      <c r="G163" s="7" t="n"/>
      <c r="H163" s="7" t="n"/>
      <c r="I163" s="16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>
      <c r="A164" s="16" t="n"/>
      <c r="B164" s="16" t="n"/>
      <c r="C164" s="16" t="n"/>
      <c r="D164" s="16" t="n"/>
      <c r="E164" s="16" t="n"/>
      <c r="F164" s="18" t="n"/>
      <c r="G164" s="7" t="n"/>
      <c r="H164" s="7" t="n"/>
      <c r="I164" s="16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>
      <c r="A165" s="16" t="n"/>
      <c r="B165" s="16" t="n"/>
      <c r="C165" s="16" t="n"/>
      <c r="D165" s="16" t="n"/>
      <c r="E165" s="16" t="n"/>
      <c r="F165" s="18" t="n"/>
      <c r="G165" s="7" t="n"/>
      <c r="H165" s="7" t="n"/>
      <c r="I165" s="16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>
      <c r="A166" s="16" t="n"/>
      <c r="B166" s="16" t="n"/>
      <c r="C166" s="16" t="n"/>
      <c r="D166" s="16" t="n"/>
      <c r="E166" s="16" t="n"/>
      <c r="F166" s="18" t="n"/>
      <c r="G166" s="7" t="n"/>
      <c r="H166" s="7" t="n"/>
      <c r="I166" s="16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>
      <c r="A167" s="16" t="n"/>
      <c r="B167" s="16" t="n"/>
      <c r="C167" s="16" t="n"/>
      <c r="D167" s="16" t="n"/>
      <c r="E167" s="16" t="n"/>
      <c r="F167" s="18" t="n"/>
      <c r="G167" s="7" t="n"/>
      <c r="H167" s="7" t="n"/>
      <c r="I167" s="16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>
      <c r="A168" s="16" t="n"/>
      <c r="B168" s="16" t="n"/>
      <c r="C168" s="16" t="n"/>
      <c r="D168" s="16" t="n"/>
      <c r="E168" s="16" t="n"/>
      <c r="F168" s="18" t="n"/>
      <c r="G168" s="7" t="n"/>
      <c r="H168" s="7" t="n"/>
      <c r="I168" s="16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>
      <c r="A169" s="16" t="n"/>
      <c r="B169" s="16" t="n"/>
      <c r="C169" s="16" t="n"/>
      <c r="D169" s="16" t="n"/>
      <c r="E169" s="16" t="n"/>
      <c r="F169" s="18" t="n"/>
      <c r="G169" s="7" t="n"/>
      <c r="H169" s="7" t="n"/>
      <c r="I169" s="16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>
      <c r="A170" s="16" t="n"/>
      <c r="B170" s="16" t="n"/>
      <c r="C170" s="16" t="n"/>
      <c r="D170" s="16" t="n"/>
      <c r="E170" s="16" t="n"/>
      <c r="F170" s="18" t="n"/>
      <c r="G170" s="7" t="n"/>
      <c r="H170" s="7" t="n"/>
      <c r="I170" s="16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>
      <c r="A171" s="16" t="n"/>
      <c r="B171" s="16" t="n"/>
      <c r="C171" s="16" t="n"/>
      <c r="D171" s="16" t="n"/>
      <c r="E171" s="16" t="n"/>
      <c r="F171" s="18" t="n"/>
      <c r="G171" s="7" t="n"/>
      <c r="H171" s="7" t="n"/>
      <c r="I171" s="16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>
      <c r="A172" s="16" t="n"/>
      <c r="B172" s="16" t="n"/>
      <c r="C172" s="16" t="n"/>
      <c r="D172" s="16" t="n"/>
      <c r="E172" s="16" t="n"/>
      <c r="F172" s="18" t="n"/>
      <c r="G172" s="7" t="n"/>
      <c r="H172" s="7" t="n"/>
      <c r="I172" s="16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>
      <c r="A173" s="16" t="n"/>
      <c r="B173" s="16" t="n"/>
      <c r="C173" s="16" t="n"/>
      <c r="D173" s="16" t="n"/>
      <c r="E173" s="16" t="n"/>
      <c r="F173" s="18" t="n"/>
      <c r="G173" s="7" t="n"/>
      <c r="H173" s="7" t="n"/>
      <c r="I173" s="16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>
      <c r="A174" s="16" t="n"/>
      <c r="B174" s="16" t="n"/>
      <c r="C174" s="16" t="n"/>
      <c r="D174" s="16" t="n"/>
      <c r="E174" s="16" t="n"/>
      <c r="F174" s="18" t="n"/>
      <c r="G174" s="7" t="n"/>
      <c r="H174" s="7" t="n"/>
      <c r="I174" s="16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>
      <c r="A175" s="16" t="n"/>
      <c r="B175" s="16" t="n"/>
      <c r="C175" s="16" t="n"/>
      <c r="D175" s="16" t="n"/>
      <c r="E175" s="16" t="n"/>
      <c r="F175" s="18" t="n"/>
      <c r="G175" s="7" t="n"/>
      <c r="H175" s="7" t="n"/>
      <c r="I175" s="16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>
      <c r="A176" s="16" t="n"/>
      <c r="B176" s="16" t="n"/>
      <c r="C176" s="16" t="n"/>
      <c r="D176" s="16" t="n"/>
      <c r="E176" s="16" t="n"/>
      <c r="F176" s="18" t="n"/>
      <c r="G176" s="7" t="n"/>
      <c r="H176" s="7" t="n"/>
      <c r="I176" s="16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>
      <c r="A177" s="16" t="n"/>
      <c r="B177" s="16" t="n"/>
      <c r="C177" s="16" t="n"/>
      <c r="D177" s="16" t="n"/>
      <c r="E177" s="16" t="n"/>
      <c r="F177" s="18" t="n"/>
      <c r="G177" s="7" t="n"/>
      <c r="H177" s="7" t="n"/>
      <c r="I177" s="16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>
      <c r="A178" s="16" t="n"/>
      <c r="B178" s="16" t="n"/>
      <c r="C178" s="16" t="n"/>
      <c r="D178" s="16" t="n"/>
      <c r="E178" s="16" t="n"/>
      <c r="F178" s="18" t="n"/>
      <c r="G178" s="7" t="n"/>
      <c r="H178" s="7" t="n"/>
      <c r="I178" s="16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>
      <c r="A179" s="16" t="n"/>
      <c r="B179" s="16" t="n"/>
      <c r="C179" s="16" t="n"/>
      <c r="D179" s="16" t="n"/>
      <c r="E179" s="16" t="n"/>
      <c r="F179" s="18" t="n"/>
      <c r="G179" s="7" t="n"/>
      <c r="H179" s="7" t="n"/>
      <c r="I179" s="16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>
      <c r="A180" s="16" t="n"/>
      <c r="B180" s="16" t="n"/>
      <c r="C180" s="16" t="n"/>
      <c r="D180" s="16" t="n"/>
      <c r="E180" s="16" t="n"/>
      <c r="F180" s="18" t="n"/>
      <c r="G180" s="7" t="n"/>
      <c r="H180" s="7" t="n"/>
      <c r="I180" s="16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>
      <c r="A181" s="16" t="n"/>
      <c r="B181" s="16" t="n"/>
      <c r="C181" s="16" t="n"/>
      <c r="D181" s="16" t="n"/>
      <c r="E181" s="16" t="n"/>
      <c r="F181" s="18" t="n"/>
      <c r="G181" s="7" t="n"/>
      <c r="H181" s="7" t="n"/>
      <c r="I181" s="16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>
      <c r="A182" s="16" t="n"/>
      <c r="B182" s="16" t="n"/>
      <c r="C182" s="16" t="n"/>
      <c r="D182" s="16" t="n"/>
      <c r="E182" s="16" t="n"/>
      <c r="F182" s="18" t="n"/>
      <c r="G182" s="7" t="n"/>
      <c r="H182" s="7" t="n"/>
      <c r="I182" s="16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>
      <c r="A183" s="16" t="n"/>
      <c r="B183" s="16" t="n"/>
      <c r="C183" s="16" t="n"/>
      <c r="D183" s="16" t="n"/>
      <c r="E183" s="16" t="n"/>
      <c r="F183" s="18" t="n"/>
      <c r="G183" s="7" t="n"/>
      <c r="H183" s="7" t="n"/>
      <c r="I183" s="16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>
      <c r="A184" s="16" t="n"/>
      <c r="B184" s="16" t="n"/>
      <c r="C184" s="16" t="n"/>
      <c r="D184" s="16" t="n"/>
      <c r="E184" s="16" t="n"/>
      <c r="F184" s="18" t="n"/>
      <c r="G184" s="7" t="n"/>
      <c r="H184" s="7" t="n"/>
      <c r="I184" s="16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>
      <c r="A185" s="16" t="n"/>
      <c r="B185" s="16" t="n"/>
      <c r="C185" s="16" t="n"/>
      <c r="D185" s="16" t="n"/>
      <c r="E185" s="16" t="n"/>
      <c r="F185" s="18" t="n"/>
      <c r="G185" s="7" t="n"/>
      <c r="H185" s="7" t="n"/>
      <c r="I185" s="16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>
      <c r="A186" s="16" t="n"/>
      <c r="B186" s="16" t="n"/>
      <c r="C186" s="16" t="n"/>
      <c r="D186" s="16" t="n"/>
      <c r="E186" s="16" t="n"/>
      <c r="F186" s="18" t="n"/>
      <c r="G186" s="7" t="n"/>
      <c r="H186" s="7" t="n"/>
      <c r="I186" s="16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>
      <c r="A187" s="16" t="n"/>
      <c r="B187" s="16" t="n"/>
      <c r="C187" s="16" t="n"/>
      <c r="D187" s="16" t="n"/>
      <c r="E187" s="16" t="n"/>
      <c r="F187" s="18" t="n"/>
      <c r="G187" s="7" t="n"/>
      <c r="H187" s="7" t="n"/>
      <c r="I187" s="16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>
      <c r="A188" s="16" t="n"/>
      <c r="B188" s="16" t="n"/>
      <c r="C188" s="16" t="n"/>
      <c r="D188" s="16" t="n"/>
      <c r="E188" s="16" t="n"/>
      <c r="F188" s="18" t="n"/>
      <c r="G188" s="7" t="n"/>
      <c r="H188" s="7" t="n"/>
      <c r="I188" s="16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>
      <c r="A189" s="16" t="n"/>
      <c r="B189" s="16" t="n"/>
      <c r="C189" s="16" t="n"/>
      <c r="D189" s="16" t="n"/>
      <c r="E189" s="16" t="n"/>
      <c r="F189" s="18" t="n"/>
      <c r="G189" s="7" t="n"/>
      <c r="H189" s="7" t="n"/>
      <c r="I189" s="16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>
      <c r="A190" s="16" t="n"/>
      <c r="B190" s="16" t="n"/>
      <c r="C190" s="16" t="n"/>
      <c r="D190" s="16" t="n"/>
      <c r="E190" s="16" t="n"/>
      <c r="F190" s="18" t="n"/>
      <c r="G190" s="7" t="n"/>
      <c r="H190" s="7" t="n"/>
      <c r="I190" s="16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>
      <c r="A191" s="16" t="n"/>
      <c r="B191" s="16" t="n"/>
      <c r="C191" s="16" t="n"/>
      <c r="D191" s="16" t="n"/>
      <c r="E191" s="16" t="n"/>
      <c r="F191" s="18" t="n"/>
      <c r="G191" s="7" t="n"/>
      <c r="H191" s="7" t="n"/>
      <c r="I191" s="16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>
      <c r="A192" s="16" t="n"/>
      <c r="B192" s="16" t="n"/>
      <c r="C192" s="16" t="n"/>
      <c r="D192" s="16" t="n"/>
      <c r="E192" s="16" t="n"/>
      <c r="F192" s="18" t="n"/>
      <c r="G192" s="7" t="n"/>
      <c r="H192" s="7" t="n"/>
      <c r="I192" s="16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>
      <c r="A193" s="16" t="n"/>
      <c r="B193" s="16" t="n"/>
      <c r="C193" s="16" t="n"/>
      <c r="D193" s="16" t="n"/>
      <c r="E193" s="16" t="n"/>
      <c r="F193" s="18" t="n"/>
      <c r="G193" s="7" t="n"/>
      <c r="H193" s="7" t="n"/>
      <c r="I193" s="16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>
      <c r="A194" s="16" t="n"/>
      <c r="B194" s="16" t="n"/>
      <c r="C194" s="16" t="n"/>
      <c r="D194" s="16" t="n"/>
      <c r="E194" s="16" t="n"/>
      <c r="F194" s="18" t="n"/>
      <c r="G194" s="7" t="n"/>
      <c r="H194" s="7" t="n"/>
      <c r="I194" s="16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>
      <c r="A195" s="16" t="n"/>
      <c r="B195" s="16" t="n"/>
      <c r="C195" s="16" t="n"/>
      <c r="D195" s="16" t="n"/>
      <c r="E195" s="16" t="n"/>
      <c r="F195" s="18" t="n"/>
      <c r="G195" s="7" t="n"/>
      <c r="H195" s="7" t="n"/>
      <c r="I195" s="16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>
      <c r="A196" s="16" t="n"/>
      <c r="B196" s="16" t="n"/>
      <c r="C196" s="16" t="n"/>
      <c r="D196" s="16" t="n"/>
      <c r="E196" s="16" t="n"/>
      <c r="F196" s="18" t="n"/>
      <c r="G196" s="7" t="n"/>
      <c r="H196" s="7" t="n"/>
      <c r="I196" s="16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>
      <c r="A197" s="16" t="n"/>
      <c r="B197" s="16" t="n"/>
      <c r="C197" s="16" t="n"/>
      <c r="D197" s="16" t="n"/>
      <c r="E197" s="16" t="n"/>
      <c r="F197" s="18" t="n"/>
      <c r="G197" s="7" t="n"/>
      <c r="H197" s="7" t="n"/>
      <c r="I197" s="16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>
      <c r="A198" s="16" t="n"/>
      <c r="B198" s="16" t="n"/>
      <c r="C198" s="16" t="n"/>
      <c r="D198" s="16" t="n"/>
      <c r="E198" s="16" t="n"/>
      <c r="F198" s="18" t="n"/>
      <c r="G198" s="7" t="n"/>
      <c r="H198" s="7" t="n"/>
      <c r="I198" s="16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>
      <c r="A199" s="16" t="n"/>
      <c r="B199" s="16" t="n"/>
      <c r="C199" s="16" t="n"/>
      <c r="D199" s="16" t="n"/>
      <c r="E199" s="16" t="n"/>
      <c r="F199" s="18" t="n"/>
      <c r="G199" s="7" t="n"/>
      <c r="H199" s="7" t="n"/>
      <c r="I199" s="16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>
      <c r="A200" s="16" t="n"/>
      <c r="B200" s="16" t="n"/>
      <c r="C200" s="16" t="n"/>
      <c r="D200" s="16" t="n"/>
      <c r="E200" s="16" t="n"/>
      <c r="F200" s="18" t="n"/>
      <c r="G200" s="7" t="n"/>
      <c r="H200" s="7" t="n"/>
      <c r="I200" s="16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>
      <c r="A201" s="16" t="n"/>
      <c r="B201" s="16" t="n"/>
      <c r="C201" s="16" t="n"/>
      <c r="D201" s="16" t="n"/>
      <c r="E201" s="16" t="n"/>
      <c r="F201" s="18" t="n"/>
      <c r="G201" s="7" t="n"/>
      <c r="H201" s="7" t="n"/>
      <c r="I201" s="16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>
      <c r="A202" s="16" t="n"/>
      <c r="B202" s="16" t="n"/>
      <c r="C202" s="16" t="n"/>
      <c r="D202" s="16" t="n"/>
      <c r="E202" s="16" t="n"/>
      <c r="F202" s="18" t="n"/>
      <c r="G202" s="7" t="n"/>
      <c r="H202" s="7" t="n"/>
      <c r="I202" s="16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>
      <c r="A203" s="16" t="n"/>
      <c r="B203" s="16" t="n"/>
      <c r="C203" s="16" t="n"/>
      <c r="D203" s="16" t="n"/>
      <c r="E203" s="16" t="n"/>
      <c r="F203" s="18" t="n"/>
      <c r="G203" s="7" t="n"/>
      <c r="H203" s="7" t="n"/>
      <c r="I203" s="16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>
      <c r="A204" s="16" t="n"/>
      <c r="B204" s="16" t="n"/>
      <c r="C204" s="16" t="n"/>
      <c r="D204" s="16" t="n"/>
      <c r="E204" s="16" t="n"/>
      <c r="F204" s="18" t="n"/>
      <c r="G204" s="7" t="n"/>
      <c r="H204" s="7" t="n"/>
      <c r="I204" s="16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>
      <c r="A205" s="16" t="n"/>
      <c r="B205" s="16" t="n"/>
      <c r="C205" s="16" t="n"/>
      <c r="D205" s="16" t="n"/>
      <c r="E205" s="16" t="n"/>
      <c r="F205" s="18" t="n"/>
      <c r="G205" s="7" t="n"/>
      <c r="H205" s="7" t="n"/>
      <c r="I205" s="16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>
      <c r="A206" s="16" t="n"/>
      <c r="B206" s="16" t="n"/>
      <c r="C206" s="16" t="n"/>
      <c r="D206" s="16" t="n"/>
      <c r="E206" s="16" t="n"/>
      <c r="F206" s="18" t="n"/>
      <c r="G206" s="7" t="n"/>
      <c r="H206" s="7" t="n"/>
      <c r="I206" s="16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>
      <c r="A207" s="16" t="n"/>
      <c r="B207" s="16" t="n"/>
      <c r="C207" s="16" t="n"/>
      <c r="D207" s="16" t="n"/>
      <c r="E207" s="16" t="n"/>
      <c r="F207" s="18" t="n"/>
      <c r="G207" s="7" t="n"/>
      <c r="H207" s="7" t="n"/>
      <c r="I207" s="16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>
      <c r="A208" s="16" t="n"/>
      <c r="B208" s="16" t="n"/>
      <c r="C208" s="16" t="n"/>
      <c r="D208" s="16" t="n"/>
      <c r="E208" s="16" t="n"/>
      <c r="F208" s="18" t="n"/>
      <c r="G208" s="7" t="n"/>
      <c r="H208" s="7" t="n"/>
      <c r="I208" s="16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>
      <c r="A209" s="16" t="n"/>
      <c r="B209" s="16" t="n"/>
      <c r="C209" s="16" t="n"/>
      <c r="D209" s="16" t="n"/>
      <c r="E209" s="16" t="n"/>
      <c r="F209" s="18" t="n"/>
      <c r="G209" s="7" t="n"/>
      <c r="H209" s="7" t="n"/>
      <c r="I209" s="16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>
      <c r="A210" s="16" t="n"/>
      <c r="B210" s="16" t="n"/>
      <c r="C210" s="16" t="n"/>
      <c r="D210" s="16" t="n"/>
      <c r="E210" s="16" t="n"/>
      <c r="F210" s="18" t="n"/>
      <c r="G210" s="7" t="n"/>
      <c r="H210" s="7" t="n"/>
      <c r="I210" s="16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>
      <c r="A211" s="16" t="n"/>
      <c r="B211" s="16" t="n"/>
      <c r="C211" s="16" t="n"/>
      <c r="D211" s="16" t="n"/>
      <c r="E211" s="16" t="n"/>
      <c r="F211" s="18" t="n"/>
      <c r="G211" s="7" t="n"/>
      <c r="H211" s="7" t="n"/>
      <c r="I211" s="16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>
      <c r="A212" s="16" t="n"/>
      <c r="B212" s="16" t="n"/>
      <c r="C212" s="16" t="n"/>
      <c r="D212" s="16" t="n"/>
      <c r="E212" s="16" t="n"/>
      <c r="F212" s="18" t="n"/>
      <c r="G212" s="7" t="n"/>
      <c r="H212" s="7" t="n"/>
      <c r="I212" s="16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>
      <c r="A213" s="16" t="n"/>
      <c r="B213" s="16" t="n"/>
      <c r="C213" s="16" t="n"/>
      <c r="D213" s="16" t="n"/>
      <c r="E213" s="16" t="n"/>
      <c r="F213" s="18" t="n"/>
      <c r="G213" s="7" t="n"/>
      <c r="H213" s="7" t="n"/>
      <c r="I213" s="16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>
      <c r="A214" s="16" t="n"/>
      <c r="B214" s="16" t="n"/>
      <c r="C214" s="16" t="n"/>
      <c r="D214" s="16" t="n"/>
      <c r="E214" s="16" t="n"/>
      <c r="F214" s="18" t="n"/>
      <c r="G214" s="7" t="n"/>
      <c r="H214" s="7" t="n"/>
      <c r="I214" s="16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>
      <c r="A215" s="16" t="n"/>
      <c r="B215" s="16" t="n"/>
      <c r="C215" s="16" t="n"/>
      <c r="D215" s="16" t="n"/>
      <c r="E215" s="16" t="n"/>
      <c r="F215" s="18" t="n"/>
      <c r="G215" s="7" t="n"/>
      <c r="H215" s="7" t="n"/>
      <c r="I215" s="16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>
      <c r="A216" s="16" t="n"/>
      <c r="B216" s="16" t="n"/>
      <c r="C216" s="16" t="n"/>
      <c r="D216" s="16" t="n"/>
      <c r="E216" s="16" t="n"/>
      <c r="F216" s="18" t="n"/>
      <c r="G216" s="7" t="n"/>
      <c r="H216" s="7" t="n"/>
      <c r="I216" s="16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>
      <c r="A217" s="16" t="n"/>
      <c r="B217" s="16" t="n"/>
      <c r="C217" s="16" t="n"/>
      <c r="D217" s="16" t="n"/>
      <c r="E217" s="16" t="n"/>
      <c r="F217" s="18" t="n"/>
      <c r="G217" s="7" t="n"/>
      <c r="H217" s="7" t="n"/>
      <c r="I217" s="16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>
      <c r="A218" s="16" t="n"/>
      <c r="B218" s="16" t="n"/>
      <c r="C218" s="16" t="n"/>
      <c r="D218" s="16" t="n"/>
      <c r="E218" s="16" t="n"/>
      <c r="F218" s="18" t="n"/>
      <c r="G218" s="7" t="n"/>
      <c r="H218" s="7" t="n"/>
      <c r="I218" s="16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>
      <c r="A219" s="16" t="n"/>
      <c r="B219" s="16" t="n"/>
      <c r="C219" s="16" t="n"/>
      <c r="D219" s="16" t="n"/>
      <c r="E219" s="16" t="n"/>
      <c r="F219" s="18" t="n"/>
      <c r="G219" s="7" t="n"/>
      <c r="H219" s="7" t="n"/>
      <c r="I219" s="16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>
      <c r="A220" s="16" t="n"/>
      <c r="B220" s="16" t="n"/>
      <c r="C220" s="16" t="n"/>
      <c r="D220" s="16" t="n"/>
      <c r="E220" s="16" t="n"/>
      <c r="F220" s="18" t="n"/>
      <c r="G220" s="7" t="n"/>
      <c r="H220" s="7" t="n"/>
      <c r="I220" s="16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>
      <c r="A221" s="16" t="n"/>
      <c r="B221" s="16" t="n"/>
      <c r="C221" s="16" t="n"/>
      <c r="D221" s="16" t="n"/>
      <c r="E221" s="16" t="n"/>
      <c r="F221" s="18" t="n"/>
      <c r="G221" s="7" t="n"/>
      <c r="H221" s="7" t="n"/>
      <c r="I221" s="16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>
      <c r="A222" s="16" t="n"/>
      <c r="B222" s="16" t="n"/>
      <c r="C222" s="16" t="n"/>
      <c r="D222" s="16" t="n"/>
      <c r="E222" s="16" t="n"/>
      <c r="F222" s="18" t="n"/>
      <c r="G222" s="7" t="n"/>
      <c r="H222" s="7" t="n"/>
      <c r="I222" s="16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>
      <c r="A223" s="16" t="n"/>
      <c r="B223" s="16" t="n"/>
      <c r="C223" s="16" t="n"/>
      <c r="D223" s="16" t="n"/>
      <c r="E223" s="16" t="n"/>
      <c r="F223" s="18" t="n"/>
      <c r="G223" s="7" t="n"/>
      <c r="H223" s="7" t="n"/>
      <c r="I223" s="16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>
      <c r="A224" s="16" t="n"/>
      <c r="B224" s="16" t="n"/>
      <c r="C224" s="16" t="n"/>
      <c r="D224" s="16" t="n"/>
      <c r="E224" s="16" t="n"/>
      <c r="F224" s="18" t="n"/>
      <c r="G224" s="7" t="n"/>
      <c r="H224" s="7" t="n"/>
      <c r="I224" s="16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>
      <c r="A225" s="16" t="n"/>
      <c r="B225" s="16" t="n"/>
      <c r="C225" s="16" t="n"/>
      <c r="D225" s="16" t="n"/>
      <c r="E225" s="16" t="n"/>
      <c r="F225" s="18" t="n"/>
      <c r="G225" s="7" t="n"/>
      <c r="H225" s="7" t="n"/>
      <c r="I225" s="16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>
      <c r="A226" s="16" t="n"/>
      <c r="B226" s="16" t="n"/>
      <c r="C226" s="16" t="n"/>
      <c r="D226" s="16" t="n"/>
      <c r="E226" s="16" t="n"/>
      <c r="F226" s="18" t="n"/>
      <c r="G226" s="7" t="n"/>
      <c r="H226" s="7" t="n"/>
      <c r="I226" s="16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>
      <c r="A227" s="16" t="n"/>
      <c r="B227" s="16" t="n"/>
      <c r="C227" s="16" t="n"/>
      <c r="D227" s="16" t="n"/>
      <c r="E227" s="16" t="n"/>
      <c r="F227" s="18" t="n"/>
      <c r="G227" s="7" t="n"/>
      <c r="H227" s="7" t="n"/>
      <c r="I227" s="16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>
      <c r="A228" s="16" t="n"/>
      <c r="B228" s="16" t="n"/>
      <c r="C228" s="16" t="n"/>
      <c r="D228" s="16" t="n"/>
      <c r="E228" s="16" t="n"/>
      <c r="F228" s="18" t="n"/>
      <c r="G228" s="7" t="n"/>
      <c r="H228" s="7" t="n"/>
      <c r="I228" s="16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>
      <c r="A229" s="16" t="n"/>
      <c r="B229" s="16" t="n"/>
      <c r="C229" s="16" t="n"/>
      <c r="D229" s="16" t="n"/>
      <c r="E229" s="16" t="n"/>
      <c r="F229" s="18" t="n"/>
      <c r="G229" s="7" t="n"/>
      <c r="H229" s="7" t="n"/>
      <c r="I229" s="16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>
      <c r="A230" s="16" t="n"/>
      <c r="B230" s="16" t="n"/>
      <c r="C230" s="16" t="n"/>
      <c r="D230" s="16" t="n"/>
      <c r="E230" s="16" t="n"/>
      <c r="F230" s="18" t="n"/>
      <c r="G230" s="7" t="n"/>
      <c r="H230" s="7" t="n"/>
      <c r="I230" s="16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>
      <c r="A231" s="16" t="n"/>
      <c r="B231" s="16" t="n"/>
      <c r="C231" s="16" t="n"/>
      <c r="D231" s="16" t="n"/>
      <c r="E231" s="16" t="n"/>
      <c r="F231" s="18" t="n"/>
      <c r="G231" s="7" t="n"/>
      <c r="H231" s="7" t="n"/>
      <c r="I231" s="16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>
      <c r="A232" s="16" t="n"/>
      <c r="B232" s="16" t="n"/>
      <c r="C232" s="16" t="n"/>
      <c r="D232" s="16" t="n"/>
      <c r="E232" s="16" t="n"/>
      <c r="F232" s="18" t="n"/>
      <c r="G232" s="7" t="n"/>
      <c r="H232" s="7" t="n"/>
      <c r="I232" s="16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>
      <c r="A233" s="16" t="n"/>
      <c r="B233" s="16" t="n"/>
      <c r="C233" s="16" t="n"/>
      <c r="D233" s="16" t="n"/>
      <c r="E233" s="16" t="n"/>
      <c r="F233" s="18" t="n"/>
      <c r="G233" s="7" t="n"/>
      <c r="H233" s="7" t="n"/>
      <c r="I233" s="16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>
      <c r="A234" s="16" t="n"/>
      <c r="B234" s="16" t="n"/>
      <c r="C234" s="16" t="n"/>
      <c r="D234" s="16" t="n"/>
      <c r="E234" s="16" t="n"/>
      <c r="F234" s="18" t="n"/>
      <c r="G234" s="7" t="n"/>
      <c r="H234" s="7" t="n"/>
      <c r="I234" s="16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>
      <c r="A235" s="16" t="n"/>
      <c r="B235" s="16" t="n"/>
      <c r="C235" s="16" t="n"/>
      <c r="D235" s="16" t="n"/>
      <c r="E235" s="16" t="n"/>
      <c r="F235" s="18" t="n"/>
      <c r="G235" s="7" t="n"/>
      <c r="H235" s="7" t="n"/>
      <c r="I235" s="16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>
      <c r="A236" s="16" t="n"/>
      <c r="B236" s="16" t="n"/>
      <c r="C236" s="16" t="n"/>
      <c r="D236" s="16" t="n"/>
      <c r="E236" s="16" t="n"/>
      <c r="F236" s="18" t="n"/>
      <c r="G236" s="7" t="n"/>
      <c r="H236" s="7" t="n"/>
      <c r="I236" s="16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>
      <c r="A237" s="16" t="n"/>
      <c r="B237" s="16" t="n"/>
      <c r="C237" s="16" t="n"/>
      <c r="D237" s="16" t="n"/>
      <c r="E237" s="16" t="n"/>
      <c r="F237" s="18" t="n"/>
      <c r="G237" s="7" t="n"/>
      <c r="H237" s="7" t="n"/>
      <c r="I237" s="16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>
      <c r="A238" s="16" t="n"/>
      <c r="B238" s="16" t="n"/>
      <c r="C238" s="16" t="n"/>
      <c r="D238" s="16" t="n"/>
      <c r="E238" s="16" t="n"/>
      <c r="F238" s="18" t="n"/>
      <c r="G238" s="7" t="n"/>
      <c r="H238" s="7" t="n"/>
      <c r="I238" s="16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>
      <c r="A239" s="16" t="n"/>
      <c r="B239" s="16" t="n"/>
      <c r="C239" s="16" t="n"/>
      <c r="D239" s="16" t="n"/>
      <c r="E239" s="16" t="n"/>
      <c r="F239" s="18" t="n"/>
      <c r="G239" s="7" t="n"/>
      <c r="H239" s="7" t="n"/>
      <c r="I239" s="16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>
      <c r="A240" s="16" t="n"/>
      <c r="B240" s="16" t="n"/>
      <c r="C240" s="16" t="n"/>
      <c r="D240" s="16" t="n"/>
      <c r="E240" s="16" t="n"/>
      <c r="F240" s="18" t="n"/>
      <c r="G240" s="7" t="n"/>
      <c r="H240" s="7" t="n"/>
      <c r="I240" s="16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>
      <c r="A241" s="16" t="n"/>
      <c r="B241" s="16" t="n"/>
      <c r="C241" s="16" t="n"/>
      <c r="D241" s="16" t="n"/>
      <c r="E241" s="16" t="n"/>
      <c r="F241" s="18" t="n"/>
      <c r="G241" s="7" t="n"/>
      <c r="H241" s="7" t="n"/>
      <c r="I241" s="16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>
      <c r="A242" s="16" t="n"/>
      <c r="B242" s="16" t="n"/>
      <c r="C242" s="16" t="n"/>
      <c r="D242" s="16" t="n"/>
      <c r="E242" s="16" t="n"/>
      <c r="F242" s="18" t="n"/>
      <c r="G242" s="7" t="n"/>
      <c r="H242" s="7" t="n"/>
      <c r="I242" s="16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>
      <c r="A243" s="16" t="n"/>
      <c r="B243" s="16" t="n"/>
      <c r="C243" s="16" t="n"/>
      <c r="D243" s="16" t="n"/>
      <c r="E243" s="16" t="n"/>
      <c r="F243" s="18" t="n"/>
      <c r="G243" s="7" t="n"/>
      <c r="H243" s="7" t="n"/>
      <c r="I243" s="16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>
      <c r="A244" s="16" t="n"/>
      <c r="B244" s="16" t="n"/>
      <c r="C244" s="16" t="n"/>
      <c r="D244" s="16" t="n"/>
      <c r="E244" s="16" t="n"/>
      <c r="F244" s="18" t="n"/>
      <c r="G244" s="7" t="n"/>
      <c r="H244" s="7" t="n"/>
      <c r="I244" s="16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>
      <c r="A245" s="16" t="n"/>
      <c r="B245" s="16" t="n"/>
      <c r="C245" s="16" t="n"/>
      <c r="D245" s="16" t="n"/>
      <c r="E245" s="16" t="n"/>
      <c r="F245" s="18" t="n"/>
      <c r="G245" s="7" t="n"/>
      <c r="H245" s="7" t="n"/>
      <c r="I245" s="16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>
      <c r="A246" s="16" t="n"/>
      <c r="B246" s="16" t="n"/>
      <c r="C246" s="16" t="n"/>
      <c r="D246" s="16" t="n"/>
      <c r="E246" s="16" t="n"/>
      <c r="F246" s="18" t="n"/>
      <c r="G246" s="7" t="n"/>
      <c r="H246" s="7" t="n"/>
      <c r="I246" s="16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>
      <c r="A247" s="16" t="n"/>
      <c r="B247" s="16" t="n"/>
      <c r="C247" s="16" t="n"/>
      <c r="D247" s="16" t="n"/>
      <c r="E247" s="16" t="n"/>
      <c r="F247" s="18" t="n"/>
      <c r="G247" s="7" t="n"/>
      <c r="H247" s="7" t="n"/>
      <c r="I247" s="16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>
      <c r="A248" s="16" t="n"/>
      <c r="B248" s="16" t="n"/>
      <c r="C248" s="16" t="n"/>
      <c r="D248" s="16" t="n"/>
      <c r="E248" s="16" t="n"/>
      <c r="F248" s="18" t="n"/>
      <c r="G248" s="7" t="n"/>
      <c r="H248" s="7" t="n"/>
      <c r="I248" s="16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>
      <c r="A249" s="16" t="n"/>
      <c r="B249" s="16" t="n"/>
      <c r="C249" s="16" t="n"/>
      <c r="D249" s="16" t="n"/>
      <c r="E249" s="16" t="n"/>
      <c r="F249" s="18" t="n"/>
      <c r="G249" s="7" t="n"/>
      <c r="H249" s="7" t="n"/>
      <c r="I249" s="16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>
      <c r="A250" s="16" t="n"/>
      <c r="B250" s="16" t="n"/>
      <c r="C250" s="16" t="n"/>
      <c r="D250" s="16" t="n"/>
      <c r="E250" s="16" t="n"/>
      <c r="F250" s="18" t="n"/>
      <c r="G250" s="7" t="n"/>
      <c r="H250" s="7" t="n"/>
      <c r="I250" s="16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>
      <c r="A251" s="16" t="n"/>
      <c r="B251" s="16" t="n"/>
      <c r="C251" s="16" t="n"/>
      <c r="D251" s="16" t="n"/>
      <c r="E251" s="16" t="n"/>
      <c r="F251" s="18" t="n"/>
      <c r="G251" s="7" t="n"/>
      <c r="H251" s="7" t="n"/>
      <c r="I251" s="16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>
      <c r="A252" s="16" t="n"/>
      <c r="B252" s="16" t="n"/>
      <c r="C252" s="16" t="n"/>
      <c r="D252" s="16" t="n"/>
      <c r="E252" s="16" t="n"/>
      <c r="F252" s="18" t="n"/>
      <c r="G252" s="7" t="n"/>
      <c r="H252" s="7" t="n"/>
      <c r="I252" s="16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>
      <c r="A253" s="16" t="n"/>
      <c r="B253" s="16" t="n"/>
      <c r="C253" s="16" t="n"/>
      <c r="D253" s="16" t="n"/>
      <c r="E253" s="16" t="n"/>
      <c r="F253" s="18" t="n"/>
      <c r="G253" s="7" t="n"/>
      <c r="H253" s="7" t="n"/>
      <c r="I253" s="16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>
      <c r="A254" s="16" t="n"/>
      <c r="B254" s="16" t="n"/>
      <c r="C254" s="16" t="n"/>
      <c r="D254" s="16" t="n"/>
      <c r="E254" s="16" t="n"/>
      <c r="F254" s="18" t="n"/>
      <c r="G254" s="7" t="n"/>
      <c r="H254" s="7" t="n"/>
      <c r="I254" s="16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>
      <c r="A255" s="16" t="n"/>
      <c r="B255" s="16" t="n"/>
      <c r="C255" s="16" t="n"/>
      <c r="D255" s="16" t="n"/>
      <c r="E255" s="16" t="n"/>
      <c r="F255" s="18" t="n"/>
      <c r="G255" s="7" t="n"/>
      <c r="H255" s="7" t="n"/>
      <c r="I255" s="16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>
      <c r="A256" s="16" t="n"/>
      <c r="B256" s="16" t="n"/>
      <c r="C256" s="16" t="n"/>
      <c r="D256" s="16" t="n"/>
      <c r="E256" s="16" t="n"/>
      <c r="F256" s="18" t="n"/>
      <c r="G256" s="7" t="n"/>
      <c r="H256" s="7" t="n"/>
      <c r="I256" s="16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>
      <c r="A257" s="16" t="n"/>
      <c r="B257" s="16" t="n"/>
      <c r="C257" s="16" t="n"/>
      <c r="D257" s="16" t="n"/>
      <c r="E257" s="16" t="n"/>
      <c r="F257" s="18" t="n"/>
      <c r="G257" s="7" t="n"/>
      <c r="H257" s="7" t="n"/>
      <c r="I257" s="16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>
      <c r="A258" s="16" t="n"/>
      <c r="B258" s="16" t="n"/>
      <c r="C258" s="16" t="n"/>
      <c r="D258" s="16" t="n"/>
      <c r="E258" s="16" t="n"/>
      <c r="F258" s="18" t="n"/>
      <c r="G258" s="7" t="n"/>
      <c r="H258" s="7" t="n"/>
      <c r="I258" s="16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>
      <c r="A259" s="16" t="n"/>
      <c r="B259" s="16" t="n"/>
      <c r="C259" s="16" t="n"/>
      <c r="D259" s="16" t="n"/>
      <c r="E259" s="16" t="n"/>
      <c r="F259" s="18" t="n"/>
      <c r="G259" s="7" t="n"/>
      <c r="H259" s="7" t="n"/>
      <c r="I259" s="16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>
      <c r="A260" s="16" t="n"/>
      <c r="B260" s="16" t="n"/>
      <c r="C260" s="16" t="n"/>
      <c r="D260" s="16" t="n"/>
      <c r="E260" s="16" t="n"/>
      <c r="F260" s="18" t="n"/>
      <c r="G260" s="7" t="n"/>
      <c r="H260" s="7" t="n"/>
      <c r="I260" s="16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>
      <c r="A261" s="16" t="n"/>
      <c r="B261" s="16" t="n"/>
      <c r="C261" s="16" t="n"/>
      <c r="D261" s="16" t="n"/>
      <c r="E261" s="16" t="n"/>
      <c r="F261" s="18" t="n"/>
      <c r="G261" s="7" t="n"/>
      <c r="H261" s="7" t="n"/>
      <c r="I261" s="16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>
      <c r="A262" s="16" t="n"/>
      <c r="B262" s="16" t="n"/>
      <c r="C262" s="16" t="n"/>
      <c r="D262" s="16" t="n"/>
      <c r="E262" s="16" t="n"/>
      <c r="F262" s="18" t="n"/>
      <c r="G262" s="7" t="n"/>
      <c r="H262" s="7" t="n"/>
      <c r="I262" s="16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>
      <c r="A263" s="16" t="n"/>
      <c r="B263" s="16" t="n"/>
      <c r="C263" s="16" t="n"/>
      <c r="D263" s="16" t="n"/>
      <c r="E263" s="16" t="n"/>
      <c r="F263" s="18" t="n"/>
      <c r="G263" s="7" t="n"/>
      <c r="H263" s="7" t="n"/>
      <c r="I263" s="16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>
      <c r="A264" s="16" t="n"/>
      <c r="B264" s="16" t="n"/>
      <c r="C264" s="16" t="n"/>
      <c r="D264" s="16" t="n"/>
      <c r="E264" s="16" t="n"/>
      <c r="F264" s="18" t="n"/>
      <c r="G264" s="7" t="n"/>
      <c r="H264" s="7" t="n"/>
      <c r="I264" s="16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>
      <c r="A265" s="16" t="n"/>
      <c r="B265" s="16" t="n"/>
      <c r="C265" s="16" t="n"/>
      <c r="D265" s="16" t="n"/>
      <c r="E265" s="16" t="n"/>
      <c r="F265" s="18" t="n"/>
      <c r="G265" s="7" t="n"/>
      <c r="H265" s="7" t="n"/>
      <c r="I265" s="16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>
      <c r="A266" s="16" t="n"/>
      <c r="B266" s="16" t="n"/>
      <c r="C266" s="16" t="n"/>
      <c r="D266" s="16" t="n"/>
      <c r="E266" s="16" t="n"/>
      <c r="F266" s="18" t="n"/>
      <c r="G266" s="7" t="n"/>
      <c r="H266" s="7" t="n"/>
      <c r="I266" s="16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>
      <c r="A267" s="16" t="n"/>
      <c r="B267" s="16" t="n"/>
      <c r="C267" s="16" t="n"/>
      <c r="D267" s="16" t="n"/>
      <c r="E267" s="16" t="n"/>
      <c r="F267" s="18" t="n"/>
      <c r="G267" s="7" t="n"/>
      <c r="H267" s="7" t="n"/>
      <c r="I267" s="16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>
      <c r="A268" s="16" t="n"/>
      <c r="B268" s="16" t="n"/>
      <c r="C268" s="16" t="n"/>
      <c r="D268" s="16" t="n"/>
      <c r="E268" s="16" t="n"/>
      <c r="F268" s="18" t="n"/>
      <c r="G268" s="7" t="n"/>
      <c r="H268" s="7" t="n"/>
      <c r="I268" s="16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>
      <c r="A269" s="16" t="n"/>
      <c r="B269" s="16" t="n"/>
      <c r="C269" s="16" t="n"/>
      <c r="D269" s="16" t="n"/>
      <c r="E269" s="16" t="n"/>
      <c r="F269" s="18" t="n"/>
      <c r="G269" s="7" t="n"/>
      <c r="H269" s="7" t="n"/>
      <c r="I269" s="16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>
      <c r="A270" s="16" t="n"/>
      <c r="B270" s="16" t="n"/>
      <c r="C270" s="16" t="n"/>
      <c r="D270" s="16" t="n"/>
      <c r="E270" s="16" t="n"/>
      <c r="F270" s="18" t="n"/>
      <c r="G270" s="7" t="n"/>
      <c r="H270" s="7" t="n"/>
      <c r="I270" s="16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>
      <c r="A271" s="16" t="n"/>
      <c r="B271" s="16" t="n"/>
      <c r="C271" s="16" t="n"/>
      <c r="D271" s="16" t="n"/>
      <c r="E271" s="16" t="n"/>
      <c r="F271" s="18" t="n"/>
      <c r="G271" s="7" t="n"/>
      <c r="H271" s="7" t="n"/>
      <c r="I271" s="16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>
      <c r="A272" s="16" t="n"/>
      <c r="B272" s="16" t="n"/>
      <c r="C272" s="16" t="n"/>
      <c r="D272" s="16" t="n"/>
      <c r="E272" s="16" t="n"/>
      <c r="F272" s="18" t="n"/>
      <c r="G272" s="7" t="n"/>
      <c r="H272" s="7" t="n"/>
      <c r="I272" s="16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>
      <c r="A273" s="16" t="n"/>
      <c r="B273" s="16" t="n"/>
      <c r="C273" s="16" t="n"/>
      <c r="D273" s="16" t="n"/>
      <c r="E273" s="16" t="n"/>
      <c r="F273" s="18" t="n"/>
      <c r="G273" s="7" t="n"/>
      <c r="H273" s="7" t="n"/>
      <c r="I273" s="16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>
      <c r="A274" s="16" t="n"/>
      <c r="B274" s="16" t="n"/>
      <c r="C274" s="16" t="n"/>
      <c r="D274" s="16" t="n"/>
      <c r="E274" s="16" t="n"/>
      <c r="F274" s="18" t="n"/>
      <c r="G274" s="7" t="n"/>
      <c r="H274" s="7" t="n"/>
      <c r="I274" s="16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>
      <c r="A275" s="16" t="n"/>
      <c r="B275" s="16" t="n"/>
      <c r="C275" s="16" t="n"/>
      <c r="D275" s="16" t="n"/>
      <c r="E275" s="16" t="n"/>
      <c r="F275" s="18" t="n"/>
      <c r="G275" s="7" t="n"/>
      <c r="H275" s="7" t="n"/>
      <c r="I275" s="16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>
      <c r="A276" s="16" t="n"/>
      <c r="B276" s="16" t="n"/>
      <c r="C276" s="16" t="n"/>
      <c r="D276" s="16" t="n"/>
      <c r="E276" s="16" t="n"/>
      <c r="F276" s="18" t="n"/>
      <c r="G276" s="7" t="n"/>
      <c r="H276" s="7" t="n"/>
      <c r="I276" s="16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>
      <c r="A277" s="16" t="n"/>
      <c r="B277" s="16" t="n"/>
      <c r="C277" s="16" t="n"/>
      <c r="D277" s="16" t="n"/>
      <c r="E277" s="16" t="n"/>
      <c r="F277" s="18" t="n"/>
      <c r="G277" s="7" t="n"/>
      <c r="H277" s="7" t="n"/>
      <c r="I277" s="16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>
      <c r="A278" s="16" t="n"/>
      <c r="B278" s="16" t="n"/>
      <c r="C278" s="16" t="n"/>
      <c r="D278" s="16" t="n"/>
      <c r="E278" s="16" t="n"/>
      <c r="F278" s="18" t="n"/>
      <c r="G278" s="7" t="n"/>
      <c r="H278" s="7" t="n"/>
      <c r="I278" s="16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>
      <c r="A279" s="16" t="n"/>
      <c r="B279" s="16" t="n"/>
      <c r="C279" s="16" t="n"/>
      <c r="D279" s="16" t="n"/>
      <c r="E279" s="16" t="n"/>
      <c r="F279" s="18" t="n"/>
      <c r="G279" s="7" t="n"/>
      <c r="H279" s="7" t="n"/>
      <c r="I279" s="16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>
      <c r="A280" s="16" t="n"/>
      <c r="B280" s="16" t="n"/>
      <c r="C280" s="16" t="n"/>
      <c r="D280" s="16" t="n"/>
      <c r="E280" s="16" t="n"/>
      <c r="F280" s="18" t="n"/>
      <c r="G280" s="7" t="n"/>
      <c r="H280" s="7" t="n"/>
      <c r="I280" s="16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>
      <c r="A281" s="16" t="n"/>
      <c r="B281" s="16" t="n"/>
      <c r="C281" s="16" t="n"/>
      <c r="D281" s="16" t="n"/>
      <c r="E281" s="16" t="n"/>
      <c r="F281" s="18" t="n"/>
      <c r="G281" s="7" t="n"/>
      <c r="H281" s="7" t="n"/>
      <c r="I281" s="16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>
      <c r="A282" s="16" t="n"/>
      <c r="B282" s="16" t="n"/>
      <c r="C282" s="16" t="n"/>
      <c r="D282" s="16" t="n"/>
      <c r="E282" s="16" t="n"/>
      <c r="F282" s="18" t="n"/>
      <c r="G282" s="7" t="n"/>
      <c r="H282" s="7" t="n"/>
      <c r="I282" s="16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>
      <c r="A283" s="16" t="n"/>
      <c r="B283" s="16" t="n"/>
      <c r="C283" s="16" t="n"/>
      <c r="D283" s="16" t="n"/>
      <c r="E283" s="16" t="n"/>
      <c r="F283" s="18" t="n"/>
      <c r="G283" s="7" t="n"/>
      <c r="H283" s="7" t="n"/>
      <c r="I283" s="16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>
      <c r="A284" s="16" t="n"/>
      <c r="B284" s="16" t="n"/>
      <c r="C284" s="16" t="n"/>
      <c r="D284" s="16" t="n"/>
      <c r="E284" s="16" t="n"/>
      <c r="F284" s="18" t="n"/>
      <c r="G284" s="7" t="n"/>
      <c r="H284" s="7" t="n"/>
      <c r="I284" s="16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>
      <c r="A285" s="16" t="n"/>
      <c r="B285" s="16" t="n"/>
      <c r="C285" s="16" t="n"/>
      <c r="D285" s="16" t="n"/>
      <c r="E285" s="16" t="n"/>
      <c r="F285" s="18" t="n"/>
      <c r="G285" s="7" t="n"/>
      <c r="H285" s="7" t="n"/>
      <c r="I285" s="16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>
      <c r="A286" s="16" t="n"/>
      <c r="B286" s="16" t="n"/>
      <c r="C286" s="16" t="n"/>
      <c r="D286" s="16" t="n"/>
      <c r="E286" s="16" t="n"/>
      <c r="F286" s="18" t="n"/>
      <c r="G286" s="7" t="n"/>
      <c r="H286" s="7" t="n"/>
      <c r="I286" s="16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>
      <c r="A287" s="16" t="n"/>
      <c r="B287" s="16" t="n"/>
      <c r="C287" s="16" t="n"/>
      <c r="D287" s="16" t="n"/>
      <c r="E287" s="16" t="n"/>
      <c r="F287" s="18" t="n"/>
      <c r="G287" s="7" t="n"/>
      <c r="H287" s="7" t="n"/>
      <c r="I287" s="16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>
      <c r="A288" s="16" t="n"/>
      <c r="B288" s="16" t="n"/>
      <c r="C288" s="16" t="n"/>
      <c r="D288" s="16" t="n"/>
      <c r="E288" s="16" t="n"/>
      <c r="F288" s="18" t="n"/>
      <c r="G288" s="7" t="n"/>
      <c r="H288" s="7" t="n"/>
      <c r="I288" s="16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>
      <c r="A289" s="16" t="n"/>
      <c r="B289" s="16" t="n"/>
      <c r="C289" s="16" t="n"/>
      <c r="D289" s="16" t="n"/>
      <c r="E289" s="16" t="n"/>
      <c r="F289" s="18" t="n"/>
      <c r="G289" s="7" t="n"/>
      <c r="H289" s="7" t="n"/>
      <c r="I289" s="16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>
      <c r="A290" s="16" t="n"/>
      <c r="B290" s="16" t="n"/>
      <c r="C290" s="16" t="n"/>
      <c r="D290" s="16" t="n"/>
      <c r="E290" s="16" t="n"/>
      <c r="F290" s="18" t="n"/>
      <c r="G290" s="7" t="n"/>
      <c r="H290" s="7" t="n"/>
      <c r="I290" s="16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>
      <c r="A291" s="16" t="n"/>
      <c r="B291" s="16" t="n"/>
      <c r="C291" s="16" t="n"/>
      <c r="D291" s="16" t="n"/>
      <c r="E291" s="16" t="n"/>
      <c r="F291" s="18" t="n"/>
      <c r="G291" s="7" t="n"/>
      <c r="H291" s="7" t="n"/>
      <c r="I291" s="16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>
      <c r="A292" s="16" t="n"/>
      <c r="B292" s="16" t="n"/>
      <c r="C292" s="16" t="n"/>
      <c r="D292" s="16" t="n"/>
      <c r="E292" s="16" t="n"/>
      <c r="F292" s="18" t="n"/>
      <c r="G292" s="7" t="n"/>
      <c r="H292" s="7" t="n"/>
      <c r="I292" s="16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>
      <c r="A293" s="16" t="n"/>
      <c r="B293" s="16" t="n"/>
      <c r="C293" s="16" t="n"/>
      <c r="D293" s="16" t="n"/>
      <c r="E293" s="16" t="n"/>
      <c r="F293" s="18" t="n"/>
      <c r="G293" s="7" t="n"/>
      <c r="H293" s="7" t="n"/>
      <c r="I293" s="16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>
      <c r="A294" s="16" t="n"/>
      <c r="B294" s="16" t="n"/>
      <c r="C294" s="16" t="n"/>
      <c r="D294" s="16" t="n"/>
      <c r="E294" s="16" t="n"/>
      <c r="F294" s="18" t="n"/>
      <c r="G294" s="7" t="n"/>
      <c r="H294" s="7" t="n"/>
      <c r="I294" s="16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>
      <c r="A295" s="16" t="n"/>
      <c r="B295" s="16" t="n"/>
      <c r="C295" s="16" t="n"/>
      <c r="D295" s="16" t="n"/>
      <c r="E295" s="16" t="n"/>
      <c r="F295" s="18" t="n"/>
      <c r="G295" s="7" t="n"/>
      <c r="H295" s="7" t="n"/>
      <c r="I295" s="16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>
      <c r="A296" s="16" t="n"/>
      <c r="B296" s="16" t="n"/>
      <c r="C296" s="16" t="n"/>
      <c r="D296" s="16" t="n"/>
      <c r="E296" s="16" t="n"/>
      <c r="F296" s="18" t="n"/>
      <c r="G296" s="7" t="n"/>
      <c r="H296" s="7" t="n"/>
      <c r="I296" s="16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>
      <c r="A297" s="16" t="n"/>
      <c r="B297" s="16" t="n"/>
      <c r="C297" s="16" t="n"/>
      <c r="D297" s="16" t="n"/>
      <c r="E297" s="16" t="n"/>
      <c r="F297" s="18" t="n"/>
      <c r="G297" s="7" t="n"/>
      <c r="H297" s="7" t="n"/>
      <c r="I297" s="16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>
      <c r="A298" s="16" t="n"/>
      <c r="B298" s="16" t="n"/>
      <c r="C298" s="16" t="n"/>
      <c r="D298" s="16" t="n"/>
      <c r="E298" s="16" t="n"/>
      <c r="F298" s="18" t="n"/>
      <c r="G298" s="7" t="n"/>
      <c r="H298" s="7" t="n"/>
      <c r="I298" s="16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>
      <c r="A299" s="16" t="n"/>
      <c r="B299" s="16" t="n"/>
      <c r="C299" s="16" t="n"/>
      <c r="D299" s="16" t="n"/>
      <c r="E299" s="16" t="n"/>
      <c r="F299" s="18" t="n"/>
      <c r="G299" s="7" t="n"/>
      <c r="H299" s="7" t="n"/>
      <c r="I299" s="16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>
      <c r="A300" s="16" t="n"/>
      <c r="B300" s="16" t="n"/>
      <c r="C300" s="16" t="n"/>
      <c r="D300" s="16" t="n"/>
      <c r="E300" s="16" t="n"/>
      <c r="F300" s="18" t="n"/>
      <c r="G300" s="7" t="n"/>
      <c r="H300" s="7" t="n"/>
      <c r="I300" s="16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>
      <c r="A301" s="16" t="n"/>
      <c r="B301" s="16" t="n"/>
      <c r="C301" s="16" t="n"/>
      <c r="D301" s="16" t="n"/>
      <c r="E301" s="16" t="n"/>
      <c r="F301" s="18" t="n"/>
      <c r="G301" s="7" t="n"/>
      <c r="H301" s="7" t="n"/>
      <c r="I301" s="16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>
      <c r="A302" s="16" t="n"/>
      <c r="B302" s="16" t="n"/>
      <c r="C302" s="16" t="n"/>
      <c r="D302" s="16" t="n"/>
      <c r="E302" s="16" t="n"/>
      <c r="F302" s="18" t="n"/>
      <c r="G302" s="7" t="n"/>
      <c r="H302" s="7" t="n"/>
      <c r="I302" s="16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>
      <c r="A303" s="16" t="n"/>
      <c r="B303" s="16" t="n"/>
      <c r="C303" s="16" t="n"/>
      <c r="D303" s="16" t="n"/>
      <c r="E303" s="16" t="n"/>
      <c r="F303" s="18" t="n"/>
      <c r="G303" s="7" t="n"/>
      <c r="H303" s="7" t="n"/>
      <c r="I303" s="16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>
      <c r="A304" s="16" t="n"/>
      <c r="B304" s="16" t="n"/>
      <c r="C304" s="16" t="n"/>
      <c r="D304" s="16" t="n"/>
      <c r="E304" s="16" t="n"/>
      <c r="F304" s="18" t="n"/>
      <c r="G304" s="7" t="n"/>
      <c r="H304" s="7" t="n"/>
      <c r="I304" s="16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>
      <c r="A305" s="16" t="n"/>
      <c r="B305" s="16" t="n"/>
      <c r="C305" s="16" t="n"/>
      <c r="D305" s="16" t="n"/>
      <c r="E305" s="16" t="n"/>
      <c r="F305" s="18" t="n"/>
      <c r="G305" s="7" t="n"/>
      <c r="H305" s="7" t="n"/>
      <c r="I305" s="16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>
      <c r="A306" s="16" t="n"/>
      <c r="B306" s="16" t="n"/>
      <c r="C306" s="16" t="n"/>
      <c r="D306" s="16" t="n"/>
      <c r="E306" s="16" t="n"/>
      <c r="F306" s="18" t="n"/>
      <c r="G306" s="7" t="n"/>
      <c r="H306" s="7" t="n"/>
      <c r="I306" s="16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</row>
    <row r="308" ht="15.75" customHeight="1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</row>
    <row r="309" ht="15.75" customHeight="1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</row>
    <row r="310" ht="15.75" customHeight="1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</row>
    <row r="311" ht="15.75" customHeight="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</row>
    <row r="312" ht="15.75" customHeight="1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</row>
    <row r="313" ht="15.75" customHeight="1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</row>
    <row r="314" ht="15.75" customHeight="1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</row>
    <row r="315" ht="15.75" customHeight="1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</row>
    <row r="316" ht="15.75" customHeight="1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</row>
    <row r="317" ht="15.75" customHeight="1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</row>
    <row r="318" ht="15.75" customHeight="1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</row>
    <row r="319" ht="15.75" customHeight="1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</row>
    <row r="320" ht="15.75" customHeight="1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</row>
    <row r="321" ht="15.75" customHeight="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</row>
    <row r="322" ht="15.75" customHeight="1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</row>
    <row r="323" ht="15.75" customHeight="1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</row>
    <row r="324" ht="15.75" customHeight="1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</row>
    <row r="325" ht="15.75" customHeight="1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</row>
    <row r="326" ht="15.75" customHeight="1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</row>
    <row r="327" ht="15.75" customHeight="1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</row>
    <row r="328" ht="15.75" customHeight="1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</row>
    <row r="329" ht="15.75" customHeight="1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</row>
    <row r="330" ht="15.75" customHeight="1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</row>
    <row r="331" ht="15.75" customHeight="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</row>
    <row r="332" ht="15.75" customHeight="1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</row>
    <row r="333" ht="15.75" customHeight="1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</row>
    <row r="334" ht="15.75" customHeight="1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</row>
    <row r="335" ht="15.75" customHeight="1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</row>
    <row r="336" ht="15.75" customHeight="1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</row>
    <row r="337" ht="15.75" customHeight="1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</row>
    <row r="338" ht="15.75" customHeight="1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</row>
    <row r="339" ht="15.75" customHeight="1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</row>
    <row r="340" ht="15.75" customHeight="1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</row>
    <row r="341" ht="15.75" customHeight="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</row>
    <row r="342" ht="15.75" customHeight="1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</row>
    <row r="343" ht="15.75" customHeight="1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</row>
    <row r="344" ht="15.75" customHeight="1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</row>
    <row r="345" ht="15.75" customHeight="1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</row>
    <row r="346" ht="15.75" customHeight="1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</row>
    <row r="347" ht="15.75" customHeight="1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</row>
    <row r="348" ht="15.75" customHeight="1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</row>
    <row r="349" ht="15.75" customHeight="1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</row>
    <row r="350" ht="15.75" customHeight="1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</row>
    <row r="351" ht="15.75" customHeight="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</row>
    <row r="352" ht="15.75" customHeight="1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</row>
    <row r="353" ht="15.75" customHeight="1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</row>
    <row r="354" ht="15.75" customHeight="1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</row>
    <row r="355" ht="15.75" customHeight="1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</row>
    <row r="356" ht="15.75" customHeight="1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</row>
    <row r="357" ht="15.75" customHeight="1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</row>
    <row r="358" ht="15.75" customHeight="1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</row>
    <row r="359" ht="15.75" customHeight="1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</row>
    <row r="360" ht="15.75" customHeight="1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</row>
    <row r="361" ht="15.75" customHeight="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</row>
    <row r="362" ht="15.75" customHeight="1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</row>
    <row r="363" ht="15.75" customHeight="1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</row>
    <row r="364" ht="15.75" customHeight="1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</row>
    <row r="365" ht="15.75" customHeight="1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</row>
    <row r="366" ht="15.75" customHeight="1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</row>
    <row r="367" ht="15.75" customHeight="1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</row>
    <row r="368" ht="15.75" customHeight="1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</row>
    <row r="369" ht="15.75" customHeight="1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</row>
    <row r="370" ht="15.75" customHeight="1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</row>
    <row r="371" ht="15.75" customHeight="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</row>
    <row r="372" ht="15.75" customHeight="1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</row>
    <row r="373" ht="15.75" customHeight="1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</row>
    <row r="374" ht="15.75" customHeight="1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</row>
    <row r="375" ht="15.75" customHeight="1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</row>
    <row r="376" ht="15.75" customHeight="1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</row>
    <row r="377" ht="15.75" customHeight="1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</row>
    <row r="378" ht="15.75" customHeight="1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</row>
    <row r="379" ht="15.75" customHeight="1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</row>
    <row r="380" ht="15.75" customHeight="1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</row>
    <row r="381" ht="15.75" customHeight="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</row>
    <row r="382" ht="15.75" customHeight="1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</row>
    <row r="383" ht="15.75" customHeight="1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</row>
    <row r="384" ht="15.75" customHeight="1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</row>
    <row r="385" ht="15.75" customHeight="1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</row>
    <row r="386" ht="15.75" customHeight="1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</row>
    <row r="387" ht="15.75" customHeight="1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</row>
    <row r="388" ht="15.75" customHeight="1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</row>
    <row r="389" ht="15.75" customHeight="1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</row>
    <row r="390" ht="15.75" customHeight="1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</row>
    <row r="391" ht="15.75" customHeight="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</row>
    <row r="392" ht="15.75" customHeight="1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</row>
    <row r="393" ht="15.75" customHeight="1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</row>
    <row r="394" ht="15.75" customHeight="1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</row>
    <row r="395" ht="15.75" customHeight="1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</row>
    <row r="396" ht="15.75" customHeight="1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</row>
    <row r="397" ht="15.75" customHeight="1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</row>
    <row r="398" ht="15.75" customHeight="1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</row>
    <row r="399" ht="15.75" customHeight="1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</row>
    <row r="400" ht="15.75" customHeight="1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</row>
    <row r="401" ht="15.75" customHeight="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</row>
    <row r="402" ht="15.75" customHeight="1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</row>
    <row r="403" ht="15.75" customHeight="1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</row>
    <row r="404" ht="15.75" customHeight="1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</row>
    <row r="405" ht="15.75" customHeight="1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</row>
    <row r="406" ht="15.75" customHeight="1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</row>
    <row r="407" ht="15.75" customHeight="1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</row>
    <row r="408" ht="15.75" customHeight="1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</row>
    <row r="409" ht="15.75" customHeight="1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</row>
    <row r="410" ht="15.75" customHeight="1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</row>
    <row r="411" ht="15.75" customHeight="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</row>
    <row r="412" ht="15.75" customHeight="1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</row>
    <row r="413" ht="15.75" customHeight="1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</row>
    <row r="414" ht="15.75" customHeight="1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</row>
    <row r="415" ht="15.75" customHeight="1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</row>
    <row r="416" ht="15.75" customHeight="1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</row>
    <row r="417" ht="15.75" customHeight="1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</row>
    <row r="418" ht="15.75" customHeight="1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</row>
    <row r="419" ht="15.75" customHeight="1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</row>
    <row r="420" ht="15.75" customHeight="1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</row>
    <row r="421" ht="15.75" customHeight="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</row>
    <row r="422" ht="15.75" customHeight="1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</row>
    <row r="423" ht="15.75" customHeight="1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</row>
    <row r="424" ht="15.75" customHeight="1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</row>
    <row r="425" ht="15.75" customHeight="1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</row>
    <row r="426" ht="15.75" customHeight="1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</row>
    <row r="427" ht="15.75" customHeight="1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</row>
    <row r="428" ht="15.75" customHeight="1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</row>
    <row r="429" ht="15.75" customHeight="1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</row>
    <row r="430" ht="15.75" customHeight="1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</row>
    <row r="431" ht="15.75" customHeight="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</row>
    <row r="432" ht="15.75" customHeight="1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</row>
    <row r="433" ht="15.75" customHeight="1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</row>
    <row r="434" ht="15.75" customHeight="1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</row>
    <row r="435" ht="15.75" customHeight="1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</row>
    <row r="436" ht="15.75" customHeight="1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</row>
    <row r="437" ht="15.75" customHeight="1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</row>
    <row r="438" ht="15.75" customHeight="1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</row>
    <row r="439" ht="15.75" customHeight="1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</row>
    <row r="440" ht="15.75" customHeight="1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</row>
    <row r="441" ht="15.75" customHeight="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</row>
    <row r="442" ht="15.75" customHeight="1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</row>
    <row r="443" ht="15.75" customHeight="1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</row>
    <row r="444" ht="15.75" customHeight="1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</row>
    <row r="445" ht="15.75" customHeight="1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</row>
    <row r="446" ht="15.75" customHeight="1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</row>
    <row r="447" ht="15.75" customHeight="1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</row>
    <row r="448" ht="15.75" customHeight="1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</row>
    <row r="449" ht="15.75" customHeight="1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</row>
    <row r="450" ht="15.75" customHeight="1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</row>
    <row r="451" ht="15.75" customHeight="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</row>
    <row r="452" ht="15.75" customHeight="1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</row>
    <row r="453" ht="15.75" customHeight="1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</row>
    <row r="454" ht="15.75" customHeight="1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</row>
    <row r="455" ht="15.75" customHeight="1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</row>
    <row r="456" ht="15.75" customHeight="1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</row>
    <row r="457" ht="15.75" customHeight="1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</row>
    <row r="458" ht="15.75" customHeight="1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</row>
    <row r="459" ht="15.75" customHeight="1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</row>
    <row r="460" ht="15.75" customHeight="1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</row>
    <row r="461" ht="15.75" customHeight="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</row>
    <row r="462" ht="15.75" customHeight="1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</row>
    <row r="463" ht="15.75" customHeight="1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</row>
    <row r="464" ht="15.75" customHeight="1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</row>
    <row r="465" ht="15.75" customHeight="1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</row>
    <row r="466" ht="15.75" customHeight="1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</row>
    <row r="467" ht="15.75" customHeight="1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</row>
    <row r="468" ht="15.75" customHeight="1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</row>
    <row r="469" ht="15.75" customHeight="1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</row>
    <row r="470" ht="15.75" customHeight="1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</row>
    <row r="471" ht="15.75" customHeight="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</row>
    <row r="472" ht="15.75" customHeight="1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</row>
    <row r="473" ht="15.75" customHeight="1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</row>
    <row r="474" ht="15.75" customHeight="1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</row>
    <row r="475" ht="15.75" customHeight="1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</row>
    <row r="476" ht="15.75" customHeight="1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</row>
    <row r="477" ht="15.75" customHeight="1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</row>
    <row r="478" ht="15.75" customHeight="1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</row>
    <row r="479" ht="15.75" customHeight="1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</row>
    <row r="480" ht="15.75" customHeight="1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</row>
    <row r="481" ht="15.75" customHeight="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</row>
    <row r="482" ht="15.75" customHeight="1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</row>
    <row r="483" ht="15.75" customHeight="1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</row>
    <row r="484" ht="15.75" customHeight="1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</row>
    <row r="485" ht="15.75" customHeight="1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</row>
    <row r="486" ht="15.75" customHeight="1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</row>
    <row r="487" ht="15.75" customHeight="1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</row>
    <row r="488" ht="15.75" customHeight="1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</row>
    <row r="489" ht="15.75" customHeight="1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</row>
    <row r="490" ht="15.75" customHeight="1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</row>
    <row r="491" ht="15.75" customHeight="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</row>
    <row r="492" ht="15.75" customHeight="1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</row>
    <row r="493" ht="15.75" customHeight="1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</row>
    <row r="494" ht="15.75" customHeight="1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</row>
    <row r="495" ht="15.75" customHeight="1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</row>
    <row r="496" ht="15.75" customHeight="1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</row>
    <row r="497" ht="15.75" customHeight="1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</row>
    <row r="498" ht="15.75" customHeight="1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</row>
    <row r="499" ht="15.75" customHeight="1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</row>
    <row r="500" ht="15.75" customHeight="1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</row>
    <row r="501" ht="15.75" customHeight="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</row>
    <row r="502" ht="15.75" customHeight="1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</row>
    <row r="503" ht="15.75" customHeight="1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</row>
    <row r="504" ht="15.75" customHeight="1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</row>
    <row r="505" ht="15.75" customHeight="1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</row>
    <row r="506" ht="15.75" customHeight="1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</row>
    <row r="507" ht="15.75" customHeight="1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</row>
    <row r="508" ht="15.75" customHeight="1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</row>
    <row r="509" ht="15.75" customHeight="1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</row>
    <row r="510" ht="15.75" customHeight="1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</row>
    <row r="511" ht="15.75" customHeight="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</row>
    <row r="512" ht="15.75" customHeight="1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</row>
    <row r="513" ht="15.75" customHeight="1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</row>
    <row r="514" ht="15.75" customHeight="1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</row>
    <row r="515" ht="15.75" customHeight="1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</row>
    <row r="516" ht="15.75" customHeight="1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</row>
    <row r="517" ht="15.75" customHeight="1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</row>
    <row r="518" ht="15.75" customHeight="1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</row>
    <row r="519" ht="15.75" customHeight="1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</row>
    <row r="520" ht="15.75" customHeight="1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</row>
    <row r="521" ht="15.75" customHeight="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</row>
    <row r="522" ht="15.75" customHeight="1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</row>
    <row r="523" ht="15.75" customHeight="1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</row>
    <row r="524" ht="15.75" customHeight="1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</row>
    <row r="525" ht="15.75" customHeight="1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</row>
    <row r="526" ht="15.75" customHeight="1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</row>
    <row r="527" ht="15.75" customHeight="1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</row>
    <row r="528" ht="15.75" customHeight="1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</row>
    <row r="529" ht="15.75" customHeight="1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</row>
    <row r="530" ht="15.75" customHeight="1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</row>
    <row r="531" ht="15.75" customHeight="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</row>
    <row r="532" ht="15.75" customHeight="1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</row>
    <row r="533" ht="15.75" customHeight="1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</row>
    <row r="534" ht="15.75" customHeight="1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</row>
    <row r="535" ht="15.75" customHeight="1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</row>
    <row r="536" ht="15.75" customHeight="1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</row>
    <row r="537" ht="15.75" customHeight="1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</row>
    <row r="538" ht="15.75" customHeight="1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</row>
    <row r="539" ht="15.75" customHeight="1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</row>
    <row r="540" ht="15.75" customHeight="1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</row>
    <row r="541" ht="15.75" customHeight="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</row>
    <row r="542" ht="15.75" customHeight="1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</row>
    <row r="543" ht="15.75" customHeight="1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</row>
    <row r="544" ht="15.75" customHeight="1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</row>
    <row r="545" ht="15.75" customHeight="1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</row>
    <row r="546" ht="15.75" customHeight="1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</row>
    <row r="547" ht="15.75" customHeight="1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</row>
    <row r="548" ht="15.75" customHeight="1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</row>
    <row r="549" ht="15.75" customHeight="1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</row>
    <row r="550" ht="15.75" customHeight="1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</row>
    <row r="551" ht="15.75" customHeight="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</row>
    <row r="552" ht="15.75" customHeight="1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</row>
    <row r="553" ht="15.75" customHeight="1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</row>
    <row r="554" ht="15.75" customHeight="1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</row>
    <row r="555" ht="15.75" customHeight="1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</row>
    <row r="556" ht="15.75" customHeight="1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</row>
    <row r="557" ht="15.75" customHeight="1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</row>
    <row r="558" ht="15.75" customHeight="1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</row>
    <row r="559" ht="15.75" customHeight="1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</row>
    <row r="560" ht="15.75" customHeight="1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</row>
    <row r="561" ht="15.75" customHeight="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</row>
    <row r="562" ht="15.75" customHeight="1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</row>
    <row r="563" ht="15.75" customHeight="1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</row>
    <row r="564" ht="15.75" customHeight="1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</row>
    <row r="565" ht="15.75" customHeight="1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</row>
    <row r="566" ht="15.75" customHeight="1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</row>
    <row r="567" ht="15.75" customHeight="1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</row>
    <row r="568" ht="15.75" customHeight="1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</row>
    <row r="569" ht="15.75" customHeight="1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</row>
    <row r="570" ht="15.75" customHeight="1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</row>
    <row r="571" ht="15.75" customHeight="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</row>
    <row r="572" ht="15.75" customHeight="1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</row>
    <row r="573" ht="15.75" customHeight="1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</row>
    <row r="574" ht="15.75" customHeight="1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</row>
    <row r="575" ht="15.75" customHeight="1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</row>
    <row r="576" ht="15.75" customHeight="1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</row>
    <row r="577" ht="15.75" customHeight="1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</row>
    <row r="578" ht="15.75" customHeight="1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</row>
    <row r="579" ht="15.75" customHeight="1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</row>
    <row r="580" ht="15.75" customHeight="1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</row>
    <row r="581" ht="15.75" customHeight="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</row>
    <row r="582" ht="15.75" customHeight="1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</row>
    <row r="583" ht="15.75" customHeight="1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</row>
    <row r="584" ht="15.75" customHeight="1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</row>
    <row r="585" ht="15.75" customHeight="1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</row>
    <row r="586" ht="15.75" customHeight="1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</row>
    <row r="587" ht="15.75" customHeight="1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</row>
    <row r="588" ht="15.75" customHeight="1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</row>
    <row r="589" ht="15.75" customHeight="1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</row>
    <row r="590" ht="15.75" customHeight="1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</row>
    <row r="591" ht="15.75" customHeight="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</row>
    <row r="592" ht="15.75" customHeight="1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</row>
    <row r="593" ht="15.75" customHeight="1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</row>
    <row r="594" ht="15.75" customHeight="1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</row>
    <row r="595" ht="15.75" customHeight="1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</row>
    <row r="596" ht="15.75" customHeight="1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</row>
    <row r="597" ht="15.75" customHeight="1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</row>
    <row r="598" ht="15.75" customHeight="1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</row>
    <row r="599" ht="15.75" customHeight="1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</row>
    <row r="600" ht="15.75" customHeight="1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</row>
    <row r="601" ht="15.75" customHeight="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</row>
    <row r="602" ht="15.75" customHeight="1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</row>
    <row r="603" ht="15.75" customHeight="1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</row>
    <row r="604" ht="15.75" customHeight="1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</row>
    <row r="605" ht="15.75" customHeight="1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</row>
    <row r="606" ht="15.75" customHeight="1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</row>
    <row r="607" ht="15.75" customHeight="1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</row>
    <row r="608" ht="15.75" customHeight="1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</row>
    <row r="609" ht="15.75" customHeight="1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</row>
    <row r="610" ht="15.75" customHeight="1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</row>
    <row r="611" ht="15.75" customHeight="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</row>
    <row r="612" ht="15.75" customHeight="1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</row>
    <row r="613" ht="15.75" customHeight="1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</row>
    <row r="614" ht="15.75" customHeight="1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</row>
    <row r="615" ht="15.75" customHeight="1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</row>
    <row r="616" ht="15.75" customHeight="1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</row>
    <row r="617" ht="15.75" customHeight="1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</row>
    <row r="618" ht="15.75" customHeight="1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</row>
    <row r="619" ht="15.75" customHeight="1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</row>
    <row r="620" ht="15.75" customHeight="1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</row>
    <row r="621" ht="15.75" customHeight="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</row>
    <row r="622" ht="15.75" customHeight="1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</row>
    <row r="623" ht="15.75" customHeight="1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</row>
    <row r="624" ht="15.75" customHeight="1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</row>
    <row r="625" ht="15.75" customHeight="1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</row>
    <row r="626" ht="15.75" customHeight="1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</row>
    <row r="627" ht="15.75" customHeight="1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</row>
    <row r="628" ht="15.75" customHeight="1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</row>
    <row r="629" ht="15.75" customHeight="1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</row>
    <row r="630" ht="15.75" customHeight="1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</row>
    <row r="631" ht="15.75" customHeight="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</row>
    <row r="632" ht="15.75" customHeight="1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</row>
    <row r="633" ht="15.75" customHeight="1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</row>
    <row r="634" ht="15.75" customHeight="1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</row>
    <row r="635" ht="15.75" customHeight="1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</row>
    <row r="636" ht="15.75" customHeight="1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</row>
    <row r="637" ht="15.75" customHeight="1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</row>
    <row r="638" ht="15.75" customHeight="1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</row>
    <row r="639" ht="15.75" customHeight="1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</row>
    <row r="640" ht="15.75" customHeight="1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</row>
    <row r="641" ht="15.75" customHeight="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</row>
    <row r="642" ht="15.75" customHeight="1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</row>
    <row r="643" ht="15.75" customHeight="1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</row>
    <row r="644" ht="15.75" customHeight="1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</row>
    <row r="645" ht="15.75" customHeight="1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</row>
    <row r="646" ht="15.75" customHeight="1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</row>
    <row r="647" ht="15.75" customHeight="1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</row>
    <row r="648" ht="15.75" customHeight="1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</row>
    <row r="649" ht="15.75" customHeight="1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</row>
    <row r="650" ht="15.75" customHeight="1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</row>
    <row r="651" ht="15.75" customHeight="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</row>
    <row r="652" ht="15.75" customHeight="1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</row>
    <row r="653" ht="15.75" customHeight="1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</row>
    <row r="654" ht="15.75" customHeight="1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</row>
    <row r="655" ht="15.75" customHeight="1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</row>
    <row r="656" ht="15.75" customHeight="1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</row>
    <row r="657" ht="15.75" customHeight="1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</row>
    <row r="658" ht="15.75" customHeight="1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</row>
    <row r="659" ht="15.75" customHeight="1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</row>
    <row r="660" ht="15.75" customHeight="1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</row>
    <row r="661" ht="15.75" customHeight="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</row>
    <row r="662" ht="15.75" customHeight="1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</row>
    <row r="663" ht="15.75" customHeight="1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</row>
    <row r="664" ht="15.75" customHeight="1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</row>
    <row r="665" ht="15.75" customHeight="1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</row>
    <row r="666" ht="15.75" customHeight="1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</row>
    <row r="667" ht="15.75" customHeight="1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</row>
    <row r="668" ht="15.75" customHeight="1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</row>
    <row r="669" ht="15.75" customHeight="1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</row>
    <row r="670" ht="15.75" customHeight="1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</row>
    <row r="671" ht="15.75" customHeight="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</row>
    <row r="672" ht="15.75" customHeight="1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</row>
    <row r="673" ht="15.75" customHeight="1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</row>
    <row r="674" ht="15.75" customHeight="1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</row>
    <row r="675" ht="15.75" customHeight="1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</row>
    <row r="676" ht="15.75" customHeight="1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</row>
    <row r="677" ht="15.75" customHeight="1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</row>
    <row r="678" ht="15.75" customHeight="1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</row>
    <row r="679" ht="15.75" customHeight="1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</row>
    <row r="680" ht="15.75" customHeight="1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</row>
    <row r="681" ht="15.75" customHeight="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</row>
    <row r="682" ht="15.75" customHeight="1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</row>
    <row r="683" ht="15.75" customHeight="1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</row>
    <row r="684" ht="15.75" customHeight="1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  <c r="AA684" s="21" t="n"/>
    </row>
    <row r="685" ht="15.75" customHeight="1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</row>
    <row r="686" ht="15.75" customHeight="1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  <c r="AA686" s="21" t="n"/>
    </row>
    <row r="687" ht="15.75" customHeight="1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</row>
    <row r="688" ht="15.75" customHeight="1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  <c r="AA688" s="21" t="n"/>
    </row>
    <row r="689" ht="15.75" customHeight="1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</row>
    <row r="690" ht="15.75" customHeight="1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  <c r="AA690" s="21" t="n"/>
    </row>
    <row r="691" ht="15.75" customHeight="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</row>
    <row r="692" ht="15.75" customHeight="1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  <c r="AA692" s="21" t="n"/>
    </row>
    <row r="693" ht="15.75" customHeight="1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</row>
    <row r="694" ht="15.75" customHeight="1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  <c r="AA694" s="21" t="n"/>
    </row>
    <row r="695" ht="15.75" customHeight="1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</row>
    <row r="696" ht="15.75" customHeight="1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  <c r="AA696" s="21" t="n"/>
    </row>
    <row r="697" ht="15.75" customHeight="1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</row>
    <row r="698" ht="15.75" customHeight="1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  <c r="AA698" s="21" t="n"/>
    </row>
    <row r="699" ht="15.75" customHeight="1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</row>
    <row r="700" ht="15.75" customHeight="1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  <c r="AA700" s="21" t="n"/>
    </row>
    <row r="701" ht="15.75" customHeight="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</row>
    <row r="702" ht="15.75" customHeight="1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  <c r="AA702" s="21" t="n"/>
    </row>
    <row r="703" ht="15.75" customHeight="1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</row>
    <row r="704" ht="15.75" customHeight="1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  <c r="AA704" s="21" t="n"/>
    </row>
    <row r="705" ht="15.75" customHeight="1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</row>
    <row r="706" ht="15.75" customHeight="1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  <c r="AA706" s="21" t="n"/>
    </row>
    <row r="707" ht="15.75" customHeight="1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</row>
    <row r="708" ht="15.75" customHeight="1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  <c r="AA708" s="21" t="n"/>
    </row>
    <row r="709" ht="15.75" customHeight="1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</row>
    <row r="710" ht="15.75" customHeight="1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  <c r="AA710" s="21" t="n"/>
    </row>
    <row r="711" ht="15.75" customHeight="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</row>
    <row r="712" ht="15.75" customHeight="1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  <c r="AA712" s="21" t="n"/>
    </row>
    <row r="713" ht="15.75" customHeight="1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</row>
    <row r="714" ht="15.75" customHeight="1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  <c r="AA714" s="21" t="n"/>
    </row>
    <row r="715" ht="15.75" customHeight="1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</row>
    <row r="716" ht="15.75" customHeight="1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  <c r="AA716" s="21" t="n"/>
    </row>
    <row r="717" ht="15.75" customHeight="1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</row>
    <row r="718" ht="15.75" customHeight="1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  <c r="AA718" s="21" t="n"/>
    </row>
    <row r="719" ht="15.75" customHeight="1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</row>
    <row r="720" ht="15.75" customHeight="1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  <c r="AA720" s="21" t="n"/>
    </row>
    <row r="721" ht="15.75" customHeight="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</row>
    <row r="722" ht="15.75" customHeight="1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  <c r="AA722" s="21" t="n"/>
    </row>
    <row r="723" ht="15.75" customHeight="1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</row>
    <row r="724" ht="15.75" customHeight="1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  <c r="AA724" s="21" t="n"/>
    </row>
    <row r="725" ht="15.75" customHeight="1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</row>
    <row r="726" ht="15.75" customHeight="1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  <c r="AA726" s="21" t="n"/>
    </row>
    <row r="727" ht="15.75" customHeight="1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</row>
    <row r="728" ht="15.75" customHeight="1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  <c r="AA728" s="21" t="n"/>
    </row>
    <row r="729" ht="15.75" customHeight="1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</row>
    <row r="730" ht="15.75" customHeight="1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  <c r="AA730" s="21" t="n"/>
    </row>
    <row r="731" ht="15.75" customHeight="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</row>
    <row r="732" ht="15.75" customHeight="1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  <c r="AA732" s="21" t="n"/>
    </row>
    <row r="733" ht="15.75" customHeight="1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</row>
    <row r="734" ht="15.75" customHeight="1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  <c r="AA734" s="21" t="n"/>
    </row>
    <row r="735" ht="15.75" customHeight="1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</row>
    <row r="736" ht="15.75" customHeight="1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  <c r="AA736" s="21" t="n"/>
    </row>
    <row r="737" ht="15.75" customHeight="1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</row>
    <row r="738" ht="15.75" customHeight="1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  <c r="AA738" s="21" t="n"/>
    </row>
    <row r="739" ht="15.75" customHeight="1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</row>
    <row r="740" ht="15.75" customHeight="1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  <c r="AA740" s="21" t="n"/>
    </row>
    <row r="741" ht="15.75" customHeight="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</row>
    <row r="742" ht="15.75" customHeight="1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  <c r="AA742" s="21" t="n"/>
    </row>
    <row r="743" ht="15.75" customHeight="1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</row>
    <row r="744" ht="15.75" customHeight="1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  <c r="AA744" s="21" t="n"/>
    </row>
    <row r="745" ht="15.75" customHeight="1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</row>
    <row r="746" ht="15.75" customHeight="1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  <c r="AA746" s="21" t="n"/>
    </row>
    <row r="747" ht="15.75" customHeight="1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</row>
    <row r="748" ht="15.75" customHeight="1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  <c r="AA748" s="21" t="n"/>
    </row>
    <row r="749" ht="15.75" customHeight="1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</row>
    <row r="750" ht="15.75" customHeight="1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  <c r="AA750" s="21" t="n"/>
    </row>
    <row r="751" ht="15.75" customHeight="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</row>
    <row r="752" ht="15.75" customHeight="1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  <c r="AA752" s="21" t="n"/>
    </row>
    <row r="753" ht="15.75" customHeight="1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</row>
    <row r="754" ht="15.75" customHeight="1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  <c r="AA754" s="21" t="n"/>
    </row>
    <row r="755" ht="15.75" customHeight="1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</row>
    <row r="756" ht="15.75" customHeight="1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  <c r="AA756" s="21" t="n"/>
    </row>
    <row r="757" ht="15.75" customHeight="1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</row>
    <row r="758" ht="15.75" customHeight="1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  <c r="AA758" s="21" t="n"/>
    </row>
    <row r="759" ht="15.75" customHeight="1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</row>
    <row r="760" ht="15.75" customHeight="1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  <c r="AA760" s="21" t="n"/>
    </row>
    <row r="761" ht="15.75" customHeight="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</row>
    <row r="762" ht="15.75" customHeight="1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  <c r="AA762" s="21" t="n"/>
    </row>
    <row r="763" ht="15.75" customHeight="1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</row>
    <row r="764" ht="15.75" customHeight="1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  <c r="AA764" s="21" t="n"/>
    </row>
    <row r="765" ht="15.75" customHeight="1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</row>
    <row r="766" ht="15.75" customHeight="1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  <c r="AA766" s="21" t="n"/>
    </row>
    <row r="767" ht="15.75" customHeight="1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</row>
    <row r="768" ht="15.75" customHeight="1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  <c r="AA768" s="21" t="n"/>
    </row>
    <row r="769" ht="15.75" customHeight="1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</row>
    <row r="770" ht="15.75" customHeight="1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  <c r="AA770" s="21" t="n"/>
    </row>
    <row r="771" ht="15.75" customHeight="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</row>
    <row r="772" ht="15.75" customHeight="1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  <c r="AA772" s="21" t="n"/>
    </row>
    <row r="773" ht="15.75" customHeight="1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</row>
    <row r="774" ht="15.75" customHeight="1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  <c r="AA774" s="21" t="n"/>
    </row>
    <row r="775" ht="15.75" customHeight="1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</row>
    <row r="776" ht="15.75" customHeight="1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  <c r="AA776" s="21" t="n"/>
    </row>
    <row r="777" ht="15.75" customHeight="1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</row>
    <row r="778" ht="15.75" customHeight="1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  <c r="AA778" s="21" t="n"/>
    </row>
    <row r="779" ht="15.75" customHeight="1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</row>
    <row r="780" ht="15.75" customHeight="1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  <c r="AA780" s="21" t="n"/>
    </row>
    <row r="781" ht="15.75" customHeight="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</row>
    <row r="782" ht="15.75" customHeight="1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  <c r="AA782" s="21" t="n"/>
    </row>
    <row r="783" ht="15.75" customHeight="1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</row>
    <row r="784" ht="15.75" customHeight="1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  <c r="AA784" s="21" t="n"/>
    </row>
    <row r="785" ht="15.75" customHeight="1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</row>
    <row r="786" ht="15.75" customHeight="1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  <c r="AA786" s="21" t="n"/>
    </row>
    <row r="787" ht="15.75" customHeight="1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</row>
    <row r="788" ht="15.75" customHeight="1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  <c r="AA788" s="21" t="n"/>
    </row>
    <row r="789" ht="15.75" customHeight="1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</row>
    <row r="790" ht="15.75" customHeight="1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  <c r="AA790" s="21" t="n"/>
    </row>
    <row r="791" ht="15.75" customHeight="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</row>
    <row r="792" ht="15.75" customHeight="1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  <c r="AA792" s="21" t="n"/>
    </row>
    <row r="793" ht="15.75" customHeight="1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</row>
    <row r="794" ht="15.75" customHeight="1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  <c r="AA794" s="21" t="n"/>
    </row>
    <row r="795" ht="15.75" customHeight="1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</row>
    <row r="796" ht="15.75" customHeight="1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  <c r="AA796" s="21" t="n"/>
    </row>
    <row r="797" ht="15.75" customHeight="1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</row>
    <row r="798" ht="15.75" customHeight="1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  <c r="AA798" s="21" t="n"/>
    </row>
    <row r="799" ht="15.75" customHeight="1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</row>
    <row r="800" ht="15.75" customHeight="1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  <c r="AA800" s="21" t="n"/>
    </row>
    <row r="801" ht="15.75" customHeight="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</row>
    <row r="802" ht="15.75" customHeight="1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  <c r="AA802" s="21" t="n"/>
    </row>
    <row r="803" ht="15.75" customHeight="1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</row>
    <row r="804" ht="15.75" customHeight="1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  <c r="AA804" s="21" t="n"/>
    </row>
    <row r="805" ht="15.75" customHeight="1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</row>
    <row r="806" ht="15.75" customHeight="1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  <c r="AA806" s="21" t="n"/>
    </row>
    <row r="807" ht="15.75" customHeight="1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</row>
    <row r="808" ht="15.75" customHeight="1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  <c r="AA808" s="21" t="n"/>
    </row>
    <row r="809" ht="15.75" customHeight="1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</row>
    <row r="810" ht="15.75" customHeight="1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  <c r="AA810" s="21" t="n"/>
    </row>
    <row r="811" ht="15.75" customHeight="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</row>
    <row r="812" ht="15.75" customHeight="1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</row>
    <row r="813" ht="15.75" customHeight="1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</row>
    <row r="814" ht="15.75" customHeight="1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  <c r="AA814" s="21" t="n"/>
    </row>
    <row r="815" ht="15.75" customHeight="1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</row>
    <row r="816" ht="15.75" customHeight="1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  <c r="AA816" s="21" t="n"/>
    </row>
    <row r="817" ht="15.75" customHeight="1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</row>
    <row r="818" ht="15.75" customHeight="1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  <c r="AA818" s="21" t="n"/>
    </row>
    <row r="819" ht="15.75" customHeight="1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</row>
    <row r="820" ht="15.75" customHeight="1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  <c r="AA820" s="21" t="n"/>
    </row>
    <row r="821" ht="15.75" customHeight="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</row>
    <row r="822" ht="15.75" customHeight="1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  <c r="AA822" s="21" t="n"/>
    </row>
    <row r="823" ht="15.75" customHeight="1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</row>
    <row r="824" ht="15.75" customHeight="1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  <c r="AA824" s="21" t="n"/>
    </row>
    <row r="825" ht="15.75" customHeight="1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</row>
    <row r="826" ht="15.75" customHeight="1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  <c r="AA826" s="21" t="n"/>
    </row>
    <row r="827" ht="15.75" customHeight="1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</row>
    <row r="828" ht="15.75" customHeight="1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  <c r="AA828" s="21" t="n"/>
    </row>
    <row r="829" ht="15.75" customHeight="1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</row>
    <row r="830" ht="15.75" customHeight="1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  <c r="AA830" s="21" t="n"/>
    </row>
    <row r="831" ht="15.75" customHeight="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</row>
    <row r="832" ht="15.75" customHeight="1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  <c r="AA832" s="21" t="n"/>
    </row>
    <row r="833" ht="15.75" customHeight="1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</row>
    <row r="834" ht="15.75" customHeight="1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  <c r="AA834" s="21" t="n"/>
    </row>
    <row r="835" ht="15.75" customHeight="1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</row>
    <row r="836" ht="15.75" customHeight="1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  <c r="AA836" s="21" t="n"/>
    </row>
    <row r="837" ht="15.75" customHeight="1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</row>
    <row r="838" ht="15.75" customHeight="1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  <c r="AA838" s="21" t="n"/>
    </row>
    <row r="839" ht="15.75" customHeight="1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</row>
    <row r="840" ht="15.75" customHeight="1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  <c r="AA840" s="21" t="n"/>
    </row>
    <row r="841" ht="15.75" customHeight="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</row>
    <row r="842" ht="15.75" customHeight="1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  <c r="AA842" s="21" t="n"/>
    </row>
    <row r="843" ht="15.75" customHeight="1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</row>
    <row r="844" ht="15.75" customHeight="1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  <c r="AA844" s="21" t="n"/>
    </row>
    <row r="845" ht="15.75" customHeight="1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</row>
    <row r="846" ht="15.75" customHeight="1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  <c r="AA846" s="21" t="n"/>
    </row>
    <row r="847" ht="15.75" customHeight="1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</row>
    <row r="848" ht="15.75" customHeight="1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  <c r="AA848" s="21" t="n"/>
    </row>
    <row r="849" ht="15.75" customHeight="1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</row>
    <row r="850" ht="15.75" customHeight="1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  <c r="AA850" s="21" t="n"/>
    </row>
    <row r="851" ht="15.75" customHeight="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</row>
    <row r="852" ht="15.75" customHeight="1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  <c r="AA852" s="21" t="n"/>
    </row>
    <row r="853" ht="15.75" customHeight="1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</row>
    <row r="854" ht="15.75" customHeight="1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  <c r="AA854" s="21" t="n"/>
    </row>
    <row r="855" ht="15.75" customHeight="1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</row>
    <row r="856" ht="15.75" customHeight="1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  <c r="AA856" s="21" t="n"/>
    </row>
    <row r="857" ht="15.75" customHeight="1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</row>
    <row r="858" ht="15.75" customHeight="1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  <c r="AA858" s="21" t="n"/>
    </row>
    <row r="859" ht="15.75" customHeight="1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</row>
    <row r="860" ht="15.75" customHeight="1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  <c r="AA860" s="21" t="n"/>
    </row>
    <row r="861" ht="15.75" customHeight="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</row>
    <row r="862" ht="15.75" customHeight="1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</row>
    <row r="863" ht="15.75" customHeight="1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</row>
    <row r="864" ht="15.75" customHeight="1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  <c r="AA864" s="21" t="n"/>
    </row>
    <row r="865" ht="15.75" customHeight="1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</row>
    <row r="866" ht="15.75" customHeight="1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  <c r="AA866" s="21" t="n"/>
    </row>
    <row r="867" ht="15.75" customHeight="1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</row>
    <row r="868" ht="15.75" customHeight="1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  <c r="AA868" s="21" t="n"/>
    </row>
    <row r="869" ht="15.75" customHeight="1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</row>
    <row r="870" ht="15.75" customHeight="1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  <c r="AA870" s="21" t="n"/>
    </row>
    <row r="871" ht="15.75" customHeight="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</row>
    <row r="872" ht="15.75" customHeight="1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  <c r="AA872" s="21" t="n"/>
    </row>
    <row r="873" ht="15.75" customHeight="1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</row>
    <row r="874" ht="15.75" customHeight="1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  <c r="AA874" s="21" t="n"/>
    </row>
    <row r="875" ht="15.75" customHeight="1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</row>
    <row r="876" ht="15.75" customHeight="1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  <c r="AA876" s="21" t="n"/>
    </row>
    <row r="877" ht="15.75" customHeight="1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</row>
    <row r="878" ht="15.75" customHeight="1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  <c r="AA878" s="21" t="n"/>
    </row>
    <row r="879" ht="15.75" customHeight="1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</row>
    <row r="880" ht="15.75" customHeight="1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  <c r="AA880" s="21" t="n"/>
    </row>
    <row r="881" ht="15.75" customHeight="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</row>
    <row r="882" ht="15.75" customHeight="1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  <c r="AA882" s="21" t="n"/>
    </row>
    <row r="883" ht="15.75" customHeight="1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</row>
    <row r="884" ht="15.75" customHeight="1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  <c r="AA884" s="21" t="n"/>
    </row>
    <row r="885" ht="15.75" customHeight="1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</row>
    <row r="886" ht="15.75" customHeight="1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  <c r="AA886" s="21" t="n"/>
    </row>
    <row r="887" ht="15.75" customHeight="1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</row>
    <row r="888" ht="15.75" customHeight="1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  <c r="AA888" s="21" t="n"/>
    </row>
    <row r="889" ht="15.75" customHeight="1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</row>
    <row r="890" ht="15.75" customHeight="1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  <c r="AA890" s="21" t="n"/>
    </row>
    <row r="891" ht="15.75" customHeight="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</row>
    <row r="892" ht="15.75" customHeight="1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  <c r="AA892" s="21" t="n"/>
    </row>
    <row r="893" ht="15.75" customHeight="1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</row>
    <row r="894" ht="15.75" customHeight="1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  <c r="AA894" s="21" t="n"/>
    </row>
    <row r="895" ht="15.75" customHeight="1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</row>
    <row r="896" ht="15.75" customHeight="1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  <c r="AA896" s="21" t="n"/>
    </row>
    <row r="897" ht="15.75" customHeight="1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</row>
    <row r="898" ht="15.75" customHeight="1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  <c r="AA898" s="21" t="n"/>
    </row>
    <row r="899" ht="15.75" customHeight="1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</row>
    <row r="900" ht="15.75" customHeight="1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  <c r="AA900" s="21" t="n"/>
    </row>
    <row r="901" ht="15.75" customHeight="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</row>
    <row r="902" ht="15.75" customHeight="1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  <c r="AA902" s="21" t="n"/>
    </row>
    <row r="903" ht="15.75" customHeight="1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</row>
    <row r="904" ht="15.75" customHeight="1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  <c r="AA904" s="21" t="n"/>
    </row>
    <row r="905" ht="15.75" customHeight="1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</row>
    <row r="906" ht="15.75" customHeight="1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  <c r="AA906" s="21" t="n"/>
    </row>
    <row r="907" ht="15.75" customHeight="1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</row>
    <row r="908" ht="15.75" customHeight="1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  <c r="AA908" s="21" t="n"/>
    </row>
    <row r="909" ht="15.75" customHeight="1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</row>
    <row r="910" ht="15.75" customHeight="1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  <c r="AA910" s="21" t="n"/>
    </row>
    <row r="911" ht="15.75" customHeight="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</row>
    <row r="912" ht="15.75" customHeight="1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  <c r="AA912" s="21" t="n"/>
    </row>
    <row r="913" ht="15.75" customHeight="1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</row>
    <row r="914" ht="15.75" customHeight="1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  <c r="AA914" s="21" t="n"/>
    </row>
    <row r="915" ht="15.75" customHeight="1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</row>
    <row r="916" ht="15.75" customHeight="1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  <c r="AA916" s="21" t="n"/>
    </row>
    <row r="917" ht="15.75" customHeight="1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</row>
    <row r="918" ht="15.75" customHeight="1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  <c r="AA918" s="21" t="n"/>
    </row>
    <row r="919" ht="15.75" customHeight="1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</row>
    <row r="920" ht="15.75" customHeight="1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  <c r="AA920" s="21" t="n"/>
    </row>
    <row r="921" ht="15.75" customHeight="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</row>
    <row r="922" ht="15.75" customHeight="1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  <c r="AA922" s="21" t="n"/>
    </row>
    <row r="923" ht="15.75" customHeight="1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</row>
    <row r="924" ht="15.75" customHeight="1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  <c r="AA924" s="21" t="n"/>
    </row>
    <row r="925" ht="15.75" customHeight="1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</row>
    <row r="926" ht="15.75" customHeight="1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  <c r="AA926" s="21" t="n"/>
    </row>
    <row r="927" ht="15.75" customHeight="1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</row>
    <row r="928" ht="15.75" customHeight="1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  <c r="AA928" s="21" t="n"/>
    </row>
    <row r="929" ht="15.75" customHeight="1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</row>
    <row r="930" ht="15.75" customHeight="1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  <c r="AA930" s="21" t="n"/>
    </row>
    <row r="931" ht="15.75" customHeight="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</row>
    <row r="932" ht="15.75" customHeight="1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  <c r="AA932" s="21" t="n"/>
    </row>
    <row r="933" ht="15.75" customHeight="1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</row>
    <row r="934" ht="15.75" customHeight="1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  <c r="AA934" s="21" t="n"/>
    </row>
    <row r="935" ht="15.75" customHeight="1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</row>
    <row r="936" ht="15.75" customHeight="1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  <c r="AA936" s="21" t="n"/>
    </row>
    <row r="937" ht="15.75" customHeight="1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</row>
    <row r="938" ht="15.75" customHeight="1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  <c r="AA938" s="21" t="n"/>
    </row>
    <row r="939" ht="15.75" customHeight="1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</row>
    <row r="940" ht="15.75" customHeight="1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  <c r="AA940" s="21" t="n"/>
    </row>
    <row r="941" ht="15.75" customHeight="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</row>
    <row r="942" ht="15.75" customHeight="1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  <c r="AA942" s="21" t="n"/>
    </row>
    <row r="943" ht="15.75" customHeight="1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</row>
    <row r="944" ht="15.75" customHeight="1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  <c r="AA944" s="21" t="n"/>
    </row>
    <row r="945" ht="15.75" customHeight="1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</row>
    <row r="946" ht="15.75" customHeight="1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  <c r="AA946" s="21" t="n"/>
    </row>
    <row r="947" ht="15.75" customHeight="1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</row>
    <row r="948" ht="15.75" customHeight="1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  <c r="AA948" s="21" t="n"/>
    </row>
    <row r="949" ht="15.75" customHeight="1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</row>
    <row r="950" ht="15.75" customHeight="1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  <c r="AA950" s="21" t="n"/>
    </row>
    <row r="951" ht="15.75" customHeight="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</row>
    <row r="952" ht="15.75" customHeight="1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  <c r="AA952" s="21" t="n"/>
    </row>
    <row r="953" ht="15.75" customHeight="1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</row>
    <row r="954" ht="15.75" customHeight="1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  <c r="AA954" s="21" t="n"/>
    </row>
    <row r="955" ht="15.75" customHeight="1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</row>
    <row r="956" ht="15.75" customHeight="1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  <c r="AA956" s="21" t="n"/>
    </row>
    <row r="957" ht="15.75" customHeight="1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</row>
    <row r="958" ht="15.75" customHeight="1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</row>
    <row r="959" ht="15.75" customHeight="1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</row>
    <row r="960" ht="15.75" customHeight="1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  <c r="AA960" s="21" t="n"/>
    </row>
    <row r="961" ht="15.75" customHeight="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</row>
    <row r="962" ht="15.75" customHeight="1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  <c r="AA962" s="21" t="n"/>
    </row>
    <row r="963" ht="15.75" customHeight="1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</row>
    <row r="964" ht="15.75" customHeight="1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  <c r="AA964" s="21" t="n"/>
    </row>
    <row r="965" ht="15.75" customHeight="1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</row>
    <row r="966" ht="15.75" customHeight="1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  <c r="AA966" s="21" t="n"/>
    </row>
    <row r="967" ht="15.75" customHeight="1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</row>
    <row r="968" ht="15.75" customHeight="1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  <c r="AA968" s="21" t="n"/>
    </row>
    <row r="969" ht="15.75" customHeight="1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</row>
    <row r="970" ht="15.75" customHeight="1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  <c r="AA970" s="21" t="n"/>
    </row>
    <row r="971" ht="15.75" customHeight="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</row>
    <row r="972" ht="15.75" customHeight="1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  <c r="AA972" s="21" t="n"/>
    </row>
    <row r="973" ht="15.75" customHeight="1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</row>
    <row r="974" ht="15.75" customHeight="1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  <c r="AA974" s="21" t="n"/>
    </row>
    <row r="975" ht="15.75" customHeight="1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</row>
    <row r="976" ht="15.75" customHeight="1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  <c r="AA976" s="21" t="n"/>
    </row>
    <row r="977" ht="15.75" customHeight="1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</row>
    <row r="978" ht="15.75" customHeight="1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  <c r="AA978" s="21" t="n"/>
    </row>
    <row r="979" ht="15.75" customHeight="1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</row>
    <row r="980" ht="15.75" customHeight="1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  <c r="AA980" s="21" t="n"/>
    </row>
    <row r="981" ht="15.75" customHeight="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</row>
    <row r="982" ht="15.75" customHeight="1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  <c r="AA982" s="21" t="n"/>
    </row>
    <row r="983" ht="15.75" customHeight="1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  <c r="AA983" s="21" t="n"/>
    </row>
    <row r="984" ht="15.75" customHeight="1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  <c r="AA984" s="21" t="n"/>
    </row>
    <row r="985" ht="15.75" customHeight="1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  <c r="AA985" s="21" t="n"/>
    </row>
    <row r="986" ht="15.75" customHeight="1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  <c r="AA986" s="21" t="n"/>
    </row>
    <row r="987" ht="15.75" customHeight="1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  <c r="AA987" s="21" t="n"/>
    </row>
    <row r="988" ht="15.75" customHeight="1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  <c r="AA988" s="21" t="n"/>
    </row>
    <row r="989" ht="15.75" customHeight="1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  <c r="AA989" s="21" t="n"/>
    </row>
    <row r="990" ht="15.75" customHeight="1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  <c r="AA990" s="21" t="n"/>
    </row>
    <row r="991" ht="15.75" customHeight="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  <c r="AA991" s="21" t="n"/>
    </row>
    <row r="992" ht="15.75" customHeight="1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  <c r="AA992" s="21" t="n"/>
    </row>
    <row r="993" ht="15.75" customHeight="1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  <c r="AA993" s="21" t="n"/>
    </row>
    <row r="994" ht="15.75" customHeight="1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  <c r="AA994" s="21" t="n"/>
    </row>
    <row r="995" ht="15.75" customHeight="1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  <c r="AA995" s="21" t="n"/>
    </row>
    <row r="996" ht="15.75" customHeight="1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  <c r="AA996" s="21" t="n"/>
    </row>
    <row r="997" ht="15.75" customHeight="1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  <c r="AA997" s="21" t="n"/>
    </row>
    <row r="998" ht="15.75" customHeight="1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  <c r="AA998" s="21" t="n"/>
    </row>
    <row r="999" ht="15.75" customHeight="1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  <c r="AA999" s="21" t="n"/>
    </row>
    <row r="1000" ht="15.75" customHeight="1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  <c r="AA1000" s="21" t="n"/>
    </row>
  </sheetData>
  <autoFilter ref="$A$2:$I$10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2026-09-01T18:56:31Z</dcterms:created>
  <dcterms:modified xmlns:dcterms="http://purl.org/dc/terms/" xmlns:xsi="http://www.w3.org/2001/XMLSchema-instance" xsi:type="dcterms:W3CDTF">2026-09-01T18:56:32Z</dcterms:modified>
</cp:coreProperties>
</file>