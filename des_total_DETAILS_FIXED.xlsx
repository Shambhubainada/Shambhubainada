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art Dashboard" sheetId="1" state="visible" r:id="rId1"/>
    <sheet xmlns:r="http://schemas.openxmlformats.org/officeDocument/2006/relationships" name="Dashboard" sheetId="2" state="hidden" r:id="rId2"/>
    <sheet xmlns:r="http://schemas.openxmlformats.org/officeDocument/2006/relationships" name="Master Stock" sheetId="3" state="visible" r:id="rId3"/>
    <sheet xmlns:r="http://schemas.openxmlformats.org/officeDocument/2006/relationships" name="QC Tracker" sheetId="4" state="visible" r:id="rId4"/>
    <sheet xmlns:r="http://schemas.openxmlformats.org/officeDocument/2006/relationships" name="Priority Wheat" sheetId="5" state="visible" r:id="rId5"/>
    <sheet xmlns:r="http://schemas.openxmlformats.org/officeDocument/2006/relationships" name="Priority Rice" sheetId="6" state="visible" r:id="rId6"/>
    <sheet xmlns:r="http://schemas.openxmlformats.org/officeDocument/2006/relationships" name="Shed Summary" sheetId="7" state="visible" r:id="rId7"/>
  </sheets>
  <definedNames>
    <definedName name="_xlnm._FilterDatabase" localSheetId="2" hidden="1">'Master Stock'!$A$1:$L$46</definedName>
    <definedName name="_xlnm._FilterDatabase" localSheetId="4" hidden="1">'Priority Wheat'!$A$2:$I$103</definedName>
    <definedName name="_xlnm._FilterDatabase" localSheetId="5" hidden="1">'Priority Rice'!$A$2:$I$106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.mm\.yy"/>
    <numFmt numFmtId="165" formatCode="dd.mm.yy"/>
    <numFmt numFmtId="166" formatCode="0.000"/>
  </numFmts>
  <fonts count="43">
    <font>
      <name val="Arial"/>
      <color rgb="FF000000"/>
      <sz val="11"/>
      <scheme val="minor"/>
    </font>
    <font>
      <name val="Cambria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FFFFFF"/>
      <sz val="20"/>
    </font>
    <font/>
    <font>
      <name val="Arial"/>
      <color rgb="FF000000"/>
      <sz val="11"/>
    </font>
    <font>
      <name val="Calibri"/>
      <color rgb="FF000000"/>
      <sz val="11"/>
    </font>
    <font>
      <b val="1"/>
      <color rgb="FFFF0000"/>
      <u val="single"/>
    </font>
    <font>
      <name val="Calibri"/>
      <color rgb="FF000000"/>
      <sz val="12"/>
    </font>
    <font>
      <name val="Arial"/>
      <b val="1"/>
      <color rgb="FF000000"/>
      <sz val="20"/>
    </font>
    <font>
      <name val="Calibri"/>
      <b val="1"/>
      <color rgb="FF000000"/>
      <sz val="12"/>
    </font>
    <font>
      <name val="Arial"/>
      <b val="1"/>
      <color rgb="FF000000"/>
      <sz val="17"/>
    </font>
    <font>
      <name val="Arial"/>
      <b val="1"/>
      <color rgb="FF17365D"/>
      <sz val="13"/>
    </font>
    <font>
      <name val="Calibri"/>
      <b val="1"/>
      <color rgb="FF000000"/>
      <sz val="14"/>
    </font>
    <font>
      <name val="Arial"/>
      <b val="1"/>
      <color rgb="FF000000"/>
      <sz val="11"/>
    </font>
    <font>
      <name val="Arial"/>
      <b val="1"/>
      <color rgb="FF000000"/>
    </font>
    <font>
      <name val="Arial"/>
      <b val="1"/>
      <color rgb="FF9C0006"/>
      <sz val="11"/>
    </font>
    <font>
      <name val="Calibri"/>
      <b val="1"/>
      <color rgb="FF000000"/>
      <sz val="11"/>
    </font>
    <font>
      <name val="Arial"/>
      <b val="1"/>
      <color rgb="FF000000"/>
      <sz val="14"/>
    </font>
    <font>
      <name val="Arial"/>
      <color rgb="FF000000"/>
    </font>
    <font>
      <name val="Arial"/>
      <b val="1"/>
      <color rgb="FFFFFFFF"/>
      <sz val="9"/>
    </font>
    <font>
      <name val="Arial"/>
      <color theme="1"/>
    </font>
    <font>
      <name val="Arial"/>
      <b val="1"/>
      <color rgb="FF1F5AA6"/>
      <sz val="10"/>
    </font>
    <font>
      <name val="Arial"/>
      <b val="1"/>
      <color rgb="FF2E7D32"/>
      <sz val="25"/>
    </font>
    <font>
      <name val="Arial"/>
      <b val="1"/>
      <color rgb="FF7030A0"/>
      <sz val="25"/>
    </font>
    <font>
      <name val="Arial"/>
      <b val="1"/>
      <color rgb="FFC00000"/>
      <sz val="10"/>
    </font>
    <font>
      <name val="Arial"/>
      <b val="1"/>
      <color rgb="FFE67E00"/>
      <sz val="10"/>
    </font>
    <font>
      <name val="Arial"/>
      <b val="1"/>
      <color rgb="FF1F5AA6"/>
      <sz val="25"/>
    </font>
    <font>
      <name val="Arial"/>
      <b val="1"/>
      <color rgb="FFC00000"/>
      <sz val="25"/>
    </font>
    <font>
      <name val="Arial"/>
      <b val="1"/>
      <color rgb="FFE67E00"/>
      <sz val="25"/>
    </font>
    <font>
      <name val="Arial"/>
      <b val="1"/>
      <color rgb="FFEFEFEF"/>
      <sz val="11"/>
      <u val="single"/>
    </font>
    <font>
      <name val="Arial"/>
      <b val="1"/>
      <color rgb="FF102A5C"/>
      <sz val="12"/>
    </font>
    <font>
      <name val="Arial"/>
      <b val="1"/>
      <color rgb="FF102A5C"/>
      <sz val="9"/>
    </font>
    <font>
      <name val="Arial"/>
      <color rgb="FF102A5C"/>
      <sz val="9"/>
    </font>
    <font>
      <name val="Arial"/>
      <b val="1"/>
      <color rgb="FFEFEFEF"/>
      <sz val="11"/>
      <u val="single"/>
    </font>
    <font>
      <name val="Arial"/>
      <b val="1"/>
      <color rgb="FFFF0000"/>
      <sz val="11"/>
    </font>
    <font>
      <name val="Arial"/>
      <b val="1"/>
      <color rgb="FFFF0000"/>
      <sz val="12"/>
    </font>
    <font>
      <name val="Arial"/>
      <b val="1"/>
      <color rgb="FF102A5C"/>
      <sz val="10"/>
    </font>
    <font>
      <name val="Arial"/>
      <b val="1"/>
      <color rgb="FF17365D"/>
      <sz val="11"/>
    </font>
    <font>
      <name val="Arial"/>
      <b val="1"/>
      <color rgb="FF17365D"/>
      <sz val="10"/>
    </font>
    <font>
      <name val="Arial"/>
      <b val="1"/>
      <color theme="1"/>
      <sz val="12"/>
    </font>
    <font>
      <name val="Arial"/>
      <b val="1"/>
      <color rgb="FFC00000"/>
      <sz val="8"/>
    </font>
    <font>
      <name val="Arial"/>
      <b val="1"/>
      <color rgb="FF0B2E63"/>
      <sz val="11"/>
    </font>
  </fonts>
  <fills count="20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3F7FA"/>
        <bgColor rgb="FFF3F7FA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0B2E63"/>
        <bgColor rgb="FF0B2E63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  <fill>
      <patternFill patternType="solid">
        <fgColor rgb="FFF3F5F7"/>
        <bgColor rgb="FFF3F5F7"/>
      </patternFill>
    </fill>
    <fill>
      <patternFill patternType="solid">
        <fgColor rgb="FFC00000"/>
        <bgColor rgb="FFC00000"/>
      </patternFill>
    </fill>
    <fill>
      <patternFill patternType="solid">
        <fgColor rgb="FFE67E00"/>
        <bgColor rgb="FFE67E00"/>
      </patternFill>
    </fill>
    <fill>
      <patternFill patternType="solid">
        <fgColor rgb="FFE8EDF3"/>
        <bgColor rgb="FFE8EDF3"/>
      </patternFill>
    </fill>
    <fill>
      <patternFill patternType="solid">
        <fgColor rgb="FFEAF2F8"/>
        <bgColor rgb="FFEAF2F8"/>
      </patternFill>
    </fill>
    <fill>
      <patternFill patternType="solid">
        <fgColor rgb="FFF7F9FC"/>
        <bgColor rgb="FFF7F9FC"/>
      </patternFill>
    </fill>
    <fill>
      <patternFill patternType="solid">
        <fgColor rgb="FFFDECEC"/>
        <bgColor rgb="FFFDECEC"/>
      </patternFill>
    </fill>
    <fill>
      <patternFill patternType="solid">
        <fgColor rgb="FFFFF1DE"/>
        <bgColor rgb="FFFFF1DE"/>
      </patternFill>
    </fill>
    <fill>
      <patternFill patternType="solid">
        <fgColor rgb="FFEEF3F8"/>
        <bgColor rgb="FFEEF3F8"/>
      </patternFill>
    </fill>
  </fills>
  <borders count="108">
    <border/>
    <border>
      <left style="thick">
        <color rgb="FFFF0000"/>
      </left>
      <right style="thin">
        <color rgb="FFB7C9D6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/>
      <top/>
      <bottom/>
    </border>
    <border>
      <top/>
      <bottom/>
    </border>
    <border>
      <left style="thin">
        <color rgb="FFB7C9D6"/>
      </left>
      <right style="thin">
        <color rgb="FFB7C9D6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n">
        <color rgb="FF000000"/>
      </top>
      <bottom style="thin">
        <color rgb="FFB7C9D6"/>
      </bottom>
    </border>
    <border>
      <left/>
      <right/>
      <top/>
      <bottom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ck">
        <color rgb="FFFF0000"/>
      </bottom>
    </border>
    <border>
      <left style="thin">
        <color rgb="FF000000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000000"/>
      </right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000000"/>
      </bottom>
    </border>
    <border>
      <left/>
      <right/>
      <bottom/>
    </border>
    <border>
      <left/>
      <right/>
      <top/>
    </border>
    <border>
      <left style="thin">
        <color rgb="FFFF0000"/>
      </left>
      <top style="thin">
        <color rgb="FFFF0000"/>
      </top>
    </border>
    <border>
      <right style="thin">
        <color rgb="FFC9D2DC"/>
      </right>
      <top style="thin">
        <color rgb="FFFF0000"/>
      </top>
    </border>
    <border>
      <left style="thin">
        <color rgb="FFC9D2DC"/>
      </left>
      <top style="thin">
        <color rgb="FFFF0000"/>
      </top>
    </border>
    <border>
      <top style="thin">
        <color rgb="FFFF0000"/>
      </top>
    </border>
    <border>
      <left style="thin">
        <color rgb="FFC9D2DC"/>
      </lef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  <bottom style="thin">
        <color rgb="FFC9D2DC"/>
      </bottom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top style="thin">
        <color rgb="FFC9D2DC"/>
      </top>
      <bottom style="thin">
        <color rgb="FFC9D2DC"/>
      </bottom>
    </border>
    <border>
      <right style="thin">
        <color rgb="FFFF0000"/>
      </right>
      <top style="thin">
        <color rgb="FFC9D2DC"/>
      </top>
      <bottom style="thin">
        <color rgb="FFC9D2DC"/>
      </bottom>
    </border>
    <border>
      <top style="medium">
        <color rgb="FFFFFFFF"/>
      </top>
    </border>
    <border>
      <right style="thin">
        <color rgb="FFFF0000"/>
      </right>
      <top style="medium">
        <color rgb="FFFFFFFF"/>
      </top>
    </border>
    <border>
      <bottom style="thin">
        <color rgb="FFC9D2DC"/>
      </bottom>
    </border>
    <border>
      <right style="thin">
        <color rgb="FFFF0000"/>
      </right>
      <bottom style="thin">
        <color rgb="FFC9D2DC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FF0000"/>
      </left>
      <right style="thin">
        <color rgb="FFC9D2DC"/>
      </right>
      <bottom style="thin">
        <color rgb="FFC9D2DC"/>
      </bottom>
    </border>
    <border>
      <left style="thin">
        <color rgb="FFC9D2DC"/>
      </left>
      <right style="thin">
        <color rgb="FFC9D2DC"/>
      </right>
      <bottom style="thin">
        <color rgb="FFC9D2DC"/>
      </bottom>
    </border>
    <border>
      <left style="medium">
        <color rgb="FFFFFFFF"/>
      </left>
      <top style="medium">
        <color rgb="FFFFFFFF"/>
      </top>
    </border>
    <border>
      <left style="thin">
        <color rgb="FFFF0000"/>
      </left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top style="thin">
        <color rgb="FFC9D2DC"/>
      </top>
      <bottom style="thin">
        <color rgb="FFC9D2DC"/>
      </bottom>
    </border>
    <border>
      <left style="medium">
        <color rgb="FFFFFFFF"/>
      </left>
      <bottom style="thin">
        <color rgb="FFC9D2DC"/>
      </bottom>
    </border>
    <border>
      <left style="thin">
        <color rgb="FFFF0000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FF0000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</border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thin">
        <color rgb="FFFF0000"/>
      </right>
      <top style="medium">
        <color rgb="FF17365D"/>
      </top>
    </border>
    <border>
      <left style="medium">
        <color rgb="FF17365D"/>
      </left>
      <bottom style="thin">
        <color rgb="FFC9D2DC"/>
      </bottom>
    </border>
    <border>
      <left style="thin">
        <color rgb="FFFF0000"/>
      </left>
      <bottom style="thin">
        <color rgb="FFC9D2DC"/>
      </bottom>
    </border>
    <border>
      <right style="thin">
        <color rgb="FFC9D2DC"/>
      </right>
      <bottom style="thin">
        <color rgb="FFC9D2DC"/>
      </bottom>
    </border>
    <border>
      <left style="thin">
        <color rgb="FFC9D2DC"/>
      </left>
      <bottom style="thin">
        <color rgb="FFC9D2DC"/>
      </bottom>
    </border>
    <border>
      <top style="thin">
        <color rgb="FFB7C9E2"/>
      </top>
      <bottom style="thin">
        <color rgb="FFB7C9E2"/>
      </bottom>
    </border>
    <border>
      <left style="thin">
        <color rgb="FFC9D2DC"/>
      </left>
      <top style="thin">
        <color rgb="FFC9D2DC"/>
      </top>
    </border>
    <border>
      <top style="thin">
        <color rgb="FFC9D2DC"/>
      </top>
    </border>
    <border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C9D2DC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medium">
        <color rgb="FF0B2E63"/>
      </top>
      <bottom style="medium">
        <color rgb="FF0B2E63"/>
      </bottom>
    </border>
    <border>
      <top style="medium">
        <color rgb="FF0B2E63"/>
      </top>
      <bottom style="medium">
        <color rgb="FF0B2E63"/>
      </bottom>
    </border>
    <border>
      <right style="thin">
        <color rgb="FFFF0000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thin">
        <color rgb="FFC9D2DC"/>
      </top>
      <bottom style="thin">
        <color rgb="FFFF0000"/>
      </bottom>
    </border>
    <border>
      <top style="thin">
        <color rgb="FFC9D2DC"/>
      </top>
      <bottom style="thin">
        <color rgb="FFFF0000"/>
      </bottom>
    </border>
    <border>
      <right style="thin">
        <color rgb="FFFF0000"/>
      </right>
      <top style="thin">
        <color rgb="FFC9D2DC"/>
      </top>
      <bottom style="thin">
        <color rgb="FFFF0000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top style="thin">
        <color rgb="FF0000FF"/>
      </top>
    </border>
    <border>
      <left style="thin">
        <color rgb="FF0000FF"/>
      </left>
      <right style="thin">
        <color rgb="FF0000FF"/>
      </right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right style="thin">
        <color rgb="FFC9D2DC"/>
      </right>
      <top style="thin">
        <color rgb="FFC9D2DC"/>
      </top>
    </border>
    <border>
      <right style="thin">
        <color rgb="FFC9D2DC"/>
      </right>
    </border>
    <border>
      <left style="thin">
        <color rgb="FFFF0000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FF0000"/>
      </righ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</border>
    <border>
      <right style="thin">
        <color rgb="FFFF0000"/>
      </right>
      <top style="medium">
        <color rgb="FFFFFFFF"/>
      </top>
      <bottom style="thin">
        <color rgb="FFC9D2DC"/>
      </bottom>
    </border>
    <border>
      <right style="thin">
        <color rgb="FFFF0000"/>
      </right>
    </border>
    <border>
      <left style="medium">
        <color rgb="FFFFFFFF"/>
      </left>
      <right style="thin">
        <color rgb="FFFF0000"/>
      </right>
      <top style="medium">
        <color rgb="FFFFFFFF"/>
      </top>
      <bottom style="thin">
        <color rgb="FFC9D2DC"/>
      </bottom>
    </border>
    <border>
      <left style="medium">
        <color rgb="FFFFFFFF"/>
      </left>
    </border>
    <border>
      <left style="thin">
        <color rgb="FFC9D2DC"/>
      </left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FF0000"/>
      </right>
      <top style="medium">
        <color rgb="FF0B2E63"/>
      </top>
      <bottom style="medium">
        <color rgb="FF0B2E63"/>
      </bottom>
    </border>
    <border>
      <top style="medium">
        <color rgb="FF0B2E63"/>
      </top>
    </border>
    <border>
      <right style="thin">
        <color rgb="FFFF0000"/>
      </right>
      <top style="medium">
        <color rgb="FF0B2E63"/>
      </top>
    </border>
    <border>
      <left style="thin">
        <color rgb="FFFF0000"/>
      </left>
      <right style="thin">
        <color rgb="FFFF0000"/>
      </right>
      <top style="thin">
        <color rgb="FFC9D2DC"/>
      </top>
      <bottom style="thin">
        <color rgb="FFFF0000"/>
      </bottom>
    </border>
    <border>
      <left style="medium">
        <color rgb="FF17365D"/>
      </left>
      <right style="thin">
        <color rgb="FFFF0000"/>
      </right>
      <top style="medium">
        <color rgb="FF17365D"/>
      </top>
      <bottom style="thin">
        <color rgb="FFC9D2DC"/>
      </bottom>
    </border>
    <border>
      <left style="medium">
        <color rgb="FF17365D"/>
      </left>
    </border>
    <border>
      <top style="thin">
        <color rgb="FFB7C9E2"/>
      </top>
    </border>
  </borders>
  <cellStyleXfs count="1">
    <xf numFmtId="0" fontId="0" fillId="0" borderId="0"/>
  </cellStyleXfs>
  <cellXfs count="30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bottom" wrapText="1"/>
    </xf>
    <xf numFmtId="0" fontId="3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bottom" wrapText="1"/>
    </xf>
    <xf numFmtId="0" fontId="4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bottom" wrapText="1"/>
    </xf>
    <xf numFmtId="1" fontId="1" fillId="2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2" fillId="2" borderId="9" applyAlignment="1" pivotButton="0" quotePrefix="0" xfId="0">
      <alignment horizontal="center" vertical="bottom" wrapText="1"/>
    </xf>
    <xf numFmtId="164" fontId="1" fillId="2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0" fontId="2" fillId="2" borderId="10" applyAlignment="1" pivotButton="0" quotePrefix="0" xfId="0">
      <alignment horizontal="center" vertical="bottom" wrapText="1"/>
    </xf>
    <xf numFmtId="0" fontId="1" fillId="2" borderId="1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0" fontId="7" fillId="3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 wrapText="1"/>
    </xf>
    <xf numFmtId="165" fontId="2" fillId="2" borderId="3" applyAlignment="1" pivotButton="0" quotePrefix="0" xfId="0">
      <alignment horizontal="center" vertical="center" wrapText="1"/>
    </xf>
    <xf numFmtId="0" fontId="8" fillId="4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5" fontId="10" fillId="5" borderId="13" applyAlignment="1" pivotButton="0" quotePrefix="0" xfId="0">
      <alignment horizontal="center" vertical="center" wrapText="1"/>
    </xf>
    <xf numFmtId="0" fontId="10" fillId="5" borderId="13" applyAlignment="1" pivotButton="0" quotePrefix="0" xfId="0">
      <alignment horizontal="center" vertical="center" wrapText="1"/>
    </xf>
    <xf numFmtId="1" fontId="9" fillId="0" borderId="0" applyAlignment="1" pivotButton="0" quotePrefix="0" xfId="0">
      <alignment horizontal="center" vertical="center"/>
    </xf>
    <xf numFmtId="1" fontId="10" fillId="5" borderId="1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 wrapText="1"/>
    </xf>
    <xf numFmtId="4" fontId="6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/>
    </xf>
    <xf numFmtId="1" fontId="8" fillId="4" borderId="13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165" fontId="12" fillId="0" borderId="0" applyAlignment="1" pivotButton="0" quotePrefix="0" xfId="0">
      <alignment vertical="bottom"/>
    </xf>
    <xf numFmtId="165" fontId="10" fillId="5" borderId="15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bottom"/>
    </xf>
    <xf numFmtId="1" fontId="6" fillId="4" borderId="7" applyAlignment="1" pivotButton="0" quotePrefix="0" xfId="0">
      <alignment vertical="bottom"/>
    </xf>
    <xf numFmtId="0" fontId="2" fillId="2" borderId="16" applyAlignment="1" pivotButton="0" quotePrefix="0" xfId="0">
      <alignment horizontal="center" vertical="bottom" wrapText="1"/>
    </xf>
    <xf numFmtId="164" fontId="8" fillId="4" borderId="10" applyAlignment="1" pivotButton="0" quotePrefix="0" xfId="0">
      <alignment horizontal="center" vertical="bottom"/>
    </xf>
    <xf numFmtId="1" fontId="6" fillId="4" borderId="16" applyAlignment="1" pivotButton="0" quotePrefix="0" xfId="0">
      <alignment vertical="bottom"/>
    </xf>
    <xf numFmtId="1" fontId="8" fillId="4" borderId="10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bottom" wrapText="1"/>
    </xf>
    <xf numFmtId="49" fontId="10" fillId="5" borderId="17" applyAlignment="1" pivotButton="0" quotePrefix="0" xfId="0">
      <alignment horizontal="center" vertical="bottom"/>
    </xf>
    <xf numFmtId="49" fontId="10" fillId="5" borderId="9" applyAlignment="1" pivotButton="0" quotePrefix="0" xfId="0">
      <alignment horizontal="center" vertical="bottom"/>
    </xf>
    <xf numFmtId="49" fontId="10" fillId="5" borderId="10" applyAlignment="1" pivotButton="0" quotePrefix="0" xfId="0">
      <alignment horizontal="center" vertical="bottom"/>
    </xf>
    <xf numFmtId="0" fontId="13" fillId="0" borderId="18" applyAlignment="1" pivotButton="0" quotePrefix="0" xfId="0">
      <alignment horizontal="center" vertical="center"/>
    </xf>
    <xf numFmtId="0" fontId="14" fillId="5" borderId="0" pivotButton="0" quotePrefix="0" xfId="0"/>
    <xf numFmtId="1" fontId="5" fillId="4" borderId="16" applyAlignment="1" pivotButton="0" quotePrefix="0" xfId="0">
      <alignment vertical="bottom"/>
    </xf>
    <xf numFmtId="164" fontId="13" fillId="0" borderId="18" applyAlignment="1" pivotButton="0" quotePrefix="0" xfId="0">
      <alignment horizontal="center" vertical="center"/>
    </xf>
    <xf numFmtId="0" fontId="15" fillId="5" borderId="0" pivotButton="0" quotePrefix="0" xfId="0"/>
    <xf numFmtId="1" fontId="13" fillId="0" borderId="18" applyAlignment="1" pivotButton="0" quotePrefix="0" xfId="0">
      <alignment horizontal="center" vertical="center"/>
    </xf>
    <xf numFmtId="0" fontId="16" fillId="7" borderId="18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18" applyAlignment="1" pivotButton="0" quotePrefix="0" xfId="0">
      <alignment horizontal="center" vertical="center"/>
    </xf>
    <xf numFmtId="0" fontId="8" fillId="4" borderId="1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165" fontId="10" fillId="5" borderId="18" applyAlignment="1" pivotButton="0" quotePrefix="0" xfId="0">
      <alignment horizontal="center" vertical="center" wrapText="1"/>
    </xf>
    <xf numFmtId="1" fontId="16" fillId="7" borderId="18" applyAlignment="1" pivotButton="0" quotePrefix="0" xfId="0">
      <alignment horizontal="center" vertical="center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center" vertical="center" wrapText="1"/>
    </xf>
    <xf numFmtId="1" fontId="8" fillId="4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65" fontId="10" fillId="5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/>
    </xf>
    <xf numFmtId="1" fontId="6" fillId="0" borderId="0" applyAlignment="1" pivotButton="0" quotePrefix="0" xfId="0">
      <alignment vertical="bottom"/>
    </xf>
    <xf numFmtId="0" fontId="8" fillId="4" borderId="21" applyAlignment="1" pivotButton="0" quotePrefix="0" xfId="0">
      <alignment horizontal="center" vertical="bottom"/>
    </xf>
    <xf numFmtId="0" fontId="8" fillId="4" borderId="22" applyAlignment="1" pivotButton="0" quotePrefix="0" xfId="0">
      <alignment horizontal="center" vertical="bottom"/>
    </xf>
    <xf numFmtId="164" fontId="8" fillId="4" borderId="22" applyAlignment="1" pivotButton="0" quotePrefix="0" xfId="0">
      <alignment horizontal="center" vertical="bottom"/>
    </xf>
    <xf numFmtId="1" fontId="8" fillId="4" borderId="22" applyAlignment="1" pivotButton="0" quotePrefix="0" xfId="0">
      <alignment horizontal="center" vertical="center" wrapText="1"/>
    </xf>
    <xf numFmtId="49" fontId="10" fillId="5" borderId="23" applyAlignment="1" pivotButton="0" quotePrefix="0" xfId="0">
      <alignment horizontal="center" vertical="bottom"/>
    </xf>
    <xf numFmtId="0" fontId="8" fillId="4" borderId="24" applyAlignment="1" pivotButton="0" quotePrefix="0" xfId="0">
      <alignment horizontal="center" vertical="bottom"/>
    </xf>
    <xf numFmtId="164" fontId="8" fillId="4" borderId="24" applyAlignment="1" pivotButton="0" quotePrefix="0" xfId="0">
      <alignment horizontal="center" vertical="bottom"/>
    </xf>
    <xf numFmtId="1" fontId="8" fillId="4" borderId="24" applyAlignment="1" pivotButton="0" quotePrefix="0" xfId="0">
      <alignment horizontal="center" vertical="center" wrapText="1"/>
    </xf>
    <xf numFmtId="49" fontId="10" fillId="5" borderId="24" applyAlignment="1" pivotButton="0" quotePrefix="0" xfId="0">
      <alignment horizontal="center" vertical="bottom"/>
    </xf>
    <xf numFmtId="49" fontId="17" fillId="5" borderId="16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4" borderId="16" applyAlignment="1" pivotButton="0" quotePrefix="0" xfId="0">
      <alignment vertical="bottom"/>
    </xf>
    <xf numFmtId="164" fontId="6" fillId="4" borderId="16" applyAlignment="1" pivotButton="0" quotePrefix="0" xfId="0">
      <alignment vertical="bottom"/>
    </xf>
    <xf numFmtId="0" fontId="8" fillId="4" borderId="25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0" fontId="10" fillId="5" borderId="26" applyAlignment="1" pivotButton="0" quotePrefix="0" xfId="0">
      <alignment horizontal="center" vertical="center" wrapText="1"/>
    </xf>
    <xf numFmtId="1" fontId="10" fillId="5" borderId="26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1" fontId="8" fillId="4" borderId="26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165" fontId="10" fillId="5" borderId="27" applyAlignment="1" pivotButton="0" quotePrefix="0" xfId="0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0" fontId="10" fillId="5" borderId="29" applyAlignment="1" pivotButton="0" quotePrefix="0" xfId="0">
      <alignment horizontal="center" vertical="center" wrapText="1"/>
    </xf>
    <xf numFmtId="1" fontId="10" fillId="5" borderId="29" applyAlignment="1" pivotButton="0" quotePrefix="0" xfId="0">
      <alignment horizontal="center" vertical="center" wrapText="1"/>
    </xf>
    <xf numFmtId="0" fontId="8" fillId="4" borderId="29" applyAlignment="1" pivotButton="0" quotePrefix="0" xfId="0">
      <alignment horizontal="center" vertical="center" wrapText="1"/>
    </xf>
    <xf numFmtId="1" fontId="8" fillId="4" borderId="29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165" fontId="10" fillId="5" borderId="30" applyAlignment="1" pivotButton="0" quotePrefix="0" xfId="0">
      <alignment horizontal="center" vertical="center" wrapText="1"/>
    </xf>
    <xf numFmtId="0" fontId="8" fillId="4" borderId="31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165" fontId="10" fillId="5" borderId="32" applyAlignment="1" pivotButton="0" quotePrefix="0" xfId="0">
      <alignment horizontal="center" vertical="center" wrapText="1"/>
    </xf>
    <xf numFmtId="0" fontId="8" fillId="4" borderId="33" applyAlignment="1" pivotButton="0" quotePrefix="0" xfId="0">
      <alignment horizontal="center" vertical="center" wrapText="1"/>
    </xf>
    <xf numFmtId="165" fontId="10" fillId="5" borderId="34" applyAlignment="1" pivotButton="0" quotePrefix="0" xfId="0">
      <alignment horizontal="center" vertical="center" wrapText="1"/>
    </xf>
    <xf numFmtId="0" fontId="10" fillId="5" borderId="34" applyAlignment="1" pivotButton="0" quotePrefix="0" xfId="0">
      <alignment horizontal="center" vertical="center" wrapText="1"/>
    </xf>
    <xf numFmtId="1" fontId="10" fillId="5" borderId="34" applyAlignment="1" pivotButton="0" quotePrefix="0" xfId="0">
      <alignment horizontal="center" vertical="center" wrapText="1"/>
    </xf>
    <xf numFmtId="0" fontId="8" fillId="4" borderId="34" applyAlignment="1" pivotButton="0" quotePrefix="0" xfId="0">
      <alignment horizontal="center" vertical="center" wrapText="1"/>
    </xf>
    <xf numFmtId="1" fontId="8" fillId="4" borderId="34" applyAlignment="1" pivotButton="0" quotePrefix="0" xfId="0">
      <alignment horizontal="center" vertical="center" wrapText="1"/>
    </xf>
    <xf numFmtId="49" fontId="14" fillId="5" borderId="0" applyAlignment="1" pivotButton="0" quotePrefix="0" xfId="0">
      <alignment vertical="bottom"/>
    </xf>
    <xf numFmtId="165" fontId="10" fillId="5" borderId="35" applyAlignment="1" pivotButton="0" quotePrefix="0" xfId="0">
      <alignment horizontal="center" vertical="center" wrapText="1"/>
    </xf>
    <xf numFmtId="0" fontId="6" fillId="4" borderId="36" applyAlignment="1" pivotButton="0" quotePrefix="0" xfId="0">
      <alignment vertical="bottom"/>
    </xf>
    <xf numFmtId="165" fontId="17" fillId="5" borderId="36" applyAlignment="1" pivotButton="0" quotePrefix="0" xfId="0">
      <alignment vertical="bottom"/>
    </xf>
    <xf numFmtId="0" fontId="17" fillId="5" borderId="36" applyAlignment="1" pivotButton="0" quotePrefix="0" xfId="0">
      <alignment vertical="bottom"/>
    </xf>
    <xf numFmtId="1" fontId="17" fillId="5" borderId="36" applyAlignment="1" pivotButton="0" quotePrefix="0" xfId="0">
      <alignment vertical="bottom"/>
    </xf>
    <xf numFmtId="1" fontId="6" fillId="4" borderId="36" applyAlignment="1" pivotButton="0" quotePrefix="0" xfId="0">
      <alignment vertical="bottom"/>
    </xf>
    <xf numFmtId="165" fontId="17" fillId="5" borderId="16" applyAlignment="1" pivotButton="0" quotePrefix="0" xfId="0">
      <alignment vertical="bottom"/>
    </xf>
    <xf numFmtId="0" fontId="17" fillId="5" borderId="16" applyAlignment="1" pivotButton="0" quotePrefix="0" xfId="0">
      <alignment vertical="bottom"/>
    </xf>
    <xf numFmtId="1" fontId="17" fillId="5" borderId="16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1" fontId="5" fillId="0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1" fontId="14" fillId="5" borderId="0" applyAlignment="1" pivotButton="0" quotePrefix="0" xfId="0">
      <alignment vertical="bottom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164" fontId="14" fillId="5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bottom"/>
    </xf>
    <xf numFmtId="164" fontId="5" fillId="0" borderId="1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bottom"/>
    </xf>
    <xf numFmtId="0" fontId="14" fillId="5" borderId="10" applyAlignment="1" pivotButton="0" quotePrefix="0" xfId="0">
      <alignment horizontal="center" vertical="bottom"/>
    </xf>
    <xf numFmtId="164" fontId="14" fillId="5" borderId="10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bottom"/>
    </xf>
    <xf numFmtId="1" fontId="1" fillId="2" borderId="37" applyAlignment="1" pivotButton="0" quotePrefix="0" xfId="0">
      <alignment horizontal="center" vertical="bottom"/>
    </xf>
    <xf numFmtId="164" fontId="1" fillId="2" borderId="37" applyAlignment="1" pivotButton="0" quotePrefix="0" xfId="0">
      <alignment horizontal="center" vertical="bottom"/>
    </xf>
    <xf numFmtId="0" fontId="3" fillId="8" borderId="38" applyAlignment="1" pivotButton="0" quotePrefix="0" xfId="0">
      <alignment horizontal="center" vertical="center"/>
    </xf>
    <xf numFmtId="0" fontId="4" fillId="0" borderId="39" pivotButton="0" quotePrefix="0" xfId="0"/>
    <xf numFmtId="0" fontId="3" fillId="8" borderId="40" applyAlignment="1" pivotButton="0" quotePrefix="0" xfId="0">
      <alignment horizontal="center" vertical="center"/>
    </xf>
    <xf numFmtId="0" fontId="4" fillId="0" borderId="41" pivotButton="0" quotePrefix="0" xfId="0"/>
    <xf numFmtId="0" fontId="20" fillId="8" borderId="42" applyAlignment="1" pivotButton="0" quotePrefix="0" xfId="0">
      <alignment horizontal="center" vertical="center"/>
    </xf>
    <xf numFmtId="0" fontId="4" fillId="0" borderId="43" pivotButton="0" quotePrefix="0" xfId="0"/>
    <xf numFmtId="0" fontId="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9" borderId="44" applyAlignment="1" pivotButton="0" quotePrefix="0" xfId="0">
      <alignment horizontal="center" vertical="center" wrapText="1"/>
    </xf>
    <xf numFmtId="0" fontId="4" fillId="0" borderId="45" pivotButton="0" quotePrefix="0" xfId="0"/>
    <xf numFmtId="0" fontId="23" fillId="0" borderId="46" applyAlignment="1" pivotButton="0" quotePrefix="0" xfId="0">
      <alignment horizontal="center" vertical="center"/>
    </xf>
    <xf numFmtId="0" fontId="4" fillId="0" borderId="47" pivotButton="0" quotePrefix="0" xfId="0"/>
    <xf numFmtId="0" fontId="24" fillId="0" borderId="46" applyAlignment="1" pivotButton="0" quotePrefix="0" xfId="0">
      <alignment horizontal="center" vertical="center"/>
    </xf>
    <xf numFmtId="0" fontId="25" fillId="9" borderId="44" applyAlignment="1" pivotButton="0" quotePrefix="0" xfId="0">
      <alignment horizontal="center" vertical="center" wrapText="1"/>
    </xf>
    <xf numFmtId="0" fontId="26" fillId="9" borderId="44" applyAlignment="1" pivotButton="0" quotePrefix="0" xfId="0">
      <alignment horizontal="center" vertical="center" wrapText="1"/>
    </xf>
    <xf numFmtId="0" fontId="2" fillId="8" borderId="48" applyAlignment="1" pivotButton="0" quotePrefix="0" xfId="0">
      <alignment horizontal="center" vertical="center"/>
    </xf>
    <xf numFmtId="0" fontId="4" fillId="0" borderId="48" pivotButton="0" quotePrefix="0" xfId="0"/>
    <xf numFmtId="0" fontId="4" fillId="0" borderId="49" pivotButton="0" quotePrefix="0" xfId="0"/>
    <xf numFmtId="0" fontId="27" fillId="0" borderId="46" applyAlignment="1" pivotButton="0" quotePrefix="0" xfId="0">
      <alignment horizontal="center" vertical="center"/>
    </xf>
    <xf numFmtId="0" fontId="4" fillId="0" borderId="46" pivotButton="0" quotePrefix="0" xfId="0"/>
    <xf numFmtId="0" fontId="28" fillId="0" borderId="46" applyAlignment="1" pivotButton="0" quotePrefix="0" xfId="0">
      <alignment horizontal="center" vertical="center"/>
    </xf>
    <xf numFmtId="0" fontId="29" fillId="0" borderId="46" applyAlignment="1" pivotButton="0" quotePrefix="0" xfId="0">
      <alignment horizontal="center" vertical="center"/>
    </xf>
    <xf numFmtId="0" fontId="30" fillId="2" borderId="50" applyAlignment="1" pivotButton="0" quotePrefix="0" xfId="0">
      <alignment horizontal="center" vertical="center" wrapText="1"/>
    </xf>
    <xf numFmtId="0" fontId="4" fillId="0" borderId="50" pivotButton="0" quotePrefix="0" xfId="0"/>
    <xf numFmtId="0" fontId="4" fillId="0" borderId="51" pivotButton="0" quotePrefix="0" xfId="0"/>
    <xf numFmtId="0" fontId="4" fillId="0" borderId="52" pivotButton="0" quotePrefix="0" xfId="0"/>
    <xf numFmtId="0" fontId="4" fillId="0" borderId="53" pivotButton="0" quotePrefix="0" xfId="0"/>
    <xf numFmtId="0" fontId="31" fillId="0" borderId="54" applyAlignment="1" pivotButton="0" quotePrefix="0" xfId="0">
      <alignment horizontal="center" vertical="center"/>
    </xf>
    <xf numFmtId="0" fontId="4" fillId="0" borderId="55" pivotButton="0" quotePrefix="0" xfId="0"/>
    <xf numFmtId="0" fontId="32" fillId="0" borderId="54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 wrapText="1"/>
    </xf>
    <xf numFmtId="0" fontId="33" fillId="0" borderId="57" applyAlignment="1" pivotButton="0" quotePrefix="0" xfId="0">
      <alignment horizontal="center" vertical="center" wrapText="1"/>
    </xf>
    <xf numFmtId="0" fontId="34" fillId="2" borderId="58" applyAlignment="1" pivotButton="0" quotePrefix="0" xfId="0">
      <alignment horizontal="center" vertical="center" wrapText="1"/>
    </xf>
    <xf numFmtId="0" fontId="2" fillId="8" borderId="59" applyAlignment="1" pivotButton="0" quotePrefix="0" xfId="0">
      <alignment horizontal="center" vertical="center" wrapText="1"/>
    </xf>
    <xf numFmtId="0" fontId="4" fillId="0" borderId="60" pivotButton="0" quotePrefix="0" xfId="0"/>
    <xf numFmtId="0" fontId="2" fillId="8" borderId="61" applyAlignment="1" pivotButton="0" quotePrefix="0" xfId="0">
      <alignment horizontal="center" vertical="center" wrapText="1"/>
    </xf>
    <xf numFmtId="0" fontId="4" fillId="0" borderId="62" pivotButton="0" quotePrefix="0" xfId="0"/>
    <xf numFmtId="0" fontId="32" fillId="10" borderId="63" applyAlignment="1" pivotButton="0" quotePrefix="0" xfId="0">
      <alignment horizontal="center" vertical="center" wrapText="1"/>
    </xf>
    <xf numFmtId="0" fontId="32" fillId="10" borderId="64" applyAlignment="1" pivotButton="0" quotePrefix="0" xfId="0">
      <alignment horizontal="center" vertical="center" wrapText="1"/>
    </xf>
    <xf numFmtId="0" fontId="33" fillId="0" borderId="64" applyAlignment="1" pivotButton="0" quotePrefix="0" xfId="0">
      <alignment horizontal="center" vertical="center" wrapText="1"/>
    </xf>
    <xf numFmtId="0" fontId="33" fillId="10" borderId="64" applyAlignment="1" pivotButton="0" quotePrefix="0" xfId="0">
      <alignment horizontal="center" vertical="center" wrapText="1"/>
    </xf>
    <xf numFmtId="0" fontId="33" fillId="9" borderId="63" applyAlignment="1" pivotButton="0" quotePrefix="0" xfId="0">
      <alignment horizontal="center" vertical="center" wrapText="1"/>
    </xf>
    <xf numFmtId="0" fontId="32" fillId="9" borderId="64" applyAlignment="1" pivotButton="0" quotePrefix="0" xfId="0">
      <alignment horizontal="center" vertical="center" wrapText="1"/>
    </xf>
    <xf numFmtId="0" fontId="33" fillId="9" borderId="64" applyAlignment="1" pivotButton="0" quotePrefix="0" xfId="0">
      <alignment horizontal="center" vertical="center" wrapText="1"/>
    </xf>
    <xf numFmtId="0" fontId="35" fillId="9" borderId="64" applyAlignment="1" pivotButton="0" quotePrefix="0" xfId="0">
      <alignment horizontal="center" vertical="center" wrapText="1"/>
    </xf>
    <xf numFmtId="0" fontId="33" fillId="0" borderId="65" applyAlignment="1" pivotButton="0" quotePrefix="0" xfId="0">
      <alignment horizontal="center" vertical="center" wrapText="1"/>
    </xf>
    <xf numFmtId="0" fontId="36" fillId="9" borderId="64" applyAlignment="1" pivotButton="0" quotePrefix="0" xfId="0">
      <alignment horizontal="center" vertical="center" wrapText="1"/>
    </xf>
    <xf numFmtId="0" fontId="2" fillId="8" borderId="61" applyAlignment="1" pivotButton="0" quotePrefix="0" xfId="0">
      <alignment horizontal="center" vertical="center"/>
    </xf>
    <xf numFmtId="0" fontId="37" fillId="9" borderId="63" applyAlignment="1" pivotButton="0" quotePrefix="0" xfId="0">
      <alignment horizontal="center" vertical="center" wrapText="1"/>
    </xf>
    <xf numFmtId="0" fontId="37" fillId="9" borderId="64" applyAlignment="1" pivotButton="0" quotePrefix="0" xfId="0">
      <alignment horizontal="center" vertical="center" wrapText="1"/>
    </xf>
    <xf numFmtId="0" fontId="33" fillId="0" borderId="66" applyAlignment="1" pivotButton="0" quotePrefix="0" xfId="0">
      <alignment horizontal="center" vertical="center" wrapText="1"/>
    </xf>
    <xf numFmtId="0" fontId="38" fillId="5" borderId="67" applyAlignment="1" pivotButton="0" quotePrefix="0" xfId="0">
      <alignment horizontal="center" vertical="center"/>
    </xf>
    <xf numFmtId="0" fontId="4" fillId="0" borderId="68" pivotButton="0" quotePrefix="0" xfId="0"/>
    <xf numFmtId="0" fontId="4" fillId="0" borderId="69" pivotButton="0" quotePrefix="0" xfId="0"/>
    <xf numFmtId="0" fontId="33" fillId="0" borderId="0" applyAlignment="1" pivotButton="0" quotePrefix="0" xfId="0">
      <alignment horizontal="center" vertical="center" wrapText="1"/>
    </xf>
    <xf numFmtId="0" fontId="4" fillId="0" borderId="70" pivotButton="0" quotePrefix="0" xfId="0"/>
    <xf numFmtId="0" fontId="33" fillId="11" borderId="64" applyAlignment="1" pivotButton="0" quotePrefix="0" xfId="0">
      <alignment horizontal="center" vertical="center" wrapText="1"/>
    </xf>
    <xf numFmtId="0" fontId="39" fillId="11" borderId="61" applyAlignment="1" pivotButton="0" quotePrefix="0" xfId="0">
      <alignment horizontal="center" vertical="center" wrapText="1"/>
    </xf>
    <xf numFmtId="165" fontId="39" fillId="11" borderId="61" applyAlignment="1" pivotButton="0" quotePrefix="0" xfId="0">
      <alignment horizontal="center" vertical="center" wrapText="1"/>
    </xf>
    <xf numFmtId="0" fontId="2" fillId="12" borderId="71" applyAlignment="1" pivotButton="0" quotePrefix="0" xfId="0">
      <alignment horizontal="center" vertical="center" wrapText="1"/>
    </xf>
    <xf numFmtId="0" fontId="4" fillId="0" borderId="72" pivotButton="0" quotePrefix="0" xfId="0"/>
    <xf numFmtId="0" fontId="2" fillId="13" borderId="73" applyAlignment="1" pivotButton="0" quotePrefix="0" xfId="0">
      <alignment horizontal="center" vertical="center" wrapText="1"/>
    </xf>
    <xf numFmtId="0" fontId="32" fillId="14" borderId="63" applyAlignment="1" pivotButton="0" quotePrefix="0" xfId="0">
      <alignment horizontal="center" vertical="center" wrapText="1"/>
    </xf>
    <xf numFmtId="0" fontId="32" fillId="14" borderId="64" applyAlignment="1" pivotButton="0" quotePrefix="0" xfId="0">
      <alignment horizontal="center" vertical="center" wrapText="1"/>
    </xf>
    <xf numFmtId="0" fontId="40" fillId="15" borderId="74" applyAlignment="1" pivotButton="0" quotePrefix="0" xfId="0">
      <alignment horizontal="center" vertical="center"/>
    </xf>
    <xf numFmtId="0" fontId="4" fillId="0" borderId="74" pivotButton="0" quotePrefix="0" xfId="0"/>
    <xf numFmtId="0" fontId="33" fillId="16" borderId="63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1" fontId="1" fillId="2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 wrapText="1"/>
    </xf>
    <xf numFmtId="0" fontId="33" fillId="16" borderId="64" applyAlignment="1" pivotButton="0" quotePrefix="0" xfId="0">
      <alignment horizontal="center" vertical="center" wrapText="1"/>
    </xf>
    <xf numFmtId="165" fontId="33" fillId="16" borderId="64" applyAlignment="1" pivotButton="0" quotePrefix="0" xfId="0">
      <alignment horizontal="center" vertical="center" wrapText="1"/>
    </xf>
    <xf numFmtId="0" fontId="41" fillId="17" borderId="64" applyAlignment="1" pivotButton="0" quotePrefix="0" xfId="0">
      <alignment horizontal="center" vertical="center" wrapText="1"/>
    </xf>
    <xf numFmtId="0" fontId="33" fillId="11" borderId="61" applyAlignment="1" pivotButton="0" quotePrefix="0" xfId="0">
      <alignment horizontal="center" vertical="center" wrapText="1"/>
    </xf>
    <xf numFmtId="165" fontId="33" fillId="9" borderId="64" applyAlignment="1" pivotButton="0" quotePrefix="0" xfId="0">
      <alignment horizontal="center" vertical="center" wrapText="1"/>
    </xf>
    <xf numFmtId="0" fontId="33" fillId="11" borderId="75" applyAlignment="1" pivotButton="0" quotePrefix="0" xfId="0">
      <alignment horizontal="center" vertical="center" wrapText="1"/>
    </xf>
    <xf numFmtId="0" fontId="4" fillId="0" borderId="76" pivotButton="0" quotePrefix="0" xfId="0"/>
    <xf numFmtId="0" fontId="4" fillId="0" borderId="77" pivotButton="0" quotePrefix="0" xfId="0"/>
    <xf numFmtId="0" fontId="33" fillId="0" borderId="61" applyAlignment="1" pivotButton="0" quotePrefix="0" xfId="0">
      <alignment horizontal="center" vertical="center" wrapText="1"/>
    </xf>
    <xf numFmtId="0" fontId="33" fillId="0" borderId="49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0" fontId="33" fillId="10" borderId="0" applyAlignment="1" pivotButton="0" quotePrefix="0" xfId="0">
      <alignment horizontal="center" vertical="center" wrapText="1"/>
    </xf>
    <xf numFmtId="0" fontId="25" fillId="17" borderId="78" applyAlignment="1" pivotButton="0" quotePrefix="0" xfId="0">
      <alignment horizontal="center" vertical="center" wrapText="1"/>
    </xf>
    <xf numFmtId="0" fontId="25" fillId="17" borderId="79" applyAlignment="1" pivotButton="0" quotePrefix="0" xfId="0">
      <alignment horizontal="center" vertical="center"/>
    </xf>
    <xf numFmtId="0" fontId="26" fillId="18" borderId="79" applyAlignment="1" pivotButton="0" quotePrefix="0" xfId="0">
      <alignment horizontal="center" vertical="center" wrapText="1"/>
    </xf>
    <xf numFmtId="0" fontId="26" fillId="18" borderId="79" applyAlignment="1" pivotButton="0" quotePrefix="0" xfId="0">
      <alignment horizontal="center" vertical="center"/>
    </xf>
    <xf numFmtId="0" fontId="32" fillId="19" borderId="80" applyAlignment="1" pivotButton="0" quotePrefix="0" xfId="0">
      <alignment horizontal="center" vertical="center" wrapText="1"/>
    </xf>
    <xf numFmtId="0" fontId="4" fillId="0" borderId="81" pivotButton="0" quotePrefix="0" xfId="0"/>
    <xf numFmtId="0" fontId="4" fillId="0" borderId="82" pivotButton="0" quotePrefix="0" xfId="0"/>
    <xf numFmtId="0" fontId="42" fillId="10" borderId="83" applyAlignment="1" pivotButton="0" quotePrefix="0" xfId="0">
      <alignment horizontal="center" vertical="center"/>
    </xf>
    <xf numFmtId="0" fontId="4" fillId="0" borderId="84" pivotButton="0" quotePrefix="0" xfId="0"/>
    <xf numFmtId="0" fontId="4" fillId="0" borderId="85" pivotButton="0" quotePrefix="0" xfId="0"/>
    <xf numFmtId="0" fontId="5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3" fillId="8" borderId="92" applyAlignment="1" pivotButton="0" quotePrefix="0" xfId="0">
      <alignment horizontal="center" vertical="center"/>
    </xf>
    <xf numFmtId="0" fontId="0" fillId="0" borderId="39" pivotButton="0" quotePrefix="0" xfId="0"/>
    <xf numFmtId="0" fontId="3" fillId="8" borderId="93" applyAlignment="1" pivotButton="0" quotePrefix="0" xfId="0">
      <alignment horizontal="center" vertical="center"/>
    </xf>
    <xf numFmtId="0" fontId="0" fillId="0" borderId="41" pivotButton="0" quotePrefix="0" xfId="0"/>
    <xf numFmtId="0" fontId="20" fillId="8" borderId="94" applyAlignment="1" pivotButton="0" quotePrefix="0" xfId="0">
      <alignment horizontal="center" vertical="center"/>
    </xf>
    <xf numFmtId="0" fontId="0" fillId="0" borderId="43" pivotButton="0" quotePrefix="0" xfId="0"/>
    <xf numFmtId="0" fontId="22" fillId="9" borderId="86" applyAlignment="1" pivotButton="0" quotePrefix="0" xfId="0">
      <alignment horizontal="center" vertical="center" wrapText="1"/>
    </xf>
    <xf numFmtId="0" fontId="0" fillId="0" borderId="45" pivotButton="0" quotePrefix="0" xfId="0"/>
    <xf numFmtId="0" fontId="23" fillId="0" borderId="88" applyAlignment="1" pivotButton="0" quotePrefix="0" xfId="0">
      <alignment horizontal="center" vertical="center"/>
    </xf>
    <xf numFmtId="0" fontId="0" fillId="0" borderId="47" pivotButton="0" quotePrefix="0" xfId="0"/>
    <xf numFmtId="0" fontId="24" fillId="0" borderId="88" applyAlignment="1" pivotButton="0" quotePrefix="0" xfId="0">
      <alignment horizontal="center" vertical="center"/>
    </xf>
    <xf numFmtId="0" fontId="25" fillId="9" borderId="86" applyAlignment="1" pivotButton="0" quotePrefix="0" xfId="0">
      <alignment horizontal="center" vertical="center" wrapText="1"/>
    </xf>
    <xf numFmtId="0" fontId="26" fillId="9" borderId="86" applyAlignment="1" pivotButton="0" quotePrefix="0" xfId="0">
      <alignment horizontal="center" vertical="center" wrapText="1"/>
    </xf>
    <xf numFmtId="0" fontId="2" fillId="8" borderId="49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27" fillId="0" borderId="88" applyAlignment="1" pivotButton="0" quotePrefix="0" xfId="0">
      <alignment horizontal="center" vertical="center"/>
    </xf>
    <xf numFmtId="0" fontId="0" fillId="0" borderId="46" pivotButton="0" quotePrefix="0" xfId="0"/>
    <xf numFmtId="0" fontId="28" fillId="0" borderId="88" applyAlignment="1" pivotButton="0" quotePrefix="0" xfId="0">
      <alignment horizontal="center" vertical="center"/>
    </xf>
    <xf numFmtId="0" fontId="29" fillId="0" borderId="88" applyAlignment="1" pivotButton="0" quotePrefix="0" xfId="0">
      <alignment horizontal="center" vertical="center"/>
    </xf>
    <xf numFmtId="0" fontId="30" fillId="2" borderId="9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31" fillId="0" borderId="89" applyAlignment="1" pivotButton="0" quotePrefix="0" xfId="0">
      <alignment horizontal="center" vertical="center"/>
    </xf>
    <xf numFmtId="0" fontId="0" fillId="0" borderId="55" pivotButton="0" quotePrefix="0" xfId="0"/>
    <xf numFmtId="0" fontId="32" fillId="0" borderId="89" applyAlignment="1" pivotButton="0" quotePrefix="0" xfId="0">
      <alignment horizontal="center" vertical="center"/>
    </xf>
    <xf numFmtId="0" fontId="34" fillId="2" borderId="98" applyAlignment="1" pivotButton="0" quotePrefix="0" xfId="0">
      <alignment horizontal="center" vertical="center" wrapText="1"/>
    </xf>
    <xf numFmtId="0" fontId="2" fillId="8" borderId="63" applyAlignment="1" pivotButton="0" quotePrefix="0" xfId="0">
      <alignment horizontal="center" vertical="center" wrapText="1"/>
    </xf>
    <xf numFmtId="0" fontId="0" fillId="0" borderId="60" pivotButton="0" quotePrefix="0" xfId="0"/>
    <xf numFmtId="0" fontId="2" fillId="8" borderId="64" applyAlignment="1" pivotButton="0" quotePrefix="0" xfId="0">
      <alignment horizontal="center" vertical="center" wrapText="1"/>
    </xf>
    <xf numFmtId="0" fontId="0" fillId="0" borderId="62" pivotButton="0" quotePrefix="0" xfId="0"/>
    <xf numFmtId="0" fontId="2" fillId="8" borderId="65" applyAlignment="1" pivotButton="0" quotePrefix="0" xfId="0">
      <alignment horizontal="center" vertical="center"/>
    </xf>
    <xf numFmtId="0" fontId="38" fillId="5" borderId="105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39" fillId="11" borderId="65" applyAlignment="1" pivotButton="0" quotePrefix="0" xfId="0">
      <alignment horizontal="center" vertical="center" wrapText="1"/>
    </xf>
    <xf numFmtId="165" fontId="39" fillId="11" borderId="65" applyAlignment="1" pivotButton="0" quotePrefix="0" xfId="0">
      <alignment horizontal="center" vertical="center" wrapText="1"/>
    </xf>
    <xf numFmtId="0" fontId="2" fillId="12" borderId="56" applyAlignment="1" pivotButton="0" quotePrefix="0" xfId="0">
      <alignment horizontal="center" vertical="center" wrapText="1"/>
    </xf>
    <xf numFmtId="0" fontId="0" fillId="0" borderId="72" pivotButton="0" quotePrefix="0" xfId="0"/>
    <xf numFmtId="0" fontId="2" fillId="13" borderId="57" applyAlignment="1" pivotButton="0" quotePrefix="0" xfId="0">
      <alignment horizontal="center" vertical="center" wrapText="1"/>
    </xf>
    <xf numFmtId="0" fontId="33" fillId="11" borderId="65" applyAlignment="1" pivotButton="0" quotePrefix="0" xfId="0">
      <alignment horizontal="center" vertical="center" wrapText="1"/>
    </xf>
    <xf numFmtId="0" fontId="33" fillId="11" borderId="100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165" fontId="25" fillId="17" borderId="79" applyAlignment="1" pivotButton="0" quotePrefix="0" xfId="0">
      <alignment horizontal="center" vertical="center"/>
    </xf>
    <xf numFmtId="165" fontId="26" fillId="18" borderId="79" applyAlignment="1" pivotButton="0" quotePrefix="0" xfId="0">
      <alignment horizontal="center" vertical="center"/>
    </xf>
    <xf numFmtId="0" fontId="32" fillId="19" borderId="101" applyAlignment="1" pivotButton="0" quotePrefix="0" xfId="0">
      <alignment horizontal="center" vertical="center" wrapText="1"/>
    </xf>
    <xf numFmtId="0" fontId="0" fillId="0" borderId="81" pivotButton="0" quotePrefix="0" xfId="0"/>
    <xf numFmtId="165" fontId="0" fillId="0" borderId="81" pivotButton="0" quotePrefix="0" xfId="0"/>
    <xf numFmtId="0" fontId="0" fillId="0" borderId="82" pivotButton="0" quotePrefix="0" xfId="0"/>
    <xf numFmtId="0" fontId="42" fillId="10" borderId="104" applyAlignment="1" pivotButton="0" quotePrefix="0" xfId="0">
      <alignment horizontal="center" vertical="center"/>
    </xf>
    <xf numFmtId="0" fontId="0" fillId="0" borderId="84" pivotButton="0" quotePrefix="0" xfId="0"/>
    <xf numFmtId="165" fontId="0" fillId="0" borderId="84" pivotButton="0" quotePrefix="0" xfId="0"/>
    <xf numFmtId="0" fontId="0" fillId="0" borderId="85" pivotButton="0" quotePrefix="0" xfId="0"/>
    <xf numFmtId="0" fontId="3" fillId="2" borderId="16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center" wrapText="1"/>
    </xf>
    <xf numFmtId="0" fontId="0" fillId="0" borderId="74" pivotButton="0" quotePrefix="0" xfId="0"/>
    <xf numFmtId="165" fontId="5" fillId="0" borderId="10" applyAlignment="1" pivotButton="0" quotePrefix="0" xfId="0">
      <alignment horizontal="center" vertical="bottom"/>
    </xf>
    <xf numFmtId="166" fontId="5" fillId="0" borderId="10" applyAlignment="1" pivotButton="0" quotePrefix="0" xfId="0">
      <alignment horizontal="center" vertical="bottom"/>
    </xf>
  </cellXfs>
  <cellStyles count="1">
    <cellStyle name="Normal" xfId="0" builtinId="0"/>
  </cellStyles>
  <dxfs count="7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 val="1"/>
        <i val="1"/>
        <color rgb="FFFF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 val="1"/>
        <color rgb="00FFFFFF"/>
      </font>
      <fill>
        <patternFill patternType="solid">
          <fgColor rgb="00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Stacks Details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Dashboard'!$B$9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Dashboard'!$A$10:$A$12</f>
            </strRef>
          </cat>
          <val>
            <numRef>
              <f>'Smart Dashboard'!$B$10:$B$12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Infestation Status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Dashboard'!$G$9</f>
            </strRef>
          </tx>
          <spPr>
            <a:ln xmlns:a="http://schemas.openxmlformats.org/drawingml/2006/main">
              <a:prstDash val="solid"/>
            </a:ln>
          </spPr>
          <dPt>
            <idx val="0"/>
            <explosion val="25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Dashboard'!$F$10:$F$12</f>
            </strRef>
          </cat>
          <val>
            <numRef>
              <f>'Smart Dashboard'!$G$10:$G$12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/Relationships>
</file>

<file path=xl/drawings/drawing1.xml><?xml version="1.0" encoding="utf-8"?>
<wsDr xmlns="http://schemas.openxmlformats.org/drawingml/2006/spreadsheetDrawing">
  <oneCellAnchor>
    <from>
      <col>2</col>
      <colOff>0</colOff>
      <row>7</row>
      <rowOff>304800</rowOff>
    </from>
    <ext cx="2324100" cy="20193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19050</colOff>
      <row>8</row>
      <rowOff>47625</rowOff>
    </from>
    <ext cx="2171700" cy="1676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1</row>
      <rowOff>238125</rowOff>
    </from>
    <ext cx="695325" cy="8382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276225</colOff>
      <row>1</row>
      <rowOff>152400</rowOff>
    </from>
    <ext cx="771525" cy="923925"/>
    <pic>
      <nvPicPr>
        <cNvPr id="0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1295400</colOff>
      <row>1</row>
      <rowOff>219075</rowOff>
    </from>
    <ext cx="695325" cy="1000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628650</colOff>
      <row>1</row>
      <rowOff>219075</rowOff>
    </from>
    <ext cx="485775" cy="1076325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1200150</colOff>
      <row>1</row>
      <rowOff>152400</rowOff>
    </from>
    <ext cx="581025" cy="923925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.25" customWidth="1" style="236" min="1" max="1"/>
    <col width="16.38" customWidth="1" style="236" min="2" max="2"/>
    <col width="15" customWidth="1" style="236" min="3" max="3"/>
    <col width="4.63" customWidth="1" style="236" min="4" max="4"/>
    <col width="10.88" customWidth="1" style="236" min="5" max="5"/>
    <col width="17" customWidth="1" style="236" min="6" max="6"/>
    <col width="15" customWidth="1" style="236" min="7" max="7"/>
    <col width="9" customWidth="1" style="236" min="8" max="8"/>
    <col width="17" customWidth="1" style="236" min="9" max="9"/>
    <col width="3" customWidth="1" style="236" min="10" max="10"/>
    <col width="15" customWidth="1" style="236" min="11" max="11"/>
    <col width="16" customWidth="1" style="236" min="12" max="13"/>
    <col width="0.38" customWidth="1" style="236" min="14" max="14"/>
    <col hidden="1" width="16" customWidth="1" style="236" min="15" max="22"/>
  </cols>
  <sheetData>
    <row r="1" ht="36" customHeight="1" s="236">
      <c r="A1" s="237" t="inlineStr">
        <is>
          <t>⌂</t>
        </is>
      </c>
      <c r="B1" s="238" t="n"/>
      <c r="C1" s="239" t="inlineStr">
        <is>
          <t>STATUS GODOWN NO. 9, 14, 18 AND 20</t>
        </is>
      </c>
      <c r="D1" s="240" t="n"/>
      <c r="E1" s="240" t="n"/>
      <c r="F1" s="240" t="n"/>
      <c r="G1" s="240" t="n"/>
      <c r="H1" s="240" t="n"/>
      <c r="I1" s="240" t="n"/>
      <c r="J1" s="240" t="n"/>
      <c r="K1" s="240" t="n"/>
      <c r="L1" s="238" t="n"/>
      <c r="M1" s="241">
        <f>"Last Updated : "&amp;TEXT(NOW(),"dd.mm.yy")&amp;" | "&amp;TEXT(NOW(),"HH:mm")&amp;"  ↻"</f>
        <v/>
      </c>
      <c r="N1" s="242" t="n"/>
      <c r="O1" s="148" t="n"/>
      <c r="P1" s="148" t="n"/>
      <c r="Q1" s="149" t="inlineStr">
        <is>
          <t>Stack Type</t>
        </is>
      </c>
      <c r="R1" s="149" t="inlineStr">
        <is>
          <t>Count</t>
        </is>
      </c>
      <c r="S1" s="149" t="inlineStr">
        <is>
          <t>Status</t>
        </is>
      </c>
      <c r="T1" s="149" t="inlineStr">
        <is>
          <t>Count</t>
        </is>
      </c>
      <c r="U1" s="149" t="inlineStr">
        <is>
          <t>Infested Rank</t>
        </is>
      </c>
      <c r="V1" s="149" t="inlineStr">
        <is>
          <t>Due Rank</t>
        </is>
      </c>
      <c r="W1" s="149" t="n"/>
      <c r="X1" s="149" t="n"/>
      <c r="Y1" s="149" t="n"/>
      <c r="Z1" s="149" t="n"/>
    </row>
    <row r="2" ht="24" customHeight="1" s="236">
      <c r="A2" s="243" t="n"/>
      <c r="B2" s="244" t="n"/>
      <c r="C2" s="245">
        <f>COUNTIFS('Master Stock'!$D$2:$D$1000,"&lt;&gt;",'Master Stock'!$H$2:$H$1000,"OCCUPIED")</f>
        <v/>
      </c>
      <c r="D2" s="246" t="n"/>
      <c r="E2" s="247">
        <f>COUNTIFS('Master Stock'!$D$2:$D$1000,"&lt;&gt;",'Master Stock'!$H$2:$H$1000,"EMPTY")</f>
        <v/>
      </c>
      <c r="F2" s="246" t="n"/>
      <c r="G2" s="248" t="inlineStr">
        <is>
          <t xml:space="preserve">             INFESTED / UNDER COVER</t>
        </is>
      </c>
      <c r="H2" s="244" t="n"/>
      <c r="I2" s="249" t="inlineStr">
        <is>
          <t xml:space="preserve">            FUMIGATION DUE</t>
        </is>
      </c>
      <c r="J2" s="244" t="n"/>
      <c r="K2" s="250" t="inlineStr">
        <is>
          <t>QUICK NAVIGATION</t>
        </is>
      </c>
      <c r="L2" s="251" t="n"/>
      <c r="M2" s="251" t="n"/>
      <c r="N2" s="252" t="n"/>
      <c r="O2" s="148" t="n"/>
      <c r="P2" s="148" t="n"/>
      <c r="Q2" s="149" t="inlineStr">
        <is>
          <t>Rice (FRK + RRA)</t>
        </is>
      </c>
      <c r="R2" s="149">
        <f>B11</f>
        <v/>
      </c>
      <c r="S2" s="149" t="inlineStr">
        <is>
          <t>Infested / Under Cover</t>
        </is>
      </c>
      <c r="T2" s="149">
        <f>G11</f>
        <v/>
      </c>
      <c r="U2" s="149">
        <f>IF(AND('Master Stock'!D2&lt;&gt;"",'Master Stock'!H2="OCCUPIED",ISNUMBER('Master Stock'!J2),'Master Stock'!K2=""),SUMPRODUCT(--('Master Stock'!$D$2:$D$1000&lt;&gt;""),--('Master Stock'!$H$2:$H$1000="OCCUPIED"),--ISNUMBER('Master Stock'!$J$2:$J$1000),--('Master Stock'!$K$2:$K$1000=""),--('Master Stock'!$J$2:$J$1000&lt;'Master Stock'!J2))+COUNTIFS('Master Stock'!$J$2:J2,'Master Stock'!J2,'Master Stock'!$D$2:D2,"&lt;&gt;",'Master Stock'!$H$2:H2,"OCCUPIED",'Master Stock'!$K$2:K2,""),"")</f>
        <v/>
      </c>
      <c r="V2" s="149">
        <f>IF(AND('Master Stock'!D2&lt;&gt;"",'Master Stock'!H2="OCCUPIED",ISNUMBER('Master Stock'!L2),'Master Stock'!L2&lt;TODAY()-30),SUMPRODUCT(--('Master Stock'!$D$2:$D$1000&lt;&gt;""),--('Master Stock'!$H$2:$H$1000="OCCUPIED"),--ISNUMBER('Master Stock'!$L$2:$L$1000),--('Master Stock'!$L$2:$L$1000&lt;TODAY()-30),--('Master Stock'!$L$2:$L$1000&lt;'Master Stock'!L2))+COUNTIFS('Master Stock'!$L$2:L2,'Master Stock'!L2,'Master Stock'!$D$2:D2,"&lt;&gt;",'Master Stock'!$H$2:H2,"OCCUPIED"),"")</f>
        <v/>
      </c>
      <c r="W2" s="149" t="n"/>
      <c r="X2" s="149" t="n"/>
      <c r="Y2" s="149" t="n"/>
      <c r="Z2" s="149" t="n"/>
    </row>
    <row r="3" ht="24" customHeight="1" s="236">
      <c r="A3" s="253">
        <f>COUNTIF('Master Stock'!$D$2:$D$1000,"&lt;&gt;")</f>
        <v/>
      </c>
      <c r="B3" s="246" t="n"/>
      <c r="C3" s="254" t="n"/>
      <c r="D3" s="246" t="n"/>
      <c r="E3" s="254" t="n"/>
      <c r="F3" s="246" t="n"/>
      <c r="G3" s="255">
        <f>COUNTIFS('Master Stock'!$D$2:$D$1000,"&lt;&gt;",'Master Stock'!$H$2:$H$1000,"OCCUPIED",'Master Stock'!$J$2:$J$1000,"&lt;&gt;",'Master Stock'!$K$2:$K$1000,"")</f>
        <v/>
      </c>
      <c r="H3" s="246" t="n"/>
      <c r="I3" s="256">
        <f>COUNTIFS('Master Stock'!$D$2:$D$1000,"&lt;&gt;",'Master Stock'!$H$2:$H$1000,"OCCUPIED",'Master Stock'!$L$2:$L$1000,"&lt;&gt;",'Master Stock'!$L$2:$L$1000,"&lt;"&amp;TODAY()-30)</f>
        <v/>
      </c>
      <c r="J3" s="246" t="n"/>
      <c r="K3" s="257" t="inlineStr">
        <is>
          <t>☷  QC DETAILS</t>
        </is>
      </c>
      <c r="L3" s="258" t="n"/>
      <c r="M3" s="258" t="n"/>
      <c r="N3" s="259" t="n"/>
      <c r="O3" s="148" t="n"/>
      <c r="P3" s="148" t="n"/>
      <c r="Q3" s="149" t="inlineStr">
        <is>
          <t>Empty Stack</t>
        </is>
      </c>
      <c r="R3" s="149">
        <f>B12</f>
        <v/>
      </c>
      <c r="S3" s="149" t="inlineStr">
        <is>
          <t>Fumigation Due</t>
        </is>
      </c>
      <c r="T3" s="149">
        <f>G12</f>
        <v/>
      </c>
      <c r="U3" s="149">
        <f>IF(AND('Master Stock'!D3&lt;&gt;"",'Master Stock'!H3="OCCUPIED",ISNUMBER('Master Stock'!J3),'Master Stock'!K3=""),SUMPRODUCT(--('Master Stock'!$D$2:$D$1000&lt;&gt;""),--('Master Stock'!$H$2:$H$1000="OCCUPIED"),--ISNUMBER('Master Stock'!$J$2:$J$1000),--('Master Stock'!$K$2:$K$1000=""),--('Master Stock'!$J$2:$J$1000&lt;'Master Stock'!J3))+COUNTIFS('Master Stock'!$J$2:J3,'Master Stock'!J3,'Master Stock'!$D$2:D3,"&lt;&gt;",'Master Stock'!$H$2:H3,"OCCUPIED",'Master Stock'!$K$2:K3,""),"")</f>
        <v/>
      </c>
      <c r="V3" s="149">
        <f>IF(AND('Master Stock'!D3&lt;&gt;"",'Master Stock'!H3="OCCUPIED",ISNUMBER('Master Stock'!L3),'Master Stock'!L3&lt;TODAY()-30),SUMPRODUCT(--('Master Stock'!$D$2:$D$1000&lt;&gt;""),--('Master Stock'!$H$2:$H$1000="OCCUPIED"),--ISNUMBER('Master Stock'!$L$2:$L$1000),--('Master Stock'!$L$2:$L$1000&lt;TODAY()-30),--('Master Stock'!$L$2:$L$1000&lt;'Master Stock'!L3))+COUNTIFS('Master Stock'!$L$2:L3,'Master Stock'!L3,'Master Stock'!$D$2:D3,"&lt;&gt;",'Master Stock'!$H$2:H3,"OCCUPIED"),"")</f>
        <v/>
      </c>
      <c r="W3" s="149" t="n"/>
      <c r="X3" s="149" t="n"/>
      <c r="Y3" s="149" t="n"/>
      <c r="Z3" s="149" t="n"/>
    </row>
    <row r="4" ht="24" customHeight="1" s="236">
      <c r="A4" s="254" t="n"/>
      <c r="B4" s="246" t="n"/>
      <c r="C4" s="254" t="n"/>
      <c r="D4" s="246" t="n"/>
      <c r="E4" s="254" t="n"/>
      <c r="F4" s="246" t="n"/>
      <c r="G4" s="254" t="n"/>
      <c r="H4" s="246" t="n"/>
      <c r="I4" s="254" t="n"/>
      <c r="J4" s="246" t="n"/>
      <c r="K4" s="260" t="n"/>
      <c r="L4" s="260" t="n"/>
      <c r="M4" s="260" t="n"/>
      <c r="N4" s="261" t="n"/>
      <c r="O4" s="148" t="n"/>
      <c r="P4" s="148" t="n"/>
      <c r="Q4" s="148" t="n"/>
      <c r="R4" s="148" t="n"/>
      <c r="S4" s="148" t="n"/>
      <c r="T4" s="148" t="n"/>
      <c r="U4" s="149">
        <f>IF(AND('Master Stock'!D4&lt;&gt;"",'Master Stock'!H4="OCCUPIED",ISNUMBER('Master Stock'!J4),'Master Stock'!K4=""),SUMPRODUCT(--('Master Stock'!$D$2:$D$1000&lt;&gt;""),--('Master Stock'!$H$2:$H$1000="OCCUPIED"),--ISNUMBER('Master Stock'!$J$2:$J$1000),--('Master Stock'!$K$2:$K$1000=""),--('Master Stock'!$J$2:$J$1000&lt;'Master Stock'!J4))+COUNTIFS('Master Stock'!$J$2:J4,'Master Stock'!J4,'Master Stock'!$D$2:D4,"&lt;&gt;",'Master Stock'!$H$2:H4,"OCCUPIED",'Master Stock'!$K$2:K4,""),"")</f>
        <v/>
      </c>
      <c r="V4" s="149">
        <f>IF(AND('Master Stock'!D4&lt;&gt;"",'Master Stock'!H4="OCCUPIED",ISNUMBER('Master Stock'!L4),'Master Stock'!L4&lt;TODAY()-30),SUMPRODUCT(--('Master Stock'!$D$2:$D$1000&lt;&gt;""),--('Master Stock'!$H$2:$H$1000="OCCUPIED"),--ISNUMBER('Master Stock'!$L$2:$L$1000),--('Master Stock'!$L$2:$L$1000&lt;TODAY()-30),--('Master Stock'!$L$2:$L$1000&lt;'Master Stock'!L4))+COUNTIFS('Master Stock'!$L$2:L4,'Master Stock'!L4,'Master Stock'!$D$2:D4,"&lt;&gt;",'Master Stock'!$H$2:H4,"OCCUPIED"),"")</f>
        <v/>
      </c>
      <c r="W4" s="149" t="n"/>
      <c r="X4" s="149" t="n"/>
      <c r="Y4" s="149" t="n"/>
      <c r="Z4" s="149" t="n"/>
    </row>
    <row r="5" ht="24" customHeight="1" s="236">
      <c r="A5" s="254" t="n"/>
      <c r="B5" s="246" t="n"/>
      <c r="C5" s="262" t="inlineStr">
        <is>
          <t>Full Stacks</t>
        </is>
      </c>
      <c r="D5" s="263" t="n"/>
      <c r="E5" s="262" t="inlineStr">
        <is>
          <t>Empty Stacks</t>
        </is>
      </c>
      <c r="F5" s="263" t="n"/>
      <c r="G5" s="254" t="n"/>
      <c r="H5" s="246" t="n"/>
      <c r="I5" s="254" t="n"/>
      <c r="J5" s="246" t="n"/>
      <c r="K5" s="257" t="inlineStr">
        <is>
          <t>▤  MASTER</t>
        </is>
      </c>
      <c r="L5" s="258" t="n"/>
      <c r="M5" s="258" t="n"/>
      <c r="N5" s="259" t="n"/>
      <c r="O5" s="148" t="n"/>
      <c r="P5" s="148" t="n"/>
      <c r="Q5" s="148" t="n"/>
      <c r="R5" s="148" t="n"/>
      <c r="S5" s="148" t="n"/>
      <c r="T5" s="148" t="n"/>
      <c r="U5" s="149">
        <f>IF(AND('Master Stock'!D5&lt;&gt;"",'Master Stock'!H5="OCCUPIED",ISNUMBER('Master Stock'!J5),'Master Stock'!K5=""),SUMPRODUCT(--('Master Stock'!$D$2:$D$1000&lt;&gt;""),--('Master Stock'!$H$2:$H$1000="OCCUPIED"),--ISNUMBER('Master Stock'!$J$2:$J$1000),--('Master Stock'!$K$2:$K$1000=""),--('Master Stock'!$J$2:$J$1000&lt;'Master Stock'!J5))+COUNTIFS('Master Stock'!$J$2:J5,'Master Stock'!J5,'Master Stock'!$D$2:D5,"&lt;&gt;",'Master Stock'!$H$2:H5,"OCCUPIED",'Master Stock'!$K$2:K5,""),"")</f>
        <v/>
      </c>
      <c r="V5" s="149">
        <f>IF(AND('Master Stock'!D5&lt;&gt;"",'Master Stock'!H5="OCCUPIED",ISNUMBER('Master Stock'!L5),'Master Stock'!L5&lt;TODAY()-30),SUMPRODUCT(--('Master Stock'!$D$2:$D$1000&lt;&gt;""),--('Master Stock'!$H$2:$H$1000="OCCUPIED"),--ISNUMBER('Master Stock'!$L$2:$L$1000),--('Master Stock'!$L$2:$L$1000&lt;TODAY()-30),--('Master Stock'!$L$2:$L$1000&lt;'Master Stock'!L5))+COUNTIFS('Master Stock'!$L$2:L5,'Master Stock'!L5,'Master Stock'!$D$2:D5,"&lt;&gt;",'Master Stock'!$H$2:H5,"OCCUPIED"),"")</f>
        <v/>
      </c>
      <c r="W5" s="149" t="n"/>
      <c r="X5" s="149" t="n"/>
      <c r="Y5" s="149" t="n"/>
      <c r="Z5" s="149" t="n"/>
    </row>
    <row r="6" ht="24" customHeight="1" s="236">
      <c r="A6" s="262" t="inlineStr">
        <is>
          <t>All Stacks</t>
        </is>
      </c>
      <c r="B6" s="263" t="n"/>
      <c r="G6" s="262" t="inlineStr">
        <is>
          <t>Requires Attention</t>
        </is>
      </c>
      <c r="H6" s="263" t="n"/>
      <c r="I6" s="264" t="inlineStr">
        <is>
          <t>Due for Fumigation</t>
        </is>
      </c>
      <c r="J6" s="263" t="n"/>
      <c r="K6" s="260" t="n"/>
      <c r="L6" s="260" t="n"/>
      <c r="M6" s="260" t="n"/>
      <c r="N6" s="261" t="n"/>
      <c r="O6" s="148" t="n"/>
      <c r="P6" s="148" t="n"/>
      <c r="Q6" s="148" t="n"/>
      <c r="R6" s="148" t="n"/>
      <c r="S6" s="148" t="n"/>
      <c r="T6" s="148" t="n"/>
      <c r="U6" s="149">
        <f>IF(AND('Master Stock'!D6&lt;&gt;"",'Master Stock'!H6="OCCUPIED",ISNUMBER('Master Stock'!J6),'Master Stock'!K6=""),SUMPRODUCT(--('Master Stock'!$D$2:$D$1000&lt;&gt;""),--('Master Stock'!$H$2:$H$1000="OCCUPIED"),--ISNUMBER('Master Stock'!$J$2:$J$1000),--('Master Stock'!$K$2:$K$1000=""),--('Master Stock'!$J$2:$J$1000&lt;'Master Stock'!J6))+COUNTIFS('Master Stock'!$J$2:J6,'Master Stock'!J6,'Master Stock'!$D$2:D6,"&lt;&gt;",'Master Stock'!$H$2:H6,"OCCUPIED",'Master Stock'!$K$2:K6,""),"")</f>
        <v/>
      </c>
      <c r="V6" s="149">
        <f>IF(AND('Master Stock'!D6&lt;&gt;"",'Master Stock'!H6="OCCUPIED",ISNUMBER('Master Stock'!L6),'Master Stock'!L6&lt;TODAY()-30),SUMPRODUCT(--('Master Stock'!$D$2:$D$1000&lt;&gt;""),--('Master Stock'!$H$2:$H$1000="OCCUPIED"),--ISNUMBER('Master Stock'!$L$2:$L$1000),--('Master Stock'!$L$2:$L$1000&lt;TODAY()-30),--('Master Stock'!$L$2:$L$1000&lt;'Master Stock'!L6))+COUNTIFS('Master Stock'!$L$2:L6,'Master Stock'!L6,'Master Stock'!$D$2:D6,"&lt;&gt;",'Master Stock'!$H$2:H6,"OCCUPIED"),"")</f>
        <v/>
      </c>
      <c r="W6" s="149" t="n"/>
      <c r="X6" s="149" t="n"/>
      <c r="Y6" s="149" t="n"/>
      <c r="Z6" s="149" t="n"/>
    </row>
    <row r="7" ht="21.75" customHeight="1" s="236">
      <c r="A7" s="172" t="n"/>
      <c r="B7" s="173" t="n"/>
      <c r="C7" s="173" t="n"/>
      <c r="D7" s="173" t="n"/>
      <c r="E7" s="173" t="n"/>
      <c r="F7" s="173" t="n"/>
      <c r="G7" s="173" t="n"/>
      <c r="H7" s="173" t="n"/>
      <c r="I7" s="173" t="n"/>
      <c r="J7" s="173" t="n"/>
      <c r="K7" s="265" t="inlineStr">
        <is>
          <t>🌾  RICE PRIORITY</t>
        </is>
      </c>
      <c r="L7" s="258" t="n"/>
      <c r="M7" s="258" t="n"/>
      <c r="N7" s="259" t="n"/>
      <c r="O7" s="148" t="n"/>
      <c r="P7" s="148" t="n"/>
      <c r="Q7" s="148" t="n"/>
      <c r="R7" s="148" t="n"/>
      <c r="S7" s="148" t="n"/>
      <c r="T7" s="148" t="n"/>
      <c r="U7" s="149">
        <f>IF(AND('Master Stock'!D7&lt;&gt;"",'Master Stock'!H7="OCCUPIED",ISNUMBER('Master Stock'!J7),'Master Stock'!K7=""),SUMPRODUCT(--('Master Stock'!$D$2:$D$1000&lt;&gt;""),--('Master Stock'!$H$2:$H$1000="OCCUPIED"),--ISNUMBER('Master Stock'!$J$2:$J$1000),--('Master Stock'!$K$2:$K$1000=""),--('Master Stock'!$J$2:$J$1000&lt;'Master Stock'!J7))+COUNTIFS('Master Stock'!$J$2:J7,'Master Stock'!J7,'Master Stock'!$D$2:D7,"&lt;&gt;",'Master Stock'!$H$2:H7,"OCCUPIED",'Master Stock'!$K$2:K7,""),"")</f>
        <v/>
      </c>
      <c r="V7" s="149">
        <f>IF(AND('Master Stock'!D7&lt;&gt;"",'Master Stock'!H7="OCCUPIED",ISNUMBER('Master Stock'!L7),'Master Stock'!L7&lt;TODAY()-30),SUMPRODUCT(--('Master Stock'!$D$2:$D$1000&lt;&gt;""),--('Master Stock'!$H$2:$H$1000="OCCUPIED"),--ISNUMBER('Master Stock'!$L$2:$L$1000),--('Master Stock'!$L$2:$L$1000&lt;TODAY()-30),--('Master Stock'!$L$2:$L$1000&lt;'Master Stock'!L7))+COUNTIFS('Master Stock'!$L$2:L7,'Master Stock'!L7,'Master Stock'!$D$2:D7,"&lt;&gt;",'Master Stock'!$H$2:H7,"OCCUPIED"),"")</f>
        <v/>
      </c>
      <c r="W7" s="149" t="n"/>
      <c r="X7" s="149" t="n"/>
      <c r="Y7" s="149" t="n"/>
      <c r="Z7" s="149" t="n"/>
    </row>
    <row r="8" ht="24.75" customHeight="1" s="236">
      <c r="A8" s="266" t="inlineStr">
        <is>
          <t>STACK TYPE SUMMARY</t>
        </is>
      </c>
      <c r="B8" s="267" t="n"/>
      <c r="C8" s="268" t="inlineStr">
        <is>
          <t>STACK MIX</t>
        </is>
      </c>
      <c r="D8" s="251" t="n"/>
      <c r="E8" s="267" t="n"/>
      <c r="F8" s="268" t="inlineStr">
        <is>
          <t>INFESTATION STATUS</t>
        </is>
      </c>
      <c r="G8" s="267" t="n"/>
      <c r="H8" s="268" t="inlineStr">
        <is>
          <t>INFESTATION STATUS</t>
        </is>
      </c>
      <c r="I8" s="251" t="n"/>
      <c r="J8" s="267" t="n"/>
      <c r="K8" s="269" t="n"/>
      <c r="L8" s="260" t="n"/>
      <c r="M8" s="260" t="n"/>
      <c r="N8" s="261" t="n"/>
      <c r="O8" s="148" t="n"/>
      <c r="P8" s="148" t="n"/>
      <c r="Q8" s="148" t="n"/>
      <c r="R8" s="148" t="n"/>
      <c r="S8" s="148" t="n"/>
      <c r="T8" s="148" t="n"/>
      <c r="U8" s="149">
        <f>IF(AND('Master Stock'!D8&lt;&gt;"",'Master Stock'!H8="OCCUPIED",ISNUMBER('Master Stock'!J8),'Master Stock'!K8=""),SUMPRODUCT(--('Master Stock'!$D$2:$D$1000&lt;&gt;""),--('Master Stock'!$H$2:$H$1000="OCCUPIED"),--ISNUMBER('Master Stock'!$J$2:$J$1000),--('Master Stock'!$K$2:$K$1000=""),--('Master Stock'!$J$2:$J$1000&lt;'Master Stock'!J8))+COUNTIFS('Master Stock'!$J$2:J8,'Master Stock'!J8,'Master Stock'!$D$2:D8,"&lt;&gt;",'Master Stock'!$H$2:H8,"OCCUPIED",'Master Stock'!$K$2:K8,""),"")</f>
        <v/>
      </c>
      <c r="V8" s="149">
        <f>IF(AND('Master Stock'!D8&lt;&gt;"",'Master Stock'!H8="OCCUPIED",ISNUMBER('Master Stock'!L8),'Master Stock'!L8&lt;TODAY()-30),SUMPRODUCT(--('Master Stock'!$D$2:$D$1000&lt;&gt;""),--('Master Stock'!$H$2:$H$1000="OCCUPIED"),--ISNUMBER('Master Stock'!$L$2:$L$1000),--('Master Stock'!$L$2:$L$1000&lt;TODAY()-30),--('Master Stock'!$L$2:$L$1000&lt;'Master Stock'!L8))+COUNTIFS('Master Stock'!$L$2:L8,'Master Stock'!L8,'Master Stock'!$D$2:D8,"&lt;&gt;",'Master Stock'!$H$2:H8,"OCCUPIED"),"")</f>
        <v/>
      </c>
      <c r="W8" s="149" t="n"/>
      <c r="X8" s="149" t="n"/>
      <c r="Y8" s="149" t="n"/>
      <c r="Z8" s="149" t="n"/>
    </row>
    <row r="9" ht="21.75" customHeight="1" s="236">
      <c r="A9" s="179" t="inlineStr">
        <is>
          <t>STACK TYPE</t>
        </is>
      </c>
      <c r="B9" s="180" t="inlineStr">
        <is>
          <t>COUNT</t>
        </is>
      </c>
      <c r="C9" s="181" t="n"/>
      <c r="D9" s="181" t="n"/>
      <c r="E9" s="181" t="n"/>
      <c r="F9" s="182" t="inlineStr">
        <is>
          <t>STATUS</t>
        </is>
      </c>
      <c r="G9" s="182" t="inlineStr">
        <is>
          <t>COUNT</t>
        </is>
      </c>
      <c r="H9" s="181" t="n"/>
      <c r="I9" s="181" t="n"/>
      <c r="J9" s="181" t="n"/>
      <c r="K9" s="265" t="inlineStr">
        <is>
          <t>🌾  WHEAT PRIORITY</t>
        </is>
      </c>
      <c r="L9" s="258" t="n"/>
      <c r="M9" s="258" t="n"/>
      <c r="N9" s="259" t="n"/>
      <c r="O9" s="148" t="n"/>
      <c r="P9" s="148" t="n"/>
      <c r="Q9" s="148" t="n"/>
      <c r="R9" s="148" t="n"/>
      <c r="S9" s="148" t="n"/>
      <c r="T9" s="148" t="n"/>
      <c r="U9" s="149">
        <f>IF(AND('Master Stock'!D9&lt;&gt;"",'Master Stock'!H9="OCCUPIED",ISNUMBER('Master Stock'!J9),'Master Stock'!K9=""),SUMPRODUCT(--('Master Stock'!$D$2:$D$1000&lt;&gt;""),--('Master Stock'!$H$2:$H$1000="OCCUPIED"),--ISNUMBER('Master Stock'!$J$2:$J$1000),--('Master Stock'!$K$2:$K$1000=""),--('Master Stock'!$J$2:$J$1000&lt;'Master Stock'!J9))+COUNTIFS('Master Stock'!$J$2:J9,'Master Stock'!J9,'Master Stock'!$D$2:D9,"&lt;&gt;",'Master Stock'!$H$2:H9,"OCCUPIED",'Master Stock'!$K$2:K9,""),"")</f>
        <v/>
      </c>
      <c r="V9" s="149">
        <f>IF(AND('Master Stock'!D9&lt;&gt;"",'Master Stock'!H9="OCCUPIED",ISNUMBER('Master Stock'!L9),'Master Stock'!L9&lt;TODAY()-30),SUMPRODUCT(--('Master Stock'!$D$2:$D$1000&lt;&gt;""),--('Master Stock'!$H$2:$H$1000="OCCUPIED"),--ISNUMBER('Master Stock'!$L$2:$L$1000),--('Master Stock'!$L$2:$L$1000&lt;TODAY()-30),--('Master Stock'!$L$2:$L$1000&lt;'Master Stock'!L9))+COUNTIFS('Master Stock'!$L$2:L9,'Master Stock'!L9,'Master Stock'!$D$2:D9,"&lt;&gt;",'Master Stock'!$H$2:H9,"OCCUPIED"),"")</f>
        <v/>
      </c>
      <c r="W9" s="149" t="n"/>
      <c r="X9" s="149" t="n"/>
      <c r="Y9" s="149" t="n"/>
      <c r="Z9" s="149" t="n"/>
    </row>
    <row r="10" ht="21.75" customHeight="1" s="236">
      <c r="A10" s="183" t="inlineStr">
        <is>
          <t>Wheat</t>
        </is>
      </c>
      <c r="B10" s="184">
        <f>COUNTIFS('Master Stock'!$D$2:$D$1000,"&lt;&gt;",'Master Stock'!$G$2:$G$1000,"*WHEAT*")</f>
        <v/>
      </c>
      <c r="C10" s="181" t="n"/>
      <c r="D10" s="181" t="n"/>
      <c r="E10" s="181" t="n"/>
      <c r="F10" s="185" t="inlineStr">
        <is>
          <t>Clear</t>
        </is>
      </c>
      <c r="G10" s="185">
        <f>MAX(0,$C$2-$G$3)</f>
        <v/>
      </c>
      <c r="H10" s="181" t="n"/>
      <c r="I10" s="181" t="n"/>
      <c r="J10" s="181" t="n"/>
      <c r="K10" s="269" t="n"/>
      <c r="L10" s="260" t="n"/>
      <c r="M10" s="260" t="n"/>
      <c r="N10" s="261" t="n"/>
      <c r="O10" s="148" t="n"/>
      <c r="P10" s="148" t="n"/>
      <c r="Q10" s="148" t="n"/>
      <c r="R10" s="148" t="n"/>
      <c r="S10" s="148" t="n"/>
      <c r="T10" s="148" t="n"/>
      <c r="U10" s="149">
        <f>IF(AND('Master Stock'!D10&lt;&gt;"",'Master Stock'!H10="OCCUPIED",ISNUMBER('Master Stock'!J10),'Master Stock'!K10=""),SUMPRODUCT(--('Master Stock'!$D$2:$D$1000&lt;&gt;""),--('Master Stock'!$H$2:$H$1000="OCCUPIED"),--ISNUMBER('Master Stock'!$J$2:$J$1000),--('Master Stock'!$K$2:$K$1000=""),--('Master Stock'!$J$2:$J$1000&lt;'Master Stock'!J10))+COUNTIFS('Master Stock'!$J$2:J10,'Master Stock'!J10,'Master Stock'!$D$2:D10,"&lt;&gt;",'Master Stock'!$H$2:H10,"OCCUPIED",'Master Stock'!$K$2:K10,""),"")</f>
        <v/>
      </c>
      <c r="V10" s="149">
        <f>IF(AND('Master Stock'!D10&lt;&gt;"",'Master Stock'!H10="OCCUPIED",ISNUMBER('Master Stock'!L10),'Master Stock'!L10&lt;TODAY()-30),SUMPRODUCT(--('Master Stock'!$D$2:$D$1000&lt;&gt;""),--('Master Stock'!$H$2:$H$1000="OCCUPIED"),--ISNUMBER('Master Stock'!$L$2:$L$1000),--('Master Stock'!$L$2:$L$1000&lt;TODAY()-30),--('Master Stock'!$L$2:$L$1000&lt;'Master Stock'!L10))+COUNTIFS('Master Stock'!$L$2:L10,'Master Stock'!L10,'Master Stock'!$D$2:D10,"&lt;&gt;",'Master Stock'!$H$2:H10,"OCCUPIED"),"")</f>
        <v/>
      </c>
      <c r="W10" s="149" t="n"/>
      <c r="X10" s="149" t="n"/>
      <c r="Y10" s="149" t="n"/>
      <c r="Z10" s="149" t="n"/>
    </row>
    <row r="11" ht="21.75" customHeight="1" s="236">
      <c r="A11" s="183" t="inlineStr">
        <is>
          <t>Rice (FRK + RRA)</t>
        </is>
      </c>
      <c r="B11" s="184">
        <f>COUNTIFS('Master Stock'!$D$2:$D$1000,"&lt;&gt;",'Master Stock'!$G$2:$G$1000,"*FRK*",'Master Stock'!$G$2:$G$1000,"*RRA*")</f>
        <v/>
      </c>
      <c r="C11" s="181" t="n"/>
      <c r="D11" s="181" t="n"/>
      <c r="E11" s="181" t="n"/>
      <c r="F11" s="185" t="inlineStr">
        <is>
          <t>Infested / Under Cover</t>
        </is>
      </c>
      <c r="G11" s="186">
        <f>$G$3</f>
        <v/>
      </c>
      <c r="H11" s="181" t="n"/>
      <c r="I11" s="181" t="n"/>
      <c r="J11" s="181" t="n"/>
      <c r="K11" s="181" t="n"/>
      <c r="L11" s="181" t="n"/>
      <c r="M11" s="181" t="n"/>
      <c r="N11" s="187" t="n"/>
      <c r="O11" s="148" t="n"/>
      <c r="P11" s="148" t="n"/>
      <c r="Q11" s="148" t="n"/>
      <c r="R11" s="148" t="n"/>
      <c r="S11" s="148" t="n"/>
      <c r="T11" s="148" t="n"/>
      <c r="U11" s="149">
        <f>IF(AND('Master Stock'!D11&lt;&gt;"",'Master Stock'!H11="OCCUPIED",ISNUMBER('Master Stock'!J11),'Master Stock'!K11=""),SUMPRODUCT(--('Master Stock'!$D$2:$D$1000&lt;&gt;""),--('Master Stock'!$H$2:$H$1000="OCCUPIED"),--ISNUMBER('Master Stock'!$J$2:$J$1000),--('Master Stock'!$K$2:$K$1000=""),--('Master Stock'!$J$2:$J$1000&lt;'Master Stock'!J11))+COUNTIFS('Master Stock'!$J$2:J11,'Master Stock'!J11,'Master Stock'!$D$2:D11,"&lt;&gt;",'Master Stock'!$H$2:H11,"OCCUPIED",'Master Stock'!$K$2:K11,""),"")</f>
        <v/>
      </c>
      <c r="V11" s="149">
        <f>IF(AND('Master Stock'!D11&lt;&gt;"",'Master Stock'!H11="OCCUPIED",ISNUMBER('Master Stock'!L11),'Master Stock'!L11&lt;TODAY()-30),SUMPRODUCT(--('Master Stock'!$D$2:$D$1000&lt;&gt;""),--('Master Stock'!$H$2:$H$1000="OCCUPIED"),--ISNUMBER('Master Stock'!$L$2:$L$1000),--('Master Stock'!$L$2:$L$1000&lt;TODAY()-30),--('Master Stock'!$L$2:$L$1000&lt;'Master Stock'!L11))+COUNTIFS('Master Stock'!$L$2:L11,'Master Stock'!L11,'Master Stock'!$D$2:D11,"&lt;&gt;",'Master Stock'!$H$2:H11,"OCCUPIED"),"")</f>
        <v/>
      </c>
      <c r="W11" s="149" t="n"/>
      <c r="X11" s="149" t="n"/>
      <c r="Y11" s="149" t="n"/>
      <c r="Z11" s="149" t="n"/>
    </row>
    <row r="12" ht="21.75" customHeight="1" s="236">
      <c r="A12" s="183" t="inlineStr">
        <is>
          <t>Empty Stack</t>
        </is>
      </c>
      <c r="B12" s="188">
        <f>COUNTIFS('Master Stock'!$D$2:$D$1000,"&lt;&gt;",'Master Stock'!$H$2:$H$1000,"EMPTY")</f>
        <v/>
      </c>
      <c r="C12" s="181" t="n"/>
      <c r="D12" s="181" t="n"/>
      <c r="E12" s="181" t="n"/>
      <c r="F12" s="185" t="inlineStr">
        <is>
          <t>Fumigation Due</t>
        </is>
      </c>
      <c r="G12" s="186">
        <f>$I$3</f>
        <v/>
      </c>
      <c r="H12" s="181" t="n"/>
      <c r="I12" s="181" t="n"/>
      <c r="J12" s="181" t="n"/>
      <c r="K12" s="270" t="inlineStr">
        <is>
          <t>SEARCH STACK</t>
        </is>
      </c>
      <c r="L12" s="251" t="n"/>
      <c r="M12" s="251" t="n"/>
      <c r="N12" s="252" t="n"/>
      <c r="O12" s="148" t="n"/>
      <c r="P12" s="148" t="n"/>
      <c r="Q12" s="148" t="n"/>
      <c r="R12" s="148" t="n"/>
      <c r="S12" s="148" t="n"/>
      <c r="T12" s="148" t="n"/>
      <c r="U12" s="149">
        <f>IF(AND('Master Stock'!D12&lt;&gt;"",'Master Stock'!H12="OCCUPIED",ISNUMBER('Master Stock'!J12),'Master Stock'!K12=""),SUMPRODUCT(--('Master Stock'!$D$2:$D$1000&lt;&gt;""),--('Master Stock'!$H$2:$H$1000="OCCUPIED"),--ISNUMBER('Master Stock'!$J$2:$J$1000),--('Master Stock'!$K$2:$K$1000=""),--('Master Stock'!$J$2:$J$1000&lt;'Master Stock'!J12))+COUNTIFS('Master Stock'!$J$2:J12,'Master Stock'!J12,'Master Stock'!$D$2:D12,"&lt;&gt;",'Master Stock'!$H$2:H12,"OCCUPIED",'Master Stock'!$K$2:K12,""),"")</f>
        <v/>
      </c>
      <c r="V12" s="149">
        <f>IF(AND('Master Stock'!D12&lt;&gt;"",'Master Stock'!H12="OCCUPIED",ISNUMBER('Master Stock'!L12),'Master Stock'!L12&lt;TODAY()-30),SUMPRODUCT(--('Master Stock'!$D$2:$D$1000&lt;&gt;""),--('Master Stock'!$H$2:$H$1000="OCCUPIED"),--ISNUMBER('Master Stock'!$L$2:$L$1000),--('Master Stock'!$L$2:$L$1000&lt;TODAY()-30),--('Master Stock'!$L$2:$L$1000&lt;'Master Stock'!L12))+COUNTIFS('Master Stock'!$L$2:L12,'Master Stock'!L12,'Master Stock'!$D$2:D12,"&lt;&gt;",'Master Stock'!$H$2:H12,"OCCUPIED"),"")</f>
        <v/>
      </c>
      <c r="W12" s="149" t="n"/>
      <c r="X12" s="149" t="n"/>
      <c r="Y12" s="149" t="n"/>
      <c r="Z12" s="149" t="n"/>
    </row>
    <row r="13" ht="21.75" customHeight="1" s="236">
      <c r="A13" s="190" t="inlineStr">
        <is>
          <t>TOTAL</t>
        </is>
      </c>
      <c r="B13" s="191">
        <f>SUM(B10:B12)</f>
        <v/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271" t="inlineStr">
        <is>
          <t>14A02</t>
        </is>
      </c>
      <c r="L13" s="272" t="n"/>
      <c r="M13" s="272" t="n"/>
      <c r="N13" s="273" t="n"/>
      <c r="O13" s="148" t="n"/>
      <c r="P13" s="148" t="n"/>
      <c r="Q13" s="148" t="n"/>
      <c r="R13" s="148" t="n"/>
      <c r="S13" s="148" t="n"/>
      <c r="T13" s="148" t="n"/>
      <c r="U13" s="149">
        <f>IF(AND('Master Stock'!D13&lt;&gt;"",'Master Stock'!H13="OCCUPIED",ISNUMBER('Master Stock'!J13),'Master Stock'!K13=""),SUMPRODUCT(--('Master Stock'!$D$2:$D$1000&lt;&gt;""),--('Master Stock'!$H$2:$H$1000="OCCUPIED"),--ISNUMBER('Master Stock'!$J$2:$J$1000),--('Master Stock'!$K$2:$K$1000=""),--('Master Stock'!$J$2:$J$1000&lt;'Master Stock'!J13))+COUNTIFS('Master Stock'!$J$2:J13,'Master Stock'!J13,'Master Stock'!$D$2:D13,"&lt;&gt;",'Master Stock'!$H$2:H13,"OCCUPIED",'Master Stock'!$K$2:K13,""),"")</f>
        <v/>
      </c>
      <c r="V13" s="149">
        <f>IF(AND('Master Stock'!D13&lt;&gt;"",'Master Stock'!H13="OCCUPIED",ISNUMBER('Master Stock'!L13),'Master Stock'!L13&lt;TODAY()-30),SUMPRODUCT(--('Master Stock'!$D$2:$D$1000&lt;&gt;""),--('Master Stock'!$H$2:$H$1000="OCCUPIED"),--ISNUMBER('Master Stock'!$L$2:$L$1000),--('Master Stock'!$L$2:$L$1000&lt;TODAY()-30),--('Master Stock'!$L$2:$L$1000&lt;'Master Stock'!L13))+COUNTIFS('Master Stock'!$L$2:L13,'Master Stock'!L13,'Master Stock'!$D$2:D13,"&lt;&gt;",'Master Stock'!$H$2:H13,"OCCUPIED"),"")</f>
        <v/>
      </c>
      <c r="W13" s="149" t="n"/>
      <c r="X13" s="149" t="n"/>
      <c r="Y13" s="149" t="n"/>
      <c r="Z13" s="149" t="n"/>
    </row>
    <row r="14" ht="21.75" customHeight="1" s="236">
      <c r="A14" s="196" t="n"/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274" t="n"/>
      <c r="L14" s="260" t="n"/>
      <c r="M14" s="260" t="n"/>
      <c r="N14" s="261" t="n"/>
      <c r="O14" s="148" t="n"/>
      <c r="P14" s="148" t="n"/>
      <c r="Q14" s="148" t="n"/>
      <c r="R14" s="148" t="n"/>
      <c r="S14" s="148" t="n"/>
      <c r="T14" s="148" t="n"/>
      <c r="U14" s="149">
        <f>IF(AND('Master Stock'!D14&lt;&gt;"",'Master Stock'!H14="OCCUPIED",ISNUMBER('Master Stock'!J14),'Master Stock'!K14=""),SUMPRODUCT(--('Master Stock'!$D$2:$D$1000&lt;&gt;""),--('Master Stock'!$H$2:$H$1000="OCCUPIED"),--ISNUMBER('Master Stock'!$J$2:$J$1000),--('Master Stock'!$K$2:$K$1000=""),--('Master Stock'!$J$2:$J$1000&lt;'Master Stock'!J14))+COUNTIFS('Master Stock'!$J$2:J14,'Master Stock'!J14,'Master Stock'!$D$2:D14,"&lt;&gt;",'Master Stock'!$H$2:H14,"OCCUPIED",'Master Stock'!$K$2:K14,""),"")</f>
        <v/>
      </c>
      <c r="V14" s="149">
        <f>IF(AND('Master Stock'!D14&lt;&gt;"",'Master Stock'!H14="OCCUPIED",ISNUMBER('Master Stock'!L14),'Master Stock'!L14&lt;TODAY()-30),SUMPRODUCT(--('Master Stock'!$D$2:$D$1000&lt;&gt;""),--('Master Stock'!$H$2:$H$1000="OCCUPIED"),--ISNUMBER('Master Stock'!$L$2:$L$1000),--('Master Stock'!$L$2:$L$1000&lt;TODAY()-30),--('Master Stock'!$L$2:$L$1000&lt;'Master Stock'!L14))+COUNTIFS('Master Stock'!$L$2:L14,'Master Stock'!L14,'Master Stock'!$D$2:D14,"&lt;&gt;",'Master Stock'!$H$2:H14,"OCCUPIED"),"")</f>
        <v/>
      </c>
      <c r="W14" s="149" t="n"/>
      <c r="X14" s="149" t="n"/>
      <c r="Y14" s="149" t="n"/>
      <c r="Z14" s="149" t="n"/>
    </row>
    <row r="15" ht="21.75" customHeight="1" s="236">
      <c r="A15" s="196" t="n"/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8" t="n"/>
      <c r="L15" s="181" t="n"/>
      <c r="M15" s="181" t="n"/>
      <c r="N15" s="187" t="n"/>
      <c r="O15" s="148" t="n"/>
      <c r="P15" s="148" t="n"/>
      <c r="Q15" s="148" t="n"/>
      <c r="R15" s="148" t="n"/>
      <c r="S15" s="148" t="n"/>
      <c r="T15" s="148" t="n"/>
      <c r="U15" s="149">
        <f>IF(AND('Master Stock'!D15&lt;&gt;"",'Master Stock'!H15="OCCUPIED",ISNUMBER('Master Stock'!J15),'Master Stock'!K15=""),SUMPRODUCT(--('Master Stock'!$D$2:$D$1000&lt;&gt;""),--('Master Stock'!$H$2:$H$1000="OCCUPIED"),--ISNUMBER('Master Stock'!$J$2:$J$1000),--('Master Stock'!$K$2:$K$1000=""),--('Master Stock'!$J$2:$J$1000&lt;'Master Stock'!J15))+COUNTIFS('Master Stock'!$J$2:J15,'Master Stock'!J15,'Master Stock'!$D$2:D15,"&lt;&gt;",'Master Stock'!$H$2:H15,"OCCUPIED",'Master Stock'!$K$2:K15,""),"")</f>
        <v/>
      </c>
      <c r="V15" s="149">
        <f>IF(AND('Master Stock'!D15&lt;&gt;"",'Master Stock'!H15="OCCUPIED",ISNUMBER('Master Stock'!L15),'Master Stock'!L15&lt;TODAY()-30),SUMPRODUCT(--('Master Stock'!$D$2:$D$1000&lt;&gt;""),--('Master Stock'!$H$2:$H$1000="OCCUPIED"),--ISNUMBER('Master Stock'!$L$2:$L$1000),--('Master Stock'!$L$2:$L$1000&lt;TODAY()-30),--('Master Stock'!$L$2:$L$1000&lt;'Master Stock'!L15))+COUNTIFS('Master Stock'!$L$2:L15,'Master Stock'!L15,'Master Stock'!$D$2:D15,"&lt;&gt;",'Master Stock'!$H$2:H15,"OCCUPIED"),"")</f>
        <v/>
      </c>
      <c r="W15" s="149" t="n"/>
      <c r="X15" s="149" t="n"/>
      <c r="Y15" s="149" t="n"/>
      <c r="Z15" s="149" t="n"/>
    </row>
    <row r="16" ht="21.75" customHeight="1" s="236">
      <c r="A16" s="196" t="n"/>
      <c r="B16" s="196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8" t="inlineStr">
        <is>
          <t>Stack No.</t>
        </is>
      </c>
      <c r="L16" s="275">
        <f t="array" ref="L16">IF($K$13="","",IFERROR(INDEX('Master Stock'!$D$2:$D$1000,MATCH($K$13,'Master Stock'!$D$2:$D$1000,0)),""))</f>
        <v/>
      </c>
      <c r="M16" s="251" t="n"/>
      <c r="N16" s="252" t="n"/>
      <c r="O16" s="148" t="n"/>
      <c r="P16" s="148" t="n"/>
      <c r="Q16" s="148" t="n"/>
      <c r="R16" s="148" t="n"/>
      <c r="S16" s="148" t="n"/>
      <c r="T16" s="148" t="n"/>
      <c r="U16" s="149">
        <f>IF(AND('Master Stock'!D16&lt;&gt;"",'Master Stock'!H16="OCCUPIED",ISNUMBER('Master Stock'!J16),'Master Stock'!K16=""),SUMPRODUCT(--('Master Stock'!$D$2:$D$1000&lt;&gt;""),--('Master Stock'!$H$2:$H$1000="OCCUPIED"),--ISNUMBER('Master Stock'!$J$2:$J$1000),--('Master Stock'!$K$2:$K$1000=""),--('Master Stock'!$J$2:$J$1000&lt;'Master Stock'!J16))+COUNTIFS('Master Stock'!$J$2:J16,'Master Stock'!J16,'Master Stock'!$D$2:D16,"&lt;&gt;",'Master Stock'!$H$2:H16,"OCCUPIED",'Master Stock'!$K$2:K16,""),"")</f>
        <v/>
      </c>
      <c r="V16" s="149">
        <f>IF(AND('Master Stock'!D16&lt;&gt;"",'Master Stock'!H16="OCCUPIED",ISNUMBER('Master Stock'!L16),'Master Stock'!L16&lt;TODAY()-30),SUMPRODUCT(--('Master Stock'!$D$2:$D$1000&lt;&gt;""),--('Master Stock'!$H$2:$H$1000="OCCUPIED"),--ISNUMBER('Master Stock'!$L$2:$L$1000),--('Master Stock'!$L$2:$L$1000&lt;TODAY()-30),--('Master Stock'!$L$2:$L$1000&lt;'Master Stock'!L16))+COUNTIFS('Master Stock'!$L$2:L16,'Master Stock'!L16,'Master Stock'!$D$2:D16,"&lt;&gt;",'Master Stock'!$H$2:H16,"OCCUPIED"),"")</f>
        <v/>
      </c>
      <c r="W16" s="149" t="n"/>
      <c r="X16" s="149" t="n"/>
      <c r="Y16" s="149" t="n"/>
      <c r="Z16" s="149" t="n"/>
    </row>
    <row r="17" ht="21.75" customHeight="1" s="236">
      <c r="A17" s="196" t="n"/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8" t="inlineStr">
        <is>
          <t>Commodity</t>
        </is>
      </c>
      <c r="L17" s="275">
        <f t="array" ref="L17">IF($K$13="","",IFERROR(INDEX('Master Stock'!$G$2:$G$1000,MATCH($K$13,'Master Stock'!$D$2:$D$1000,0)),""))</f>
        <v/>
      </c>
      <c r="M17" s="251" t="n"/>
      <c r="N17" s="252" t="n"/>
      <c r="O17" s="148" t="n"/>
      <c r="P17" s="148" t="n"/>
      <c r="Q17" s="148" t="n"/>
      <c r="R17" s="148" t="n"/>
      <c r="S17" s="148" t="n"/>
      <c r="T17" s="148" t="n"/>
      <c r="U17" s="149">
        <f>IF(AND('Master Stock'!D17&lt;&gt;"",'Master Stock'!H17="OCCUPIED",ISNUMBER('Master Stock'!J17),'Master Stock'!K17=""),SUMPRODUCT(--('Master Stock'!$D$2:$D$1000&lt;&gt;""),--('Master Stock'!$H$2:$H$1000="OCCUPIED"),--ISNUMBER('Master Stock'!$J$2:$J$1000),--('Master Stock'!$K$2:$K$1000=""),--('Master Stock'!$J$2:$J$1000&lt;'Master Stock'!J17))+COUNTIFS('Master Stock'!$J$2:J17,'Master Stock'!J17,'Master Stock'!$D$2:D17,"&lt;&gt;",'Master Stock'!$H$2:H17,"OCCUPIED",'Master Stock'!$K$2:K17,""),"")</f>
        <v/>
      </c>
      <c r="V17" s="149">
        <f>IF(AND('Master Stock'!D17&lt;&gt;"",'Master Stock'!H17="OCCUPIED",ISNUMBER('Master Stock'!L17),'Master Stock'!L17&lt;TODAY()-30),SUMPRODUCT(--('Master Stock'!$D$2:$D$1000&lt;&gt;""),--('Master Stock'!$H$2:$H$1000="OCCUPIED"),--ISNUMBER('Master Stock'!$L$2:$L$1000),--('Master Stock'!$L$2:$L$1000&lt;TODAY()-30),--('Master Stock'!$L$2:$L$1000&lt;'Master Stock'!L17))+COUNTIFS('Master Stock'!$L$2:L17,'Master Stock'!L17,'Master Stock'!$D$2:D17,"&lt;&gt;",'Master Stock'!$H$2:H17,"OCCUPIED"),"")</f>
        <v/>
      </c>
      <c r="W17" s="149" t="n"/>
      <c r="X17" s="149" t="n"/>
      <c r="Y17" s="149" t="n"/>
      <c r="Z17" s="149" t="n"/>
    </row>
    <row r="18" ht="21.75" customHeight="1" s="236">
      <c r="A18" s="196" t="n"/>
      <c r="B18" s="196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8" t="inlineStr">
        <is>
          <t>Date of Receipt</t>
        </is>
      </c>
      <c r="L18" s="276">
        <f t="array" ref="L18">IF($K$13="","",IFERROR(INDEX('Master Stock'!$B$2:$B$1000,MATCH($K$13,'Master Stock'!$D$2:$D$1000,0)),""))</f>
        <v/>
      </c>
      <c r="M18" s="251" t="n"/>
      <c r="N18" s="252" t="n"/>
      <c r="O18" s="148" t="n"/>
      <c r="P18" s="148" t="n"/>
      <c r="Q18" s="148" t="n"/>
      <c r="R18" s="148" t="n"/>
      <c r="S18" s="148" t="n"/>
      <c r="T18" s="148" t="n"/>
      <c r="U18" s="149">
        <f>IF(AND('Master Stock'!D18&lt;&gt;"",'Master Stock'!H18="OCCUPIED",ISNUMBER('Master Stock'!J18),'Master Stock'!K18=""),SUMPRODUCT(--('Master Stock'!$D$2:$D$1000&lt;&gt;""),--('Master Stock'!$H$2:$H$1000="OCCUPIED"),--ISNUMBER('Master Stock'!$J$2:$J$1000),--('Master Stock'!$K$2:$K$1000=""),--('Master Stock'!$J$2:$J$1000&lt;'Master Stock'!J18))+COUNTIFS('Master Stock'!$J$2:J18,'Master Stock'!J18,'Master Stock'!$D$2:D18,"&lt;&gt;",'Master Stock'!$H$2:H18,"OCCUPIED",'Master Stock'!$K$2:K18,""),"")</f>
        <v/>
      </c>
      <c r="V18" s="149">
        <f>IF(AND('Master Stock'!D18&lt;&gt;"",'Master Stock'!H18="OCCUPIED",ISNUMBER('Master Stock'!L18),'Master Stock'!L18&lt;TODAY()-30),SUMPRODUCT(--('Master Stock'!$D$2:$D$1000&lt;&gt;""),--('Master Stock'!$H$2:$H$1000="OCCUPIED"),--ISNUMBER('Master Stock'!$L$2:$L$1000),--('Master Stock'!$L$2:$L$1000&lt;TODAY()-30),--('Master Stock'!$L$2:$L$1000&lt;'Master Stock'!L18))+COUNTIFS('Master Stock'!$L$2:L18,'Master Stock'!L18,'Master Stock'!$D$2:D18,"&lt;&gt;",'Master Stock'!$H$2:H18,"OCCUPIED"),"")</f>
        <v/>
      </c>
      <c r="W18" s="149" t="n"/>
      <c r="X18" s="149" t="n"/>
      <c r="Y18" s="149" t="n"/>
      <c r="Z18" s="149" t="n"/>
    </row>
    <row r="19" ht="24.75" customHeight="1" s="236">
      <c r="A19" s="277" t="inlineStr">
        <is>
          <t>🐞  INFESTED / UNDER COVER DETAILS</t>
        </is>
      </c>
      <c r="B19" s="260" t="n"/>
      <c r="C19" s="260" t="n"/>
      <c r="D19" s="278" t="n"/>
      <c r="E19" s="279" t="inlineStr">
        <is>
          <t>🧯  FUMIGATION DUE DETAILS</t>
        </is>
      </c>
      <c r="F19" s="260" t="n"/>
      <c r="G19" s="260" t="n"/>
      <c r="H19" s="260" t="n"/>
      <c r="I19" s="278" t="n"/>
      <c r="J19" s="173" t="n"/>
      <c r="K19" s="198" t="inlineStr">
        <is>
          <t>Last Fumigation</t>
        </is>
      </c>
      <c r="L19" s="276">
        <f t="array" ref="L19">IF($K$13="","",IFERROR(INDEX('Master Stock'!$L$2:$L$1000,MATCH($K$13,'Master Stock'!$D$2:$D$1000,0)),""))</f>
        <v/>
      </c>
      <c r="M19" s="251" t="n"/>
      <c r="N19" s="252" t="n"/>
      <c r="O19" s="148" t="n"/>
      <c r="P19" s="148" t="n"/>
      <c r="Q19" s="148" t="n"/>
      <c r="R19" s="148" t="n"/>
      <c r="S19" s="148" t="n"/>
      <c r="T19" s="148" t="n"/>
      <c r="U19" s="149">
        <f>IF(AND('Master Stock'!D19&lt;&gt;"",'Master Stock'!H19="OCCUPIED",ISNUMBER('Master Stock'!J19),'Master Stock'!K19=""),SUMPRODUCT(--('Master Stock'!$D$2:$D$1000&lt;&gt;""),--('Master Stock'!$H$2:$H$1000="OCCUPIED"),--ISNUMBER('Master Stock'!$J$2:$J$1000),--('Master Stock'!$K$2:$K$1000=""),--('Master Stock'!$J$2:$J$1000&lt;'Master Stock'!J19))+COUNTIFS('Master Stock'!$J$2:J19,'Master Stock'!J19,'Master Stock'!$D$2:D19,"&lt;&gt;",'Master Stock'!$H$2:H19,"OCCUPIED",'Master Stock'!$K$2:K19,""),"")</f>
        <v/>
      </c>
      <c r="V19" s="149">
        <f>IF(AND('Master Stock'!D19&lt;&gt;"",'Master Stock'!H19="OCCUPIED",ISNUMBER('Master Stock'!L19),'Master Stock'!L19&lt;TODAY()-30),SUMPRODUCT(--('Master Stock'!$D$2:$D$1000&lt;&gt;""),--('Master Stock'!$H$2:$H$1000="OCCUPIED"),--ISNUMBER('Master Stock'!$L$2:$L$1000),--('Master Stock'!$L$2:$L$1000&lt;TODAY()-30),--('Master Stock'!$L$2:$L$1000&lt;'Master Stock'!L19))+COUNTIFS('Master Stock'!$L$2:L19,'Master Stock'!L19,'Master Stock'!$D$2:D19,"&lt;&gt;",'Master Stock'!$H$2:H19,"OCCUPIED"),"")</f>
        <v/>
      </c>
      <c r="W19" s="149" t="n"/>
      <c r="X19" s="149" t="n"/>
      <c r="Y19" s="149" t="n"/>
      <c r="Z19" s="149" t="n"/>
    </row>
    <row r="20" ht="24.75" customHeight="1" s="236">
      <c r="A20" s="204" t="inlineStr">
        <is>
          <t>Stack No.</t>
        </is>
      </c>
      <c r="B20" s="205" t="inlineStr">
        <is>
          <t>Commodity</t>
        </is>
      </c>
      <c r="C20" s="205" t="inlineStr">
        <is>
          <t>Fumigation Date</t>
        </is>
      </c>
      <c r="D20" s="205" t="inlineStr">
        <is>
          <t>Days</t>
        </is>
      </c>
      <c r="E20" s="205" t="inlineStr">
        <is>
          <t>Stack No.</t>
        </is>
      </c>
      <c r="F20" s="205" t="inlineStr">
        <is>
          <t>Commodity</t>
        </is>
      </c>
      <c r="G20" s="205" t="inlineStr">
        <is>
          <t>Last Fumigation</t>
        </is>
      </c>
      <c r="H20" s="205" t="inlineStr">
        <is>
          <t>Days</t>
        </is>
      </c>
      <c r="I20" s="205" t="n"/>
      <c r="J20" s="181" t="n"/>
      <c r="K20" s="198" t="inlineStr">
        <is>
          <t>Fumigation Days</t>
        </is>
      </c>
      <c r="L20" s="275">
        <f>IF(L19="","",MAX(0,TODAY()-L19))</f>
        <v/>
      </c>
      <c r="M20" s="251" t="n"/>
      <c r="N20" s="252" t="n"/>
      <c r="O20" s="148" t="n"/>
      <c r="P20" s="148" t="n"/>
      <c r="Q20" s="148" t="n"/>
      <c r="R20" s="148" t="n"/>
      <c r="S20" s="148" t="n"/>
      <c r="T20" s="148" t="n"/>
      <c r="U20" s="149">
        <f>IF(AND('Master Stock'!D20&lt;&gt;"",'Master Stock'!H20="OCCUPIED",ISNUMBER('Master Stock'!J20),'Master Stock'!K20=""),SUMPRODUCT(--('Master Stock'!$D$2:$D$1000&lt;&gt;""),--('Master Stock'!$H$2:$H$1000="OCCUPIED"),--ISNUMBER('Master Stock'!$J$2:$J$1000),--('Master Stock'!$K$2:$K$1000=""),--('Master Stock'!$J$2:$J$1000&lt;'Master Stock'!J20))+COUNTIFS('Master Stock'!$J$2:J20,'Master Stock'!J20,'Master Stock'!$D$2:D20,"&lt;&gt;",'Master Stock'!$H$2:H20,"OCCUPIED",'Master Stock'!$K$2:K20,""),"")</f>
        <v/>
      </c>
      <c r="V20" s="149">
        <f>IF(AND('Master Stock'!D20&lt;&gt;"",'Master Stock'!H20="OCCUPIED",ISNUMBER('Master Stock'!L20),'Master Stock'!L20&lt;TODAY()-30),SUMPRODUCT(--('Master Stock'!$D$2:$D$1000&lt;&gt;""),--('Master Stock'!$H$2:$H$1000="OCCUPIED"),--ISNUMBER('Master Stock'!$L$2:$L$1000),--('Master Stock'!$L$2:$L$1000&lt;TODAY()-30),--('Master Stock'!$L$2:$L$1000&lt;'Master Stock'!L20))+COUNTIFS('Master Stock'!$L$2:L20,'Master Stock'!L20,'Master Stock'!$D$2:D20,"&lt;&gt;",'Master Stock'!$H$2:H20,"OCCUPIED"),"")</f>
        <v/>
      </c>
      <c r="W20" s="149" t="n"/>
      <c r="X20" s="149" t="n"/>
      <c r="Y20" s="149" t="n"/>
      <c r="Z20" s="149" t="n"/>
    </row>
    <row r="21" ht="21.75" customHeight="1" s="236">
      <c r="A21" s="208">
        <f t="array" ref="A21">IFERROR(INDEX('Master Stock'!$D$2:$D$1000,MATCH(1,$U$2:$U$999,0)),"")</f>
        <v/>
      </c>
      <c r="B21" s="213">
        <f t="array" ref="B21">IFERROR(INDEX('Master Stock'!$G$2:$G$1000,MATCH(1,$U$2:$U$999,0)),"")</f>
        <v/>
      </c>
      <c r="C21" s="214">
        <f t="array" ref="C21">IFERROR(INDEX('Master Stock'!$J$2:$J$1000,MATCH(1,$U$2:$U$999,0)),"")</f>
        <v/>
      </c>
      <c r="D21" s="213">
        <f>IF(C21="","",MAX(0,TODAY()-C21))</f>
        <v/>
      </c>
      <c r="E21" s="213">
        <f t="array" ref="E21">IFERROR(INDEX('Master Stock'!$D$2:$D$1000,MATCH(1,$V$2:$V$999,0)),"")</f>
        <v/>
      </c>
      <c r="F21" s="213">
        <f t="array" ref="F21">IFERROR(INDEX('Master Stock'!$G$2:$G$1000,MATCH(1,$V$2:$V$999,0)),"")</f>
        <v/>
      </c>
      <c r="G21" s="214">
        <f t="array" ref="G21">IFERROR(INDEX('Master Stock'!$L$2:$L$1000,MATCH(1,$V$2:$V$999,0)),"")</f>
        <v/>
      </c>
      <c r="H21" s="213">
        <f>IF(G21="","",MAX(0,TODAY()-G21))</f>
        <v/>
      </c>
      <c r="I21" s="215" t="n"/>
      <c r="J21" s="181" t="n"/>
      <c r="K21" s="198" t="inlineStr">
        <is>
          <t>Status</t>
        </is>
      </c>
      <c r="L21" s="280">
        <f t="array" ref="L21">IF(L16="","",IF(AND(INDEX('Master Stock'!$J$2:$J$1000,MATCH($K$13,'Master Stock'!$D$2:$D$1000,0))&lt;&gt;"",INDEX('Master Stock'!$K$2:$K$1000,MATCH($K$13,'Master Stock'!$D$2:$D$1000,0))=""),"INFESTED / UNDER COVER",IF(AND(L19&lt;&gt;"",L20&gt;30),"FUMIGATION DUE","CLEAR")))</f>
        <v/>
      </c>
      <c r="M21" s="251" t="n"/>
      <c r="N21" s="252" t="n"/>
      <c r="O21" s="148" t="n"/>
      <c r="P21" s="148" t="n"/>
      <c r="Q21" s="148" t="n"/>
      <c r="R21" s="148" t="n"/>
      <c r="S21" s="148" t="n"/>
      <c r="T21" s="148" t="n"/>
      <c r="U21" s="149">
        <f>IF(AND('Master Stock'!D21&lt;&gt;"",'Master Stock'!H21="OCCUPIED",ISNUMBER('Master Stock'!J21),'Master Stock'!K21=""),SUMPRODUCT(--('Master Stock'!$D$2:$D$1000&lt;&gt;""),--('Master Stock'!$H$2:$H$1000="OCCUPIED"),--ISNUMBER('Master Stock'!$J$2:$J$1000),--('Master Stock'!$K$2:$K$1000=""),--('Master Stock'!$J$2:$J$1000&lt;'Master Stock'!J21))+COUNTIFS('Master Stock'!$J$2:J21,'Master Stock'!J21,'Master Stock'!$D$2:D21,"&lt;&gt;",'Master Stock'!$H$2:H21,"OCCUPIED",'Master Stock'!$K$2:K21,""),"")</f>
        <v/>
      </c>
      <c r="V21" s="149">
        <f>IF(AND('Master Stock'!D21&lt;&gt;"",'Master Stock'!H21="OCCUPIED",ISNUMBER('Master Stock'!L21),'Master Stock'!L21&lt;TODAY()-30),SUMPRODUCT(--('Master Stock'!$D$2:$D$1000&lt;&gt;""),--('Master Stock'!$H$2:$H$1000="OCCUPIED"),--ISNUMBER('Master Stock'!$L$2:$L$1000),--('Master Stock'!$L$2:$L$1000&lt;TODAY()-30),--('Master Stock'!$L$2:$L$1000&lt;'Master Stock'!L21))+COUNTIFS('Master Stock'!$L$2:L21,'Master Stock'!L21,'Master Stock'!$D$2:D21,"&lt;&gt;",'Master Stock'!$H$2:H21,"OCCUPIED"),"")</f>
        <v/>
      </c>
      <c r="W21" s="149" t="n"/>
      <c r="X21" s="149" t="n"/>
      <c r="Y21" s="149" t="n"/>
      <c r="Z21" s="149" t="n"/>
    </row>
    <row r="22" ht="21.75" customHeight="1" s="236">
      <c r="A22" s="183">
        <f t="array" ref="A22">IFERROR(INDEX('Master Stock'!$D$2:$D$1000,MATCH(2,$U$2:$U$999,0)),"")</f>
        <v/>
      </c>
      <c r="B22" s="185">
        <f t="array" ref="B22">IFERROR(INDEX('Master Stock'!$G$2:$G$1000,MATCH(2,$U$2:$U$999,0)),"")</f>
        <v/>
      </c>
      <c r="C22" s="217">
        <f t="array" ref="C22">IFERROR(INDEX('Master Stock'!$J$2:$J$1000,MATCH(2,$U$2:$U$999,0)),"")</f>
        <v/>
      </c>
      <c r="D22" s="185">
        <f>IF(C22="","",MAX(0,TODAY()-C22))</f>
        <v/>
      </c>
      <c r="E22" s="185">
        <f t="array" ref="E22">IFERROR(INDEX('Master Stock'!$D$2:$D$1000,MATCH(2,$V$2:$V$999,0)),"")</f>
        <v/>
      </c>
      <c r="F22" s="185">
        <f t="array" ref="F22">IFERROR(INDEX('Master Stock'!$G$2:$G$1000,MATCH(2,$V$2:$V$999,0)),"")</f>
        <v/>
      </c>
      <c r="G22" s="217">
        <f t="array" ref="G22">IFERROR(INDEX('Master Stock'!$L$2:$L$1000,MATCH(2,$V$2:$V$999,0)),"")</f>
        <v/>
      </c>
      <c r="H22" s="185">
        <f>IF(G22="","",MAX(0,TODAY()-G22))</f>
        <v/>
      </c>
      <c r="I22" s="215" t="n"/>
      <c r="J22" s="181" t="n"/>
      <c r="K22" s="192" t="n"/>
      <c r="L22" s="281" t="n"/>
      <c r="M22" s="282" t="n"/>
      <c r="N22" s="283" t="n"/>
      <c r="O22" s="148" t="n"/>
      <c r="P22" s="148" t="n"/>
      <c r="Q22" s="148" t="n"/>
      <c r="R22" s="148" t="n"/>
      <c r="S22" s="148" t="n"/>
      <c r="T22" s="148" t="n"/>
      <c r="U22" s="149">
        <f>IF(AND('Master Stock'!D22&lt;&gt;"",'Master Stock'!H22="OCCUPIED",ISNUMBER('Master Stock'!J22),'Master Stock'!K22=""),SUMPRODUCT(--('Master Stock'!$D$2:$D$1000&lt;&gt;""),--('Master Stock'!$H$2:$H$1000="OCCUPIED"),--ISNUMBER('Master Stock'!$J$2:$J$1000),--('Master Stock'!$K$2:$K$1000=""),--('Master Stock'!$J$2:$J$1000&lt;'Master Stock'!J22))+COUNTIFS('Master Stock'!$J$2:J22,'Master Stock'!J22,'Master Stock'!$D$2:D22,"&lt;&gt;",'Master Stock'!$H$2:H22,"OCCUPIED",'Master Stock'!$K$2:K22,""),"")</f>
        <v/>
      </c>
      <c r="V22" s="149">
        <f>IF(AND('Master Stock'!D22&lt;&gt;"",'Master Stock'!H22="OCCUPIED",ISNUMBER('Master Stock'!L22),'Master Stock'!L22&lt;TODAY()-30),SUMPRODUCT(--('Master Stock'!$D$2:$D$1000&lt;&gt;""),--('Master Stock'!$H$2:$H$1000="OCCUPIED"),--ISNUMBER('Master Stock'!$L$2:$L$1000),--('Master Stock'!$L$2:$L$1000&lt;TODAY()-30),--('Master Stock'!$L$2:$L$1000&lt;'Master Stock'!L22))+COUNTIFS('Master Stock'!$L$2:L22,'Master Stock'!L22,'Master Stock'!$D$2:D22,"&lt;&gt;",'Master Stock'!$H$2:H22,"OCCUPIED"),"")</f>
        <v/>
      </c>
      <c r="W22" s="149" t="n"/>
      <c r="X22" s="149" t="n"/>
      <c r="Y22" s="149" t="n"/>
      <c r="Z22" s="149" t="n"/>
    </row>
    <row r="23" ht="21.75" customHeight="1" s="236">
      <c r="A23" s="208">
        <f t="array" ref="A23">IFERROR(INDEX('Master Stock'!$D$2:$D$1000,MATCH(3,$U$2:$U$999,0)),"")</f>
        <v/>
      </c>
      <c r="B23" s="213">
        <f t="array" ref="B23">IFERROR(INDEX('Master Stock'!$G$2:$G$1000,MATCH(3,$U$2:$U$999,0)),"")</f>
        <v/>
      </c>
      <c r="C23" s="214">
        <f t="array" ref="C23">IFERROR(INDEX('Master Stock'!$J$2:$J$1000,MATCH(3,$U$2:$U$999,0)),"")</f>
        <v/>
      </c>
      <c r="D23" s="213">
        <f>IF(C23="","",MAX(0,TODAY()-C23))</f>
        <v/>
      </c>
      <c r="E23" s="213">
        <f t="array" ref="E23">IFERROR(INDEX('Master Stock'!$D$2:$D$1000,MATCH(3,$V$2:$V$999,0)),"")</f>
        <v/>
      </c>
      <c r="F23" s="213">
        <f t="array" ref="F23">IFERROR(INDEX('Master Stock'!$G$2:$G$1000,MATCH(3,$V$2:$V$999,0)),"")</f>
        <v/>
      </c>
      <c r="G23" s="214">
        <f t="array" ref="G23">IFERROR(INDEX('Master Stock'!$L$2:$L$1000,MATCH(3,$V$2:$V$999,0)),"")</f>
        <v/>
      </c>
      <c r="H23" s="213">
        <f>IF(G23="","",MAX(0,TODAY()-G23))</f>
        <v/>
      </c>
      <c r="I23" s="215" t="n"/>
      <c r="J23" s="221" t="n"/>
      <c r="K23" s="196" t="n"/>
      <c r="L23" s="196" t="n"/>
      <c r="M23" s="196" t="n"/>
      <c r="N23" s="222" t="n"/>
      <c r="O23" s="148" t="n"/>
      <c r="P23" s="148" t="n"/>
      <c r="Q23" s="148" t="n"/>
      <c r="R23" s="148" t="n"/>
      <c r="S23" s="148" t="n"/>
      <c r="T23" s="148" t="n"/>
      <c r="U23" s="149">
        <f>IF(AND('Master Stock'!D23&lt;&gt;"",'Master Stock'!H23="OCCUPIED",ISNUMBER('Master Stock'!J23),'Master Stock'!K23=""),SUMPRODUCT(--('Master Stock'!$D$2:$D$1000&lt;&gt;""),--('Master Stock'!$H$2:$H$1000="OCCUPIED"),--ISNUMBER('Master Stock'!$J$2:$J$1000),--('Master Stock'!$K$2:$K$1000=""),--('Master Stock'!$J$2:$J$1000&lt;'Master Stock'!J23))+COUNTIFS('Master Stock'!$J$2:J23,'Master Stock'!J23,'Master Stock'!$D$2:D23,"&lt;&gt;",'Master Stock'!$H$2:H23,"OCCUPIED",'Master Stock'!$K$2:K23,""),"")</f>
        <v/>
      </c>
      <c r="V23" s="149">
        <f>IF(AND('Master Stock'!D23&lt;&gt;"",'Master Stock'!H23="OCCUPIED",ISNUMBER('Master Stock'!L23),'Master Stock'!L23&lt;TODAY()-30),SUMPRODUCT(--('Master Stock'!$D$2:$D$1000&lt;&gt;""),--('Master Stock'!$H$2:$H$1000="OCCUPIED"),--ISNUMBER('Master Stock'!$L$2:$L$1000),--('Master Stock'!$L$2:$L$1000&lt;TODAY()-30),--('Master Stock'!$L$2:$L$1000&lt;'Master Stock'!L23))+COUNTIFS('Master Stock'!$L$2:L23,'Master Stock'!L23,'Master Stock'!$D$2:D23,"&lt;&gt;",'Master Stock'!$H$2:H23,"OCCUPIED"),"")</f>
        <v/>
      </c>
      <c r="W23" s="149" t="n"/>
      <c r="X23" s="149" t="n"/>
      <c r="Y23" s="149" t="n"/>
      <c r="Z23" s="149" t="n"/>
    </row>
    <row r="24" ht="21.75" customHeight="1" s="236">
      <c r="A24" s="183">
        <f t="array" ref="A24">IFERROR(INDEX('Master Stock'!$D$2:$D$1000,MATCH(4,$U$2:$U$999,0)),"")</f>
        <v/>
      </c>
      <c r="B24" s="185">
        <f t="array" ref="B24">IFERROR(INDEX('Master Stock'!$G$2:$G$1000,MATCH(4,$U$2:$U$999,0)),"")</f>
        <v/>
      </c>
      <c r="C24" s="217">
        <f t="array" ref="C24">IFERROR(INDEX('Master Stock'!$J$2:$J$1000,MATCH(4,$U$2:$U$999,0)),"")</f>
        <v/>
      </c>
      <c r="D24" s="185">
        <f>IF(C24="","",MAX(0,TODAY()-C24))</f>
        <v/>
      </c>
      <c r="E24" s="185">
        <f t="array" ref="E24">IFERROR(INDEX('Master Stock'!$D$2:$D$1000,MATCH(4,$V$2:$V$999,0)),"")</f>
        <v/>
      </c>
      <c r="F24" s="185">
        <f t="array" ref="F24">IFERROR(INDEX('Master Stock'!$G$2:$G$1000,MATCH(4,$V$2:$V$999,0)),"")</f>
        <v/>
      </c>
      <c r="G24" s="217">
        <f t="array" ref="G24">IFERROR(INDEX('Master Stock'!$L$2:$L$1000,MATCH(4,$V$2:$V$999,0)),"")</f>
        <v/>
      </c>
      <c r="H24" s="185">
        <f>IF(G24="","",MAX(0,TODAY()-G24))</f>
        <v/>
      </c>
      <c r="I24" s="215" t="n"/>
      <c r="J24" s="221" t="n"/>
      <c r="K24" s="196" t="n"/>
      <c r="L24" s="196" t="n"/>
      <c r="M24" s="196" t="n"/>
      <c r="N24" s="222" t="n"/>
      <c r="O24" s="148" t="n"/>
      <c r="P24" s="148" t="n"/>
      <c r="Q24" s="148" t="n"/>
      <c r="R24" s="148" t="n"/>
      <c r="S24" s="148" t="n"/>
      <c r="T24" s="148" t="n"/>
      <c r="U24" s="149">
        <f>IF(AND('Master Stock'!D24&lt;&gt;"",'Master Stock'!H24="OCCUPIED",ISNUMBER('Master Stock'!J24),'Master Stock'!K24=""),SUMPRODUCT(--('Master Stock'!$D$2:$D$1000&lt;&gt;""),--('Master Stock'!$H$2:$H$1000="OCCUPIED"),--ISNUMBER('Master Stock'!$J$2:$J$1000),--('Master Stock'!$K$2:$K$1000=""),--('Master Stock'!$J$2:$J$1000&lt;'Master Stock'!J24))+COUNTIFS('Master Stock'!$J$2:J24,'Master Stock'!J24,'Master Stock'!$D$2:D24,"&lt;&gt;",'Master Stock'!$H$2:H24,"OCCUPIED",'Master Stock'!$K$2:K24,""),"")</f>
        <v/>
      </c>
      <c r="V24" s="149">
        <f>IF(AND('Master Stock'!D24&lt;&gt;"",'Master Stock'!H24="OCCUPIED",ISNUMBER('Master Stock'!L24),'Master Stock'!L24&lt;TODAY()-30),SUMPRODUCT(--('Master Stock'!$D$2:$D$1000&lt;&gt;""),--('Master Stock'!$H$2:$H$1000="OCCUPIED"),--ISNUMBER('Master Stock'!$L$2:$L$1000),--('Master Stock'!$L$2:$L$1000&lt;TODAY()-30),--('Master Stock'!$L$2:$L$1000&lt;'Master Stock'!L24))+COUNTIFS('Master Stock'!$L$2:L24,'Master Stock'!L24,'Master Stock'!$D$2:D24,"&lt;&gt;",'Master Stock'!$H$2:H24,"OCCUPIED"),"")</f>
        <v/>
      </c>
      <c r="W24" s="149" t="n"/>
      <c r="X24" s="149" t="n"/>
      <c r="Y24" s="149" t="n"/>
      <c r="Z24" s="149" t="n"/>
    </row>
    <row r="25" ht="15.75" customHeight="1" s="236">
      <c r="A25" s="208">
        <f t="array" ref="A25">IFERROR(INDEX('Master Stock'!$D$2:$D$1000,MATCH(5,$U$2:$U$999,0)),"")</f>
        <v/>
      </c>
      <c r="B25" s="213">
        <f t="array" ref="B25">IFERROR(INDEX('Master Stock'!$G$2:$G$1000,MATCH(5,$U$2:$U$999,0)),"")</f>
        <v/>
      </c>
      <c r="C25" s="214">
        <f t="array" ref="C25">IFERROR(INDEX('Master Stock'!$J$2:$J$1000,MATCH(5,$U$2:$U$999,0)),"")</f>
        <v/>
      </c>
      <c r="D25" s="213">
        <f>IF(C25="","",MAX(0,TODAY()-C25))</f>
        <v/>
      </c>
      <c r="E25" s="213">
        <f t="array" ref="E25">IFERROR(INDEX('Master Stock'!$D$2:$D$1000,MATCH(5,$V$2:$V$999,0)),"")</f>
        <v/>
      </c>
      <c r="F25" s="213">
        <f t="array" ref="F25">IFERROR(INDEX('Master Stock'!$G$2:$G$1000,MATCH(5,$V$2:$V$999,0)),"")</f>
        <v/>
      </c>
      <c r="G25" s="214">
        <f t="array" ref="G25">IFERROR(INDEX('Master Stock'!$L$2:$L$1000,MATCH(5,$V$2:$V$999,0)),"")</f>
        <v/>
      </c>
      <c r="H25" s="213">
        <f>IF(G25="","",MAX(0,TODAY()-G25))</f>
        <v/>
      </c>
      <c r="I25" s="215" t="n"/>
      <c r="J25" s="221" t="n"/>
      <c r="K25" s="196" t="n"/>
      <c r="L25" s="196" t="n"/>
      <c r="M25" s="196" t="n"/>
      <c r="N25" s="222" t="n"/>
      <c r="O25" s="148" t="n"/>
      <c r="P25" s="148" t="n"/>
      <c r="Q25" s="148" t="n"/>
      <c r="R25" s="148" t="n"/>
      <c r="S25" s="148" t="n"/>
      <c r="T25" s="148" t="n"/>
      <c r="U25" s="149">
        <f>IF(AND('Master Stock'!D25&lt;&gt;"",'Master Stock'!H25="OCCUPIED",ISNUMBER('Master Stock'!J25),'Master Stock'!K25=""),SUMPRODUCT(--('Master Stock'!$D$2:$D$1000&lt;&gt;""),--('Master Stock'!$H$2:$H$1000="OCCUPIED"),--ISNUMBER('Master Stock'!$J$2:$J$1000),--('Master Stock'!$K$2:$K$1000=""),--('Master Stock'!$J$2:$J$1000&lt;'Master Stock'!J25))+COUNTIFS('Master Stock'!$J$2:J25,'Master Stock'!J25,'Master Stock'!$D$2:D25,"&lt;&gt;",'Master Stock'!$H$2:H25,"OCCUPIED",'Master Stock'!$K$2:K25,""),"")</f>
        <v/>
      </c>
      <c r="V25" s="149">
        <f>IF(AND('Master Stock'!D25&lt;&gt;"",'Master Stock'!H25="OCCUPIED",ISNUMBER('Master Stock'!L25),'Master Stock'!L25&lt;TODAY()-30),SUMPRODUCT(--('Master Stock'!$D$2:$D$1000&lt;&gt;""),--('Master Stock'!$H$2:$H$1000="OCCUPIED"),--ISNUMBER('Master Stock'!$L$2:$L$1000),--('Master Stock'!$L$2:$L$1000&lt;TODAY()-30),--('Master Stock'!$L$2:$L$1000&lt;'Master Stock'!L25))+COUNTIFS('Master Stock'!$L$2:L25,'Master Stock'!L25,'Master Stock'!$D$2:D25,"&lt;&gt;",'Master Stock'!$H$2:H25,"OCCUPIED"),"")</f>
        <v/>
      </c>
      <c r="W25" s="149" t="n"/>
      <c r="X25" s="149" t="n"/>
      <c r="Y25" s="149" t="n"/>
      <c r="Z25" s="149" t="n"/>
    </row>
    <row r="26" ht="22.5" customHeight="1" s="236">
      <c r="A26" s="183">
        <f t="array" ref="A26">IFERROR(INDEX('Master Stock'!$D$2:$D$1000,MATCH(6,$U$2:$U$999,0)),"")</f>
        <v/>
      </c>
      <c r="B26" s="185">
        <f t="array" ref="B26">IFERROR(INDEX('Master Stock'!$G$2:$G$1000,MATCH(6,$U$2:$U$999,0)),"")</f>
        <v/>
      </c>
      <c r="C26" s="217">
        <f t="array" ref="C26">IFERROR(INDEX('Master Stock'!$J$2:$J$1000,MATCH(6,$U$2:$U$999,0)),"")</f>
        <v/>
      </c>
      <c r="D26" s="185">
        <f>IF(C26="","",MAX(0,TODAY()-C26))</f>
        <v/>
      </c>
      <c r="E26" s="185">
        <f t="array" ref="E26">IFERROR(INDEX('Master Stock'!$D$2:$D$1000,MATCH(6,$V$2:$V$999,0)),"")</f>
        <v/>
      </c>
      <c r="F26" s="185">
        <f t="array" ref="F26">IFERROR(INDEX('Master Stock'!$G$2:$G$1000,MATCH(6,$V$2:$V$999,0)),"")</f>
        <v/>
      </c>
      <c r="G26" s="217">
        <f t="array" ref="G26">IFERROR(INDEX('Master Stock'!$L$2:$L$1000,MATCH(6,$V$2:$V$999,0)),"")</f>
        <v/>
      </c>
      <c r="H26" s="185">
        <f>IF(G26="","",MAX(0,TODAY()-G26))</f>
        <v/>
      </c>
      <c r="I26" s="215" t="n"/>
      <c r="J26" s="221" t="n"/>
      <c r="K26" s="196" t="n"/>
      <c r="L26" s="196" t="n"/>
      <c r="M26" s="196" t="n"/>
      <c r="N26" s="222" t="n"/>
      <c r="O26" s="148" t="n"/>
      <c r="P26" s="148" t="n"/>
      <c r="Q26" s="148" t="n"/>
      <c r="R26" s="148" t="n"/>
      <c r="S26" s="148" t="n"/>
      <c r="T26" s="148" t="n"/>
      <c r="U26" s="149">
        <f>IF(AND('Master Stock'!D26&lt;&gt;"",'Master Stock'!H26="OCCUPIED",ISNUMBER('Master Stock'!J26),'Master Stock'!K26=""),SUMPRODUCT(--('Master Stock'!$D$2:$D$1000&lt;&gt;""),--('Master Stock'!$H$2:$H$1000="OCCUPIED"),--ISNUMBER('Master Stock'!$J$2:$J$1000),--('Master Stock'!$K$2:$K$1000=""),--('Master Stock'!$J$2:$J$1000&lt;'Master Stock'!J26))+COUNTIFS('Master Stock'!$J$2:J26,'Master Stock'!J26,'Master Stock'!$D$2:D26,"&lt;&gt;",'Master Stock'!$H$2:H26,"OCCUPIED",'Master Stock'!$K$2:K26,""),"")</f>
        <v/>
      </c>
      <c r="V26" s="149">
        <f>IF(AND('Master Stock'!D26&lt;&gt;"",'Master Stock'!H26="OCCUPIED",ISNUMBER('Master Stock'!L26),'Master Stock'!L26&lt;TODAY()-30),SUMPRODUCT(--('Master Stock'!$D$2:$D$1000&lt;&gt;""),--('Master Stock'!$H$2:$H$1000="OCCUPIED"),--ISNUMBER('Master Stock'!$L$2:$L$1000),--('Master Stock'!$L$2:$L$1000&lt;TODAY()-30),--('Master Stock'!$L$2:$L$1000&lt;'Master Stock'!L26))+COUNTIFS('Master Stock'!$L$2:L26,'Master Stock'!L26,'Master Stock'!$D$2:D26,"&lt;&gt;",'Master Stock'!$H$2:H26,"OCCUPIED"),"")</f>
        <v/>
      </c>
      <c r="W26" s="149" t="n"/>
      <c r="X26" s="149" t="n"/>
      <c r="Y26" s="149" t="n"/>
      <c r="Z26" s="149" t="n"/>
    </row>
    <row r="27" ht="15.75" customHeight="1" s="236">
      <c r="A27" s="208">
        <f t="array" ref="A27">IFERROR(INDEX('Master Stock'!$D$2:$D$1000,MATCH(7,$U$2:$U$999,0)),"")</f>
        <v/>
      </c>
      <c r="B27" s="213">
        <f t="array" ref="B27">IFERROR(INDEX('Master Stock'!$G$2:$G$1000,MATCH(7,$U$2:$U$999,0)),"")</f>
        <v/>
      </c>
      <c r="C27" s="214">
        <f t="array" ref="C27">IFERROR(INDEX('Master Stock'!$J$2:$J$1000,MATCH(7,$U$2:$U$999,0)),"")</f>
        <v/>
      </c>
      <c r="D27" s="213">
        <f>IF(C27="","",MAX(0,TODAY()-C27))</f>
        <v/>
      </c>
      <c r="E27" s="213">
        <f t="array" ref="E27">IFERROR(INDEX('Master Stock'!$D$2:$D$1000,MATCH(7,$V$2:$V$999,0)),"")</f>
        <v/>
      </c>
      <c r="F27" s="213">
        <f t="array" ref="F27">IFERROR(INDEX('Master Stock'!$G$2:$G$1000,MATCH(7,$V$2:$V$999,0)),"")</f>
        <v/>
      </c>
      <c r="G27" s="214">
        <f t="array" ref="G27">IFERROR(INDEX('Master Stock'!$L$2:$L$1000,MATCH(7,$V$2:$V$999,0)),"")</f>
        <v/>
      </c>
      <c r="H27" s="213">
        <f>IF(G27="","",MAX(0,TODAY()-G27))</f>
        <v/>
      </c>
      <c r="I27" s="215" t="n"/>
      <c r="J27" s="221" t="n"/>
      <c r="K27" s="196" t="n"/>
      <c r="L27" s="196" t="n"/>
      <c r="M27" s="196" t="n"/>
      <c r="N27" s="222" t="n"/>
      <c r="O27" s="148" t="n"/>
      <c r="P27" s="148" t="n"/>
      <c r="Q27" s="148" t="n"/>
      <c r="R27" s="148" t="n"/>
      <c r="S27" s="148" t="n"/>
      <c r="T27" s="148" t="n"/>
      <c r="U27" s="149">
        <f>IF(AND('Master Stock'!D27&lt;&gt;"",'Master Stock'!H27="OCCUPIED",ISNUMBER('Master Stock'!J27),'Master Stock'!K27=""),SUMPRODUCT(--('Master Stock'!$D$2:$D$1000&lt;&gt;""),--('Master Stock'!$H$2:$H$1000="OCCUPIED"),--ISNUMBER('Master Stock'!$J$2:$J$1000),--('Master Stock'!$K$2:$K$1000=""),--('Master Stock'!$J$2:$J$1000&lt;'Master Stock'!J27))+COUNTIFS('Master Stock'!$J$2:J27,'Master Stock'!J27,'Master Stock'!$D$2:D27,"&lt;&gt;",'Master Stock'!$H$2:H27,"OCCUPIED",'Master Stock'!$K$2:K27,""),"")</f>
        <v/>
      </c>
      <c r="V27" s="149">
        <f>IF(AND('Master Stock'!D27&lt;&gt;"",'Master Stock'!H27="OCCUPIED",ISNUMBER('Master Stock'!L27),'Master Stock'!L27&lt;TODAY()-30),SUMPRODUCT(--('Master Stock'!$D$2:$D$1000&lt;&gt;""),--('Master Stock'!$H$2:$H$1000="OCCUPIED"),--ISNUMBER('Master Stock'!$L$2:$L$1000),--('Master Stock'!$L$2:$L$1000&lt;TODAY()-30),--('Master Stock'!$L$2:$L$1000&lt;'Master Stock'!L27))+COUNTIFS('Master Stock'!$L$2:L27,'Master Stock'!L27,'Master Stock'!$D$2:D27,"&lt;&gt;",'Master Stock'!$H$2:H27,"OCCUPIED"),"")</f>
        <v/>
      </c>
      <c r="W27" s="149" t="n"/>
      <c r="X27" s="149" t="n"/>
      <c r="Y27" s="149" t="n"/>
      <c r="Z27" s="149" t="n"/>
    </row>
    <row r="28" ht="21.75" customHeight="1" s="236">
      <c r="A28" s="183">
        <f t="array" ref="A28">IFERROR(INDEX('Master Stock'!$D$2:$D$1000,MATCH(8,$U$2:$U$999,0)),"")</f>
        <v/>
      </c>
      <c r="B28" s="185">
        <f t="array" ref="B28">IFERROR(INDEX('Master Stock'!$G$2:$G$1000,MATCH(8,$U$2:$U$999,0)),"")</f>
        <v/>
      </c>
      <c r="C28" s="217">
        <f t="array" ref="C28">IFERROR(INDEX('Master Stock'!$J$2:$J$1000,MATCH(8,$U$2:$U$999,0)),"")</f>
        <v/>
      </c>
      <c r="D28" s="185">
        <f>IF(C28="","",MAX(0,TODAY()-C28))</f>
        <v/>
      </c>
      <c r="E28" s="185">
        <f t="array" ref="E28">IFERROR(INDEX('Master Stock'!$D$2:$D$1000,MATCH(8,$V$2:$V$999,0)),"")</f>
        <v/>
      </c>
      <c r="F28" s="185">
        <f t="array" ref="F28">IFERROR(INDEX('Master Stock'!$G$2:$G$1000,MATCH(8,$V$2:$V$999,0)),"")</f>
        <v/>
      </c>
      <c r="G28" s="217">
        <f t="array" ref="G28">IFERROR(INDEX('Master Stock'!$L$2:$L$1000,MATCH(8,$V$2:$V$999,0)),"")</f>
        <v/>
      </c>
      <c r="H28" s="185">
        <f>IF(G28="","",MAX(0,TODAY()-G28))</f>
        <v/>
      </c>
      <c r="I28" s="215" t="n"/>
      <c r="J28" s="221" t="n"/>
      <c r="K28" s="196" t="n"/>
      <c r="L28" s="196" t="n"/>
      <c r="M28" s="196" t="n"/>
      <c r="N28" s="222" t="n"/>
      <c r="O28" s="148" t="n"/>
      <c r="P28" s="148" t="n"/>
      <c r="Q28" s="148" t="n"/>
      <c r="R28" s="148" t="n"/>
      <c r="S28" s="148" t="n"/>
      <c r="T28" s="148" t="n"/>
      <c r="U28" s="149">
        <f>IF(AND('Master Stock'!D28&lt;&gt;"",'Master Stock'!H28="OCCUPIED",ISNUMBER('Master Stock'!J28),'Master Stock'!K28=""),SUMPRODUCT(--('Master Stock'!$D$2:$D$1000&lt;&gt;""),--('Master Stock'!$H$2:$H$1000="OCCUPIED"),--ISNUMBER('Master Stock'!$J$2:$J$1000),--('Master Stock'!$K$2:$K$1000=""),--('Master Stock'!$J$2:$J$1000&lt;'Master Stock'!J28))+COUNTIFS('Master Stock'!$J$2:J28,'Master Stock'!J28,'Master Stock'!$D$2:D28,"&lt;&gt;",'Master Stock'!$H$2:H28,"OCCUPIED",'Master Stock'!$K$2:K28,""),"")</f>
        <v/>
      </c>
      <c r="V28" s="149">
        <f>IF(AND('Master Stock'!D28&lt;&gt;"",'Master Stock'!H28="OCCUPIED",ISNUMBER('Master Stock'!L28),'Master Stock'!L28&lt;TODAY()-30),SUMPRODUCT(--('Master Stock'!$D$2:$D$1000&lt;&gt;""),--('Master Stock'!$H$2:$H$1000="OCCUPIED"),--ISNUMBER('Master Stock'!$L$2:$L$1000),--('Master Stock'!$L$2:$L$1000&lt;TODAY()-30),--('Master Stock'!$L$2:$L$1000&lt;'Master Stock'!L28))+COUNTIFS('Master Stock'!$L$2:L28,'Master Stock'!L28,'Master Stock'!$D$2:D28,"&lt;&gt;",'Master Stock'!$H$2:H28,"OCCUPIED"),"")</f>
        <v/>
      </c>
      <c r="W28" s="149" t="n"/>
      <c r="X28" s="149" t="n"/>
      <c r="Y28" s="149" t="n"/>
      <c r="Z28" s="149" t="n"/>
    </row>
    <row r="29" ht="21.75" customHeight="1" s="236">
      <c r="A29" s="208">
        <f t="array" ref="A29">IFERROR(INDEX('Master Stock'!$D$2:$D$1000,MATCH(9,$U$2:$U$999,0)),"")</f>
        <v/>
      </c>
      <c r="B29" s="213">
        <f t="array" ref="B29">IFERROR(INDEX('Master Stock'!$G$2:$G$1000,MATCH(9,$U$2:$U$999,0)),"")</f>
        <v/>
      </c>
      <c r="C29" s="214">
        <f t="array" ref="C29">IFERROR(INDEX('Master Stock'!$J$2:$J$1000,MATCH(9,$U$2:$U$999,0)),"")</f>
        <v/>
      </c>
      <c r="D29" s="213">
        <f>IF(C29="","",MAX(0,TODAY()-C29))</f>
        <v/>
      </c>
      <c r="E29" s="213">
        <f t="array" ref="E29">IFERROR(INDEX('Master Stock'!$D$2:$D$1000,MATCH(9,$V$2:$V$999,0)),"")</f>
        <v/>
      </c>
      <c r="F29" s="213">
        <f t="array" ref="F29">IFERROR(INDEX('Master Stock'!$G$2:$G$1000,MATCH(9,$V$2:$V$999,0)),"")</f>
        <v/>
      </c>
      <c r="G29" s="214">
        <f t="array" ref="G29">IFERROR(INDEX('Master Stock'!$L$2:$L$1000,MATCH(9,$V$2:$V$999,0)),"")</f>
        <v/>
      </c>
      <c r="H29" s="213">
        <f>IF(G29="","",MAX(0,TODAY()-G29))</f>
        <v/>
      </c>
      <c r="I29" s="215" t="n"/>
      <c r="J29" s="221" t="n"/>
      <c r="K29" s="224" t="n"/>
      <c r="L29" s="196" t="n"/>
      <c r="M29" s="196" t="n"/>
      <c r="N29" s="222" t="n"/>
      <c r="O29" s="148" t="n"/>
      <c r="P29" s="148" t="n"/>
      <c r="Q29" s="148" t="n"/>
      <c r="R29" s="148" t="n"/>
      <c r="S29" s="148" t="n"/>
      <c r="T29" s="148" t="n"/>
      <c r="U29" s="149">
        <f>IF(AND('Master Stock'!D29&lt;&gt;"",'Master Stock'!H29="OCCUPIED",ISNUMBER('Master Stock'!J29),'Master Stock'!K29=""),SUMPRODUCT(--('Master Stock'!$D$2:$D$1000&lt;&gt;""),--('Master Stock'!$H$2:$H$1000="OCCUPIED"),--ISNUMBER('Master Stock'!$J$2:$J$1000),--('Master Stock'!$K$2:$K$1000=""),--('Master Stock'!$J$2:$J$1000&lt;'Master Stock'!J29))+COUNTIFS('Master Stock'!$J$2:J29,'Master Stock'!J29,'Master Stock'!$D$2:D29,"&lt;&gt;",'Master Stock'!$H$2:H29,"OCCUPIED",'Master Stock'!$K$2:K29,""),"")</f>
        <v/>
      </c>
      <c r="V29" s="149">
        <f>IF(AND('Master Stock'!D29&lt;&gt;"",'Master Stock'!H29="OCCUPIED",ISNUMBER('Master Stock'!L29),'Master Stock'!L29&lt;TODAY()-30),SUMPRODUCT(--('Master Stock'!$D$2:$D$1000&lt;&gt;""),--('Master Stock'!$H$2:$H$1000="OCCUPIED"),--ISNUMBER('Master Stock'!$L$2:$L$1000),--('Master Stock'!$L$2:$L$1000&lt;TODAY()-30),--('Master Stock'!$L$2:$L$1000&lt;'Master Stock'!L29))+COUNTIFS('Master Stock'!$L$2:L29,'Master Stock'!L29,'Master Stock'!$D$2:D29,"&lt;&gt;",'Master Stock'!$H$2:H29,"OCCUPIED"),"")</f>
        <v/>
      </c>
      <c r="W29" s="149" t="n"/>
      <c r="X29" s="149" t="n"/>
      <c r="Y29" s="149" t="n"/>
      <c r="Z29" s="149" t="n"/>
    </row>
    <row r="30" ht="21.75" customHeight="1" s="236">
      <c r="A30" s="183">
        <f t="array" ref="A30">IFERROR(INDEX('Master Stock'!$D$2:$D$1000,MATCH(10,$U$2:$U$999,0)),"")</f>
        <v/>
      </c>
      <c r="B30" s="185">
        <f t="array" ref="B30">IFERROR(INDEX('Master Stock'!$G$2:$G$1000,MATCH(10,$U$2:$U$999,0)),"")</f>
        <v/>
      </c>
      <c r="C30" s="217">
        <f t="array" ref="C30">IFERROR(INDEX('Master Stock'!$J$2:$J$1000,MATCH(10,$U$2:$U$999,0)),"")</f>
        <v/>
      </c>
      <c r="D30" s="185">
        <f>IF(C30="","",MAX(0,TODAY()-C30))</f>
        <v/>
      </c>
      <c r="E30" s="185">
        <f t="array" ref="E30">IFERROR(INDEX('Master Stock'!$D$2:$D$1000,MATCH(10,$V$2:$V$999,0)),"")</f>
        <v/>
      </c>
      <c r="F30" s="185">
        <f t="array" ref="F30">IFERROR(INDEX('Master Stock'!$G$2:$G$1000,MATCH(10,$V$2:$V$999,0)),"")</f>
        <v/>
      </c>
      <c r="G30" s="217">
        <f t="array" ref="G30">IFERROR(INDEX('Master Stock'!$L$2:$L$1000,MATCH(10,$V$2:$V$999,0)),"")</f>
        <v/>
      </c>
      <c r="H30" s="185">
        <f>IF(G30="","",MAX(0,TODAY()-G30))</f>
        <v/>
      </c>
      <c r="I30" s="215" t="n"/>
      <c r="J30" s="221" t="n"/>
      <c r="K30" s="196" t="n"/>
      <c r="L30" s="196" t="n"/>
      <c r="M30" s="196" t="n"/>
      <c r="N30" s="222" t="n"/>
      <c r="O30" s="148" t="n"/>
      <c r="P30" s="148" t="n"/>
      <c r="Q30" s="148" t="n"/>
      <c r="R30" s="148" t="n"/>
      <c r="S30" s="148" t="n"/>
      <c r="T30" s="148" t="n"/>
      <c r="U30" s="149">
        <f>IF(AND('Master Stock'!D30&lt;&gt;"",'Master Stock'!H30="OCCUPIED",ISNUMBER('Master Stock'!J30),'Master Stock'!K30=""),SUMPRODUCT(--('Master Stock'!$D$2:$D$1000&lt;&gt;""),--('Master Stock'!$H$2:$H$1000="OCCUPIED"),--ISNUMBER('Master Stock'!$J$2:$J$1000),--('Master Stock'!$K$2:$K$1000=""),--('Master Stock'!$J$2:$J$1000&lt;'Master Stock'!J30))+COUNTIFS('Master Stock'!$J$2:J30,'Master Stock'!J30,'Master Stock'!$D$2:D30,"&lt;&gt;",'Master Stock'!$H$2:H30,"OCCUPIED",'Master Stock'!$K$2:K30,""),"")</f>
        <v/>
      </c>
      <c r="V30" s="149">
        <f>IF(AND('Master Stock'!D30&lt;&gt;"",'Master Stock'!H30="OCCUPIED",ISNUMBER('Master Stock'!L30),'Master Stock'!L30&lt;TODAY()-30),SUMPRODUCT(--('Master Stock'!$D$2:$D$1000&lt;&gt;""),--('Master Stock'!$H$2:$H$1000="OCCUPIED"),--ISNUMBER('Master Stock'!$L$2:$L$1000),--('Master Stock'!$L$2:$L$1000&lt;TODAY()-30),--('Master Stock'!$L$2:$L$1000&lt;'Master Stock'!L30))+COUNTIFS('Master Stock'!$L$2:L30,'Master Stock'!L30,'Master Stock'!$D$2:D30,"&lt;&gt;",'Master Stock'!$H$2:H30,"OCCUPIED"),"")</f>
        <v/>
      </c>
      <c r="W30" s="149" t="n"/>
      <c r="X30" s="149" t="n"/>
      <c r="Y30" s="149" t="n"/>
      <c r="Z30" s="149" t="n"/>
    </row>
    <row r="31" ht="21.75" customHeight="1" s="236">
      <c r="A31" s="208">
        <f t="array" ref="A31">IFERROR(INDEX('Master Stock'!$D$2:$D$1000,MATCH(11,$U$2:$U$999,0)),"")</f>
        <v/>
      </c>
      <c r="B31" s="213">
        <f t="array" ref="B31">IFERROR(INDEX('Master Stock'!$G$2:$G$1000,MATCH(11,$U$2:$U$999,0)),"")</f>
        <v/>
      </c>
      <c r="C31" s="214">
        <f t="array" ref="C31">IFERROR(INDEX('Master Stock'!$J$2:$J$1000,MATCH(11,$U$2:$U$999,0)),"")</f>
        <v/>
      </c>
      <c r="D31" s="213">
        <f>IF(C31="","",MAX(0,TODAY()-C31))</f>
        <v/>
      </c>
      <c r="E31" s="213">
        <f t="array" ref="E31">IFERROR(INDEX('Master Stock'!$D$2:$D$1000,MATCH(11,$V$2:$V$999,0)),"")</f>
        <v/>
      </c>
      <c r="F31" s="213">
        <f t="array" ref="F31">IFERROR(INDEX('Master Stock'!$G$2:$G$1000,MATCH(11,$V$2:$V$999,0)),"")</f>
        <v/>
      </c>
      <c r="G31" s="214">
        <f t="array" ref="G31">IFERROR(INDEX('Master Stock'!$L$2:$L$1000,MATCH(11,$V$2:$V$999,0)),"")</f>
        <v/>
      </c>
      <c r="H31" s="213">
        <f>IF(G31="","",MAX(0,TODAY()-G31))</f>
        <v/>
      </c>
      <c r="I31" s="215" t="n"/>
      <c r="J31" s="221" t="n"/>
      <c r="K31" s="196" t="n"/>
      <c r="L31" s="196" t="n"/>
      <c r="M31" s="196" t="n"/>
      <c r="N31" s="222" t="n"/>
      <c r="O31" s="148" t="n"/>
      <c r="P31" s="148" t="n"/>
      <c r="Q31" s="148" t="n"/>
      <c r="R31" s="148" t="n"/>
      <c r="S31" s="148" t="n"/>
      <c r="T31" s="148" t="n"/>
      <c r="U31" s="149">
        <f>IF(AND('Master Stock'!D31&lt;&gt;"",'Master Stock'!H31="OCCUPIED",ISNUMBER('Master Stock'!J31),'Master Stock'!K31=""),SUMPRODUCT(--('Master Stock'!$D$2:$D$1000&lt;&gt;""),--('Master Stock'!$H$2:$H$1000="OCCUPIED"),--ISNUMBER('Master Stock'!$J$2:$J$1000),--('Master Stock'!$K$2:$K$1000=""),--('Master Stock'!$J$2:$J$1000&lt;'Master Stock'!J31))+COUNTIFS('Master Stock'!$J$2:J31,'Master Stock'!J31,'Master Stock'!$D$2:D31,"&lt;&gt;",'Master Stock'!$H$2:H31,"OCCUPIED",'Master Stock'!$K$2:K31,""),"")</f>
        <v/>
      </c>
      <c r="V31" s="149">
        <f>IF(AND('Master Stock'!D31&lt;&gt;"",'Master Stock'!H31="OCCUPIED",ISNUMBER('Master Stock'!L31),'Master Stock'!L31&lt;TODAY()-30),SUMPRODUCT(--('Master Stock'!$D$2:$D$1000&lt;&gt;""),--('Master Stock'!$H$2:$H$1000="OCCUPIED"),--ISNUMBER('Master Stock'!$L$2:$L$1000),--('Master Stock'!$L$2:$L$1000&lt;TODAY()-30),--('Master Stock'!$L$2:$L$1000&lt;'Master Stock'!L31))+COUNTIFS('Master Stock'!$L$2:L31,'Master Stock'!L31,'Master Stock'!$D$2:D31,"&lt;&gt;",'Master Stock'!$H$2:H31,"OCCUPIED"),"")</f>
        <v/>
      </c>
      <c r="W31" s="149" t="n"/>
      <c r="X31" s="149" t="n"/>
      <c r="Y31" s="149" t="n"/>
      <c r="Z31" s="149" t="n"/>
    </row>
    <row r="32" ht="21.75" customHeight="1" s="236">
      <c r="A32" s="183">
        <f t="array" ref="A32">IFERROR(INDEX('Master Stock'!$D$2:$D$1000,MATCH(12,$U$2:$U$999,0)),"")</f>
        <v/>
      </c>
      <c r="B32" s="185">
        <f t="array" ref="B32">IFERROR(INDEX('Master Stock'!$G$2:$G$1000,MATCH(12,$U$2:$U$999,0)),"")</f>
        <v/>
      </c>
      <c r="C32" s="217">
        <f t="array" ref="C32">IFERROR(INDEX('Master Stock'!$J$2:$J$1000,MATCH(12,$U$2:$U$999,0)),"")</f>
        <v/>
      </c>
      <c r="D32" s="185">
        <f>IF(C32="","",MAX(0,TODAY()-C32))</f>
        <v/>
      </c>
      <c r="E32" s="185">
        <f t="array" ref="E32">IFERROR(INDEX('Master Stock'!$D$2:$D$1000,MATCH(12,$V$2:$V$999,0)),"")</f>
        <v/>
      </c>
      <c r="F32" s="185">
        <f t="array" ref="F32">IFERROR(INDEX('Master Stock'!$G$2:$G$1000,MATCH(12,$V$2:$V$999,0)),"")</f>
        <v/>
      </c>
      <c r="G32" s="217">
        <f t="array" ref="G32">IFERROR(INDEX('Master Stock'!$L$2:$L$1000,MATCH(12,$V$2:$V$999,0)),"")</f>
        <v/>
      </c>
      <c r="H32" s="185">
        <f>IF(G32="","",MAX(0,TODAY()-G32))</f>
        <v/>
      </c>
      <c r="I32" s="215" t="n"/>
      <c r="J32" s="221" t="n"/>
      <c r="K32" s="196" t="n"/>
      <c r="L32" s="196" t="n"/>
      <c r="M32" s="196" t="n"/>
      <c r="N32" s="222" t="n"/>
      <c r="O32" s="148" t="n"/>
      <c r="P32" s="148" t="n"/>
      <c r="Q32" s="148" t="n"/>
      <c r="R32" s="148" t="n"/>
      <c r="S32" s="148" t="n"/>
      <c r="T32" s="148" t="n"/>
      <c r="U32" s="149">
        <f>IF(AND('Master Stock'!D32&lt;&gt;"",'Master Stock'!H32="OCCUPIED",ISNUMBER('Master Stock'!J32),'Master Stock'!K32=""),SUMPRODUCT(--('Master Stock'!$D$2:$D$1000&lt;&gt;""),--('Master Stock'!$H$2:$H$1000="OCCUPIED"),--ISNUMBER('Master Stock'!$J$2:$J$1000),--('Master Stock'!$K$2:$K$1000=""),--('Master Stock'!$J$2:$J$1000&lt;'Master Stock'!J32))+COUNTIFS('Master Stock'!$J$2:J32,'Master Stock'!J32,'Master Stock'!$D$2:D32,"&lt;&gt;",'Master Stock'!$H$2:H32,"OCCUPIED",'Master Stock'!$K$2:K32,""),"")</f>
        <v/>
      </c>
      <c r="V32" s="149">
        <f>IF(AND('Master Stock'!D32&lt;&gt;"",'Master Stock'!H32="OCCUPIED",ISNUMBER('Master Stock'!L32),'Master Stock'!L32&lt;TODAY()-30),SUMPRODUCT(--('Master Stock'!$D$2:$D$1000&lt;&gt;""),--('Master Stock'!$H$2:$H$1000="OCCUPIED"),--ISNUMBER('Master Stock'!$L$2:$L$1000),--('Master Stock'!$L$2:$L$1000&lt;TODAY()-30),--('Master Stock'!$L$2:$L$1000&lt;'Master Stock'!L32))+COUNTIFS('Master Stock'!$L$2:L32,'Master Stock'!L32,'Master Stock'!$D$2:D32,"&lt;&gt;",'Master Stock'!$H$2:H32,"OCCUPIED"),"")</f>
        <v/>
      </c>
      <c r="W32" s="149" t="n"/>
      <c r="X32" s="149" t="n"/>
      <c r="Y32" s="149" t="n"/>
      <c r="Z32" s="149" t="n"/>
    </row>
    <row r="33" ht="21.75" customHeight="1" s="236">
      <c r="A33" s="208">
        <f t="array" ref="A33">IFERROR(INDEX('Master Stock'!$D$2:$D$1000,MATCH(13,$U$2:$U$999,0)),"")</f>
        <v/>
      </c>
      <c r="B33" s="213">
        <f t="array" ref="B33">IFERROR(INDEX('Master Stock'!$G$2:$G$1000,MATCH(13,$U$2:$U$999,0)),"")</f>
        <v/>
      </c>
      <c r="C33" s="214">
        <f t="array" ref="C33">IFERROR(INDEX('Master Stock'!$J$2:$J$1000,MATCH(13,$U$2:$U$999,0)),"")</f>
        <v/>
      </c>
      <c r="D33" s="213">
        <f>IF(C33="","",MAX(0,TODAY()-C33))</f>
        <v/>
      </c>
      <c r="E33" s="213">
        <f t="array" ref="E33">IFERROR(INDEX('Master Stock'!$D$2:$D$1000,MATCH(13,$V$2:$V$999,0)),"")</f>
        <v/>
      </c>
      <c r="F33" s="213">
        <f t="array" ref="F33">IFERROR(INDEX('Master Stock'!$G$2:$G$1000,MATCH(13,$V$2:$V$999,0)),"")</f>
        <v/>
      </c>
      <c r="G33" s="214">
        <f t="array" ref="G33">IFERROR(INDEX('Master Stock'!$L$2:$L$1000,MATCH(13,$V$2:$V$999,0)),"")</f>
        <v/>
      </c>
      <c r="H33" s="213">
        <f>IF(G33="","",MAX(0,TODAY()-G33))</f>
        <v/>
      </c>
      <c r="I33" s="215" t="n"/>
      <c r="J33" s="221" t="n"/>
      <c r="K33" s="196" t="n"/>
      <c r="L33" s="196" t="n"/>
      <c r="M33" s="196" t="n"/>
      <c r="N33" s="222" t="n"/>
      <c r="O33" s="148" t="n"/>
      <c r="P33" s="148" t="n"/>
      <c r="Q33" s="148" t="n"/>
      <c r="R33" s="148" t="n"/>
      <c r="S33" s="148" t="n"/>
      <c r="T33" s="148" t="n"/>
      <c r="U33" s="149">
        <f>IF(AND('Master Stock'!D33&lt;&gt;"",'Master Stock'!H33="OCCUPIED",ISNUMBER('Master Stock'!J33),'Master Stock'!K33=""),SUMPRODUCT(--('Master Stock'!$D$2:$D$1000&lt;&gt;""),--('Master Stock'!$H$2:$H$1000="OCCUPIED"),--ISNUMBER('Master Stock'!$J$2:$J$1000),--('Master Stock'!$K$2:$K$1000=""),--('Master Stock'!$J$2:$J$1000&lt;'Master Stock'!J33))+COUNTIFS('Master Stock'!$J$2:J33,'Master Stock'!J33,'Master Stock'!$D$2:D33,"&lt;&gt;",'Master Stock'!$H$2:H33,"OCCUPIED",'Master Stock'!$K$2:K33,""),"")</f>
        <v/>
      </c>
      <c r="V33" s="149">
        <f>IF(AND('Master Stock'!D33&lt;&gt;"",'Master Stock'!H33="OCCUPIED",ISNUMBER('Master Stock'!L33),'Master Stock'!L33&lt;TODAY()-30),SUMPRODUCT(--('Master Stock'!$D$2:$D$1000&lt;&gt;""),--('Master Stock'!$H$2:$H$1000="OCCUPIED"),--ISNUMBER('Master Stock'!$L$2:$L$1000),--('Master Stock'!$L$2:$L$1000&lt;TODAY()-30),--('Master Stock'!$L$2:$L$1000&lt;'Master Stock'!L33))+COUNTIFS('Master Stock'!$L$2:L33,'Master Stock'!L33,'Master Stock'!$D$2:D33,"&lt;&gt;",'Master Stock'!$H$2:H33,"OCCUPIED"),"")</f>
        <v/>
      </c>
      <c r="W33" s="149" t="n"/>
      <c r="X33" s="149" t="n"/>
      <c r="Y33" s="149" t="n"/>
      <c r="Z33" s="149" t="n"/>
    </row>
    <row r="34" ht="21.75" customHeight="1" s="236">
      <c r="A34" s="183">
        <f t="array" ref="A34">IFERROR(INDEX('Master Stock'!$D$2:$D$1000,MATCH(14,$U$2:$U$999,0)),"")</f>
        <v/>
      </c>
      <c r="B34" s="185">
        <f t="array" ref="B34">IFERROR(INDEX('Master Stock'!$G$2:$G$1000,MATCH(14,$U$2:$U$999,0)),"")</f>
        <v/>
      </c>
      <c r="C34" s="217">
        <f t="array" ref="C34">IFERROR(INDEX('Master Stock'!$J$2:$J$1000,MATCH(14,$U$2:$U$999,0)),"")</f>
        <v/>
      </c>
      <c r="D34" s="185">
        <f>IF(C34="","",MAX(0,TODAY()-C34))</f>
        <v/>
      </c>
      <c r="E34" s="185">
        <f t="array" ref="E34">IFERROR(INDEX('Master Stock'!$D$2:$D$1000,MATCH(14,$V$2:$V$999,0)),"")</f>
        <v/>
      </c>
      <c r="F34" s="185">
        <f t="array" ref="F34">IFERROR(INDEX('Master Stock'!$G$2:$G$1000,MATCH(14,$V$2:$V$999,0)),"")</f>
        <v/>
      </c>
      <c r="G34" s="217">
        <f t="array" ref="G34">IFERROR(INDEX('Master Stock'!$L$2:$L$1000,MATCH(14,$V$2:$V$999,0)),"")</f>
        <v/>
      </c>
      <c r="H34" s="185">
        <f>IF(G34="","",MAX(0,TODAY()-G34))</f>
        <v/>
      </c>
      <c r="I34" s="215" t="n"/>
      <c r="J34" s="221" t="n"/>
      <c r="K34" s="196" t="n"/>
      <c r="L34" s="196" t="n"/>
      <c r="M34" s="196" t="n"/>
      <c r="N34" s="222" t="n"/>
      <c r="O34" s="148" t="n"/>
      <c r="P34" s="148" t="n"/>
      <c r="Q34" s="148" t="n"/>
      <c r="R34" s="148" t="n"/>
      <c r="S34" s="148" t="n"/>
      <c r="T34" s="148" t="n"/>
      <c r="U34" s="149">
        <f>IF(AND('Master Stock'!D34&lt;&gt;"",'Master Stock'!H34="OCCUPIED",ISNUMBER('Master Stock'!J34),'Master Stock'!K34=""),SUMPRODUCT(--('Master Stock'!$D$2:$D$1000&lt;&gt;""),--('Master Stock'!$H$2:$H$1000="OCCUPIED"),--ISNUMBER('Master Stock'!$J$2:$J$1000),--('Master Stock'!$K$2:$K$1000=""),--('Master Stock'!$J$2:$J$1000&lt;'Master Stock'!J34))+COUNTIFS('Master Stock'!$J$2:J34,'Master Stock'!J34,'Master Stock'!$D$2:D34,"&lt;&gt;",'Master Stock'!$H$2:H34,"OCCUPIED",'Master Stock'!$K$2:K34,""),"")</f>
        <v/>
      </c>
      <c r="V34" s="149">
        <f>IF(AND('Master Stock'!D34&lt;&gt;"",'Master Stock'!H34="OCCUPIED",ISNUMBER('Master Stock'!L34),'Master Stock'!L34&lt;TODAY()-30),SUMPRODUCT(--('Master Stock'!$D$2:$D$1000&lt;&gt;""),--('Master Stock'!$H$2:$H$1000="OCCUPIED"),--ISNUMBER('Master Stock'!$L$2:$L$1000),--('Master Stock'!$L$2:$L$1000&lt;TODAY()-30),--('Master Stock'!$L$2:$L$1000&lt;'Master Stock'!L34))+COUNTIFS('Master Stock'!$L$2:L34,'Master Stock'!L34,'Master Stock'!$D$2:D34,"&lt;&gt;",'Master Stock'!$H$2:H34,"OCCUPIED"),"")</f>
        <v/>
      </c>
      <c r="W34" s="149" t="n"/>
      <c r="X34" s="149" t="n"/>
      <c r="Y34" s="149" t="n"/>
      <c r="Z34" s="149" t="n"/>
    </row>
    <row r="35" ht="21.75" customHeight="1" s="236">
      <c r="A35" s="208">
        <f t="array" ref="A35">IFERROR(INDEX('Master Stock'!$D$2:$D$1000,MATCH(15,$U$2:$U$999,0)),"")</f>
        <v/>
      </c>
      <c r="B35" s="213">
        <f t="array" ref="B35">IFERROR(INDEX('Master Stock'!$G$2:$G$1000,MATCH(15,$U$2:$U$999,0)),"")</f>
        <v/>
      </c>
      <c r="C35" s="214">
        <f t="array" ref="C35">IFERROR(INDEX('Master Stock'!$J$2:$J$1000,MATCH(15,$U$2:$U$999,0)),"")</f>
        <v/>
      </c>
      <c r="D35" s="213">
        <f>IF(C35="","",MAX(0,TODAY()-C35))</f>
        <v/>
      </c>
      <c r="E35" s="213">
        <f t="array" ref="E35">IFERROR(INDEX('Master Stock'!$D$2:$D$1000,MATCH(15,$V$2:$V$999,0)),"")</f>
        <v/>
      </c>
      <c r="F35" s="213">
        <f t="array" ref="F35">IFERROR(INDEX('Master Stock'!$G$2:$G$1000,MATCH(15,$V$2:$V$999,0)),"")</f>
        <v/>
      </c>
      <c r="G35" s="214">
        <f t="array" ref="G35">IFERROR(INDEX('Master Stock'!$L$2:$L$1000,MATCH(15,$V$2:$V$999,0)),"")</f>
        <v/>
      </c>
      <c r="H35" s="213">
        <f>IF(G35="","",MAX(0,TODAY()-G35))</f>
        <v/>
      </c>
      <c r="I35" s="215" t="n"/>
      <c r="J35" s="221" t="n"/>
      <c r="K35" s="196" t="n"/>
      <c r="L35" s="196" t="n"/>
      <c r="M35" s="196" t="n"/>
      <c r="N35" s="222" t="n"/>
      <c r="O35" s="148" t="n"/>
      <c r="P35" s="148" t="n"/>
      <c r="Q35" s="148" t="n"/>
      <c r="R35" s="148" t="n"/>
      <c r="S35" s="148" t="n"/>
      <c r="T35" s="148" t="n"/>
      <c r="U35" s="149">
        <f>IF(AND('Master Stock'!D35&lt;&gt;"",'Master Stock'!H35="OCCUPIED",ISNUMBER('Master Stock'!J35),'Master Stock'!K35=""),SUMPRODUCT(--('Master Stock'!$D$2:$D$1000&lt;&gt;""),--('Master Stock'!$H$2:$H$1000="OCCUPIED"),--ISNUMBER('Master Stock'!$J$2:$J$1000),--('Master Stock'!$K$2:$K$1000=""),--('Master Stock'!$J$2:$J$1000&lt;'Master Stock'!J35))+COUNTIFS('Master Stock'!$J$2:J35,'Master Stock'!J35,'Master Stock'!$D$2:D35,"&lt;&gt;",'Master Stock'!$H$2:H35,"OCCUPIED",'Master Stock'!$K$2:K35,""),"")</f>
        <v/>
      </c>
      <c r="V35" s="149">
        <f>IF(AND('Master Stock'!D35&lt;&gt;"",'Master Stock'!H35="OCCUPIED",ISNUMBER('Master Stock'!L35),'Master Stock'!L35&lt;TODAY()-30),SUMPRODUCT(--('Master Stock'!$D$2:$D$1000&lt;&gt;""),--('Master Stock'!$H$2:$H$1000="OCCUPIED"),--ISNUMBER('Master Stock'!$L$2:$L$1000),--('Master Stock'!$L$2:$L$1000&lt;TODAY()-30),--('Master Stock'!$L$2:$L$1000&lt;'Master Stock'!L35))+COUNTIFS('Master Stock'!$L$2:L35,'Master Stock'!L35,'Master Stock'!$D$2:D35,"&lt;&gt;",'Master Stock'!$H$2:H35,"OCCUPIED"),"")</f>
        <v/>
      </c>
      <c r="W35" s="149" t="n"/>
      <c r="X35" s="149" t="n"/>
      <c r="Y35" s="149" t="n"/>
      <c r="Z35" s="149" t="n"/>
    </row>
    <row r="36" ht="21.75" customHeight="1" s="236">
      <c r="A36" s="183">
        <f t="array" ref="A36">IFERROR(INDEX('Master Stock'!$D$2:$D$1000,MATCH(16,$U$2:$U$999,0)),"")</f>
        <v/>
      </c>
      <c r="B36" s="185">
        <f t="array" ref="B36">IFERROR(INDEX('Master Stock'!$G$2:$G$1000,MATCH(16,$U$2:$U$999,0)),"")</f>
        <v/>
      </c>
      <c r="C36" s="217">
        <f t="array" ref="C36">IFERROR(INDEX('Master Stock'!$J$2:$J$1000,MATCH(16,$U$2:$U$999,0)),"")</f>
        <v/>
      </c>
      <c r="D36" s="185">
        <f>IF(C36="","",MAX(0,TODAY()-C36))</f>
        <v/>
      </c>
      <c r="E36" s="185">
        <f t="array" ref="E36">IFERROR(INDEX('Master Stock'!$D$2:$D$1000,MATCH(16,$V$2:$V$999,0)),"")</f>
        <v/>
      </c>
      <c r="F36" s="185">
        <f t="array" ref="F36">IFERROR(INDEX('Master Stock'!$G$2:$G$1000,MATCH(16,$V$2:$V$999,0)),"")</f>
        <v/>
      </c>
      <c r="G36" s="217">
        <f t="array" ref="G36">IFERROR(INDEX('Master Stock'!$L$2:$L$1000,MATCH(16,$V$2:$V$999,0)),"")</f>
        <v/>
      </c>
      <c r="H36" s="185">
        <f>IF(G36="","",MAX(0,TODAY()-G36))</f>
        <v/>
      </c>
      <c r="I36" s="215" t="n"/>
      <c r="J36" s="221" t="n"/>
      <c r="K36" s="196" t="n"/>
      <c r="L36" s="196" t="n"/>
      <c r="M36" s="196" t="n"/>
      <c r="N36" s="222" t="n"/>
      <c r="O36" s="148" t="n"/>
      <c r="P36" s="148" t="n"/>
      <c r="Q36" s="148" t="n"/>
      <c r="R36" s="148" t="n"/>
      <c r="S36" s="148" t="n"/>
      <c r="T36" s="148" t="n"/>
      <c r="U36" s="149">
        <f>IF(AND('Master Stock'!D36&lt;&gt;"",'Master Stock'!H36="OCCUPIED",ISNUMBER('Master Stock'!J36),'Master Stock'!K36=""),SUMPRODUCT(--('Master Stock'!$D$2:$D$1000&lt;&gt;""),--('Master Stock'!$H$2:$H$1000="OCCUPIED"),--ISNUMBER('Master Stock'!$J$2:$J$1000),--('Master Stock'!$K$2:$K$1000=""),--('Master Stock'!$J$2:$J$1000&lt;'Master Stock'!J36))+COUNTIFS('Master Stock'!$J$2:J36,'Master Stock'!J36,'Master Stock'!$D$2:D36,"&lt;&gt;",'Master Stock'!$H$2:H36,"OCCUPIED",'Master Stock'!$K$2:K36,""),"")</f>
        <v/>
      </c>
      <c r="V36" s="149">
        <f>IF(AND('Master Stock'!D36&lt;&gt;"",'Master Stock'!H36="OCCUPIED",ISNUMBER('Master Stock'!L36),'Master Stock'!L36&lt;TODAY()-30),SUMPRODUCT(--('Master Stock'!$D$2:$D$1000&lt;&gt;""),--('Master Stock'!$H$2:$H$1000="OCCUPIED"),--ISNUMBER('Master Stock'!$L$2:$L$1000),--('Master Stock'!$L$2:$L$1000&lt;TODAY()-30),--('Master Stock'!$L$2:$L$1000&lt;'Master Stock'!L36))+COUNTIFS('Master Stock'!$L$2:L36,'Master Stock'!L36,'Master Stock'!$D$2:D36,"&lt;&gt;",'Master Stock'!$H$2:H36,"OCCUPIED"),"")</f>
        <v/>
      </c>
      <c r="W36" s="149" t="n"/>
      <c r="X36" s="149" t="n"/>
      <c r="Y36" s="149" t="n"/>
      <c r="Z36" s="149" t="n"/>
    </row>
    <row r="37" ht="21.75" customHeight="1" s="236">
      <c r="A37" s="208">
        <f t="array" ref="A37">IFERROR(INDEX('Master Stock'!$D$2:$D$1000,MATCH(17,$U$2:$U$999,0)),"")</f>
        <v/>
      </c>
      <c r="B37" s="213">
        <f t="array" ref="B37">IFERROR(INDEX('Master Stock'!$G$2:$G$1000,MATCH(17,$U$2:$U$999,0)),"")</f>
        <v/>
      </c>
      <c r="C37" s="214">
        <f t="array" ref="C37">IFERROR(INDEX('Master Stock'!$J$2:$J$1000,MATCH(17,$U$2:$U$999,0)),"")</f>
        <v/>
      </c>
      <c r="D37" s="213">
        <f>IF(C37="","",MAX(0,TODAY()-C37))</f>
        <v/>
      </c>
      <c r="E37" s="213">
        <f t="array" ref="E37">IFERROR(INDEX('Master Stock'!$D$2:$D$1000,MATCH(17,$V$2:$V$999,0)),"")</f>
        <v/>
      </c>
      <c r="F37" s="213">
        <f t="array" ref="F37">IFERROR(INDEX('Master Stock'!$G$2:$G$1000,MATCH(17,$V$2:$V$999,0)),"")</f>
        <v/>
      </c>
      <c r="G37" s="214">
        <f t="array" ref="G37">IFERROR(INDEX('Master Stock'!$L$2:$L$1000,MATCH(17,$V$2:$V$999,0)),"")</f>
        <v/>
      </c>
      <c r="H37" s="213">
        <f>IF(G37="","",MAX(0,TODAY()-G37))</f>
        <v/>
      </c>
      <c r="I37" s="215" t="n"/>
      <c r="J37" s="221" t="n"/>
      <c r="K37" s="196" t="n"/>
      <c r="L37" s="196" t="n"/>
      <c r="M37" s="196" t="n"/>
      <c r="N37" s="222" t="n"/>
      <c r="O37" s="148" t="n"/>
      <c r="P37" s="148" t="n"/>
      <c r="Q37" s="148" t="n"/>
      <c r="R37" s="148" t="n"/>
      <c r="S37" s="148" t="n"/>
      <c r="T37" s="148" t="n"/>
      <c r="U37" s="149">
        <f>IF(AND('Master Stock'!D37&lt;&gt;"",'Master Stock'!H37="OCCUPIED",ISNUMBER('Master Stock'!J37),'Master Stock'!K37=""),SUMPRODUCT(--('Master Stock'!$D$2:$D$1000&lt;&gt;""),--('Master Stock'!$H$2:$H$1000="OCCUPIED"),--ISNUMBER('Master Stock'!$J$2:$J$1000),--('Master Stock'!$K$2:$K$1000=""),--('Master Stock'!$J$2:$J$1000&lt;'Master Stock'!J37))+COUNTIFS('Master Stock'!$J$2:J37,'Master Stock'!J37,'Master Stock'!$D$2:D37,"&lt;&gt;",'Master Stock'!$H$2:H37,"OCCUPIED",'Master Stock'!$K$2:K37,""),"")</f>
        <v/>
      </c>
      <c r="V37" s="149">
        <f>IF(AND('Master Stock'!D37&lt;&gt;"",'Master Stock'!H37="OCCUPIED",ISNUMBER('Master Stock'!L37),'Master Stock'!L37&lt;TODAY()-30),SUMPRODUCT(--('Master Stock'!$D$2:$D$1000&lt;&gt;""),--('Master Stock'!$H$2:$H$1000="OCCUPIED"),--ISNUMBER('Master Stock'!$L$2:$L$1000),--('Master Stock'!$L$2:$L$1000&lt;TODAY()-30),--('Master Stock'!$L$2:$L$1000&lt;'Master Stock'!L37))+COUNTIFS('Master Stock'!$L$2:L37,'Master Stock'!L37,'Master Stock'!$D$2:D37,"&lt;&gt;",'Master Stock'!$H$2:H37,"OCCUPIED"),"")</f>
        <v/>
      </c>
      <c r="W37" s="149" t="n"/>
      <c r="X37" s="149" t="n"/>
      <c r="Y37" s="149" t="n"/>
      <c r="Z37" s="149" t="n"/>
    </row>
    <row r="38" ht="21.75" customHeight="1" s="236">
      <c r="A38" s="183">
        <f t="array" ref="A38">IFERROR(INDEX('Master Stock'!$D$2:$D$1000,MATCH(18,$U$2:$U$999,0)),"")</f>
        <v/>
      </c>
      <c r="B38" s="185">
        <f t="array" ref="B38">IFERROR(INDEX('Master Stock'!$G$2:$G$1000,MATCH(18,$U$2:$U$999,0)),"")</f>
        <v/>
      </c>
      <c r="C38" s="217">
        <f t="array" ref="C38">IFERROR(INDEX('Master Stock'!$J$2:$J$1000,MATCH(18,$U$2:$U$999,0)),"")</f>
        <v/>
      </c>
      <c r="D38" s="185">
        <f>IF(C38="","",MAX(0,TODAY()-C38))</f>
        <v/>
      </c>
      <c r="E38" s="185">
        <f t="array" ref="E38">IFERROR(INDEX('Master Stock'!$D$2:$D$1000,MATCH(18,$V$2:$V$999,0)),"")</f>
        <v/>
      </c>
      <c r="F38" s="185">
        <f t="array" ref="F38">IFERROR(INDEX('Master Stock'!$G$2:$G$1000,MATCH(18,$V$2:$V$999,0)),"")</f>
        <v/>
      </c>
      <c r="G38" s="217">
        <f t="array" ref="G38">IFERROR(INDEX('Master Stock'!$L$2:$L$1000,MATCH(18,$V$2:$V$999,0)),"")</f>
        <v/>
      </c>
      <c r="H38" s="185">
        <f>IF(G38="","",MAX(0,TODAY()-G38))</f>
        <v/>
      </c>
      <c r="I38" s="215" t="n"/>
      <c r="J38" s="221" t="n"/>
      <c r="K38" s="196" t="n"/>
      <c r="L38" s="196" t="n"/>
      <c r="M38" s="196" t="n"/>
      <c r="N38" s="222" t="n"/>
      <c r="O38" s="148" t="n"/>
      <c r="P38" s="148" t="n"/>
      <c r="Q38" s="148" t="n"/>
      <c r="R38" s="148" t="n"/>
      <c r="S38" s="148" t="n"/>
      <c r="T38" s="148" t="n"/>
      <c r="U38" s="149">
        <f>IF(AND('Master Stock'!D38&lt;&gt;"",'Master Stock'!H38="OCCUPIED",ISNUMBER('Master Stock'!J38),'Master Stock'!K38=""),SUMPRODUCT(--('Master Stock'!$D$2:$D$1000&lt;&gt;""),--('Master Stock'!$H$2:$H$1000="OCCUPIED"),--ISNUMBER('Master Stock'!$J$2:$J$1000),--('Master Stock'!$K$2:$K$1000=""),--('Master Stock'!$J$2:$J$1000&lt;'Master Stock'!J38))+COUNTIFS('Master Stock'!$J$2:J38,'Master Stock'!J38,'Master Stock'!$D$2:D38,"&lt;&gt;",'Master Stock'!$H$2:H38,"OCCUPIED",'Master Stock'!$K$2:K38,""),"")</f>
        <v/>
      </c>
      <c r="V38" s="149">
        <f>IF(AND('Master Stock'!D38&lt;&gt;"",'Master Stock'!H38="OCCUPIED",ISNUMBER('Master Stock'!L38),'Master Stock'!L38&lt;TODAY()-30),SUMPRODUCT(--('Master Stock'!$D$2:$D$1000&lt;&gt;""),--('Master Stock'!$H$2:$H$1000="OCCUPIED"),--ISNUMBER('Master Stock'!$L$2:$L$1000),--('Master Stock'!$L$2:$L$1000&lt;TODAY()-30),--('Master Stock'!$L$2:$L$1000&lt;'Master Stock'!L38))+COUNTIFS('Master Stock'!$L$2:L38,'Master Stock'!L38,'Master Stock'!$D$2:D38,"&lt;&gt;",'Master Stock'!$H$2:H38,"OCCUPIED"),"")</f>
        <v/>
      </c>
      <c r="W38" s="149" t="n"/>
      <c r="X38" s="149" t="n"/>
      <c r="Y38" s="149" t="n"/>
      <c r="Z38" s="149" t="n"/>
    </row>
    <row r="39" ht="21.75" customHeight="1" s="236">
      <c r="A39" s="208">
        <f t="array" ref="A39">IFERROR(INDEX('Master Stock'!$D$2:$D$1000,MATCH(19,$U$2:$U$999,0)),"")</f>
        <v/>
      </c>
      <c r="B39" s="213">
        <f t="array" ref="B39">IFERROR(INDEX('Master Stock'!$G$2:$G$1000,MATCH(19,$U$2:$U$999,0)),"")</f>
        <v/>
      </c>
      <c r="C39" s="214">
        <f t="array" ref="C39">IFERROR(INDEX('Master Stock'!$J$2:$J$1000,MATCH(19,$U$2:$U$999,0)),"")</f>
        <v/>
      </c>
      <c r="D39" s="213">
        <f>IF(C39="","",MAX(0,TODAY()-C39))</f>
        <v/>
      </c>
      <c r="E39" s="213">
        <f t="array" ref="E39">IFERROR(INDEX('Master Stock'!$D$2:$D$1000,MATCH(19,$V$2:$V$999,0)),"")</f>
        <v/>
      </c>
      <c r="F39" s="213">
        <f t="array" ref="F39">IFERROR(INDEX('Master Stock'!$G$2:$G$1000,MATCH(19,$V$2:$V$999,0)),"")</f>
        <v/>
      </c>
      <c r="G39" s="214">
        <f t="array" ref="G39">IFERROR(INDEX('Master Stock'!$L$2:$L$1000,MATCH(19,$V$2:$V$999,0)),"")</f>
        <v/>
      </c>
      <c r="H39" s="213">
        <f>IF(G39="","",MAX(0,TODAY()-G39))</f>
        <v/>
      </c>
      <c r="I39" s="215" t="n"/>
      <c r="J39" s="221" t="n"/>
      <c r="K39" s="196" t="n"/>
      <c r="L39" s="196" t="n"/>
      <c r="M39" s="196" t="n"/>
      <c r="N39" s="222" t="n"/>
      <c r="O39" s="148" t="n"/>
      <c r="P39" s="148" t="n"/>
      <c r="Q39" s="148" t="n"/>
      <c r="R39" s="148" t="n"/>
      <c r="S39" s="148" t="n"/>
      <c r="T39" s="148" t="n"/>
      <c r="U39" s="149">
        <f>IF(AND('Master Stock'!D39&lt;&gt;"",'Master Stock'!H39="OCCUPIED",ISNUMBER('Master Stock'!J39),'Master Stock'!K39=""),SUMPRODUCT(--('Master Stock'!$D$2:$D$1000&lt;&gt;""),--('Master Stock'!$H$2:$H$1000="OCCUPIED"),--ISNUMBER('Master Stock'!$J$2:$J$1000),--('Master Stock'!$K$2:$K$1000=""),--('Master Stock'!$J$2:$J$1000&lt;'Master Stock'!J39))+COUNTIFS('Master Stock'!$J$2:J39,'Master Stock'!J39,'Master Stock'!$D$2:D39,"&lt;&gt;",'Master Stock'!$H$2:H39,"OCCUPIED",'Master Stock'!$K$2:K39,""),"")</f>
        <v/>
      </c>
      <c r="V39" s="149">
        <f>IF(AND('Master Stock'!D39&lt;&gt;"",'Master Stock'!H39="OCCUPIED",ISNUMBER('Master Stock'!L39),'Master Stock'!L39&lt;TODAY()-30),SUMPRODUCT(--('Master Stock'!$D$2:$D$1000&lt;&gt;""),--('Master Stock'!$H$2:$H$1000="OCCUPIED"),--ISNUMBER('Master Stock'!$L$2:$L$1000),--('Master Stock'!$L$2:$L$1000&lt;TODAY()-30),--('Master Stock'!$L$2:$L$1000&lt;'Master Stock'!L39))+COUNTIFS('Master Stock'!$L$2:L39,'Master Stock'!L39,'Master Stock'!$D$2:D39,"&lt;&gt;",'Master Stock'!$H$2:H39,"OCCUPIED"),"")</f>
        <v/>
      </c>
      <c r="W39" s="149" t="n"/>
      <c r="X39" s="149" t="n"/>
      <c r="Y39" s="149" t="n"/>
      <c r="Z39" s="149" t="n"/>
    </row>
    <row r="40" ht="21.75" customHeight="1" s="236">
      <c r="A40" s="183">
        <f t="array" ref="A40">IFERROR(INDEX('Master Stock'!$D$2:$D$1000,MATCH(20,$U$2:$U$999,0)),"")</f>
        <v/>
      </c>
      <c r="B40" s="185">
        <f t="array" ref="B40">IFERROR(INDEX('Master Stock'!$G$2:$G$1000,MATCH(20,$U$2:$U$999,0)),"")</f>
        <v/>
      </c>
      <c r="C40" s="217">
        <f t="array" ref="C40">IFERROR(INDEX('Master Stock'!$J$2:$J$1000,MATCH(20,$U$2:$U$999,0)),"")</f>
        <v/>
      </c>
      <c r="D40" s="185">
        <f>IF(C40="","",MAX(0,TODAY()-C40))</f>
        <v/>
      </c>
      <c r="E40" s="185">
        <f t="array" ref="E40">IFERROR(INDEX('Master Stock'!$D$2:$D$1000,MATCH(20,$V$2:$V$999,0)),"")</f>
        <v/>
      </c>
      <c r="F40" s="185">
        <f t="array" ref="F40">IFERROR(INDEX('Master Stock'!$G$2:$G$1000,MATCH(20,$V$2:$V$999,0)),"")</f>
        <v/>
      </c>
      <c r="G40" s="217">
        <f t="array" ref="G40">IFERROR(INDEX('Master Stock'!$L$2:$L$1000,MATCH(20,$V$2:$V$999,0)),"")</f>
        <v/>
      </c>
      <c r="H40" s="185">
        <f>IF(G40="","",MAX(0,TODAY()-G40))</f>
        <v/>
      </c>
      <c r="I40" s="215" t="n"/>
      <c r="J40" s="221" t="n"/>
      <c r="K40" s="196" t="n"/>
      <c r="L40" s="196" t="n"/>
      <c r="M40" s="196" t="n"/>
      <c r="N40" s="222" t="n"/>
      <c r="O40" s="148" t="n"/>
      <c r="P40" s="148" t="n"/>
      <c r="Q40" s="148" t="n"/>
      <c r="R40" s="148" t="n"/>
      <c r="S40" s="148" t="n"/>
      <c r="T40" s="148" t="n"/>
      <c r="U40" s="149">
        <f>IF(AND('Master Stock'!D40&lt;&gt;"",'Master Stock'!H40="OCCUPIED",ISNUMBER('Master Stock'!J40),'Master Stock'!K40=""),SUMPRODUCT(--('Master Stock'!$D$2:$D$1000&lt;&gt;""),--('Master Stock'!$H$2:$H$1000="OCCUPIED"),--ISNUMBER('Master Stock'!$J$2:$J$1000),--('Master Stock'!$K$2:$K$1000=""),--('Master Stock'!$J$2:$J$1000&lt;'Master Stock'!J40))+COUNTIFS('Master Stock'!$J$2:J40,'Master Stock'!J40,'Master Stock'!$D$2:D40,"&lt;&gt;",'Master Stock'!$H$2:H40,"OCCUPIED",'Master Stock'!$K$2:K40,""),"")</f>
        <v/>
      </c>
      <c r="V40" s="149">
        <f>IF(AND('Master Stock'!D40&lt;&gt;"",'Master Stock'!H40="OCCUPIED",ISNUMBER('Master Stock'!L40),'Master Stock'!L40&lt;TODAY()-30),SUMPRODUCT(--('Master Stock'!$D$2:$D$1000&lt;&gt;""),--('Master Stock'!$H$2:$H$1000="OCCUPIED"),--ISNUMBER('Master Stock'!$L$2:$L$1000),--('Master Stock'!$L$2:$L$1000&lt;TODAY()-30),--('Master Stock'!$L$2:$L$1000&lt;'Master Stock'!L40))+COUNTIFS('Master Stock'!$L$2:L40,'Master Stock'!L40,'Master Stock'!$D$2:D40,"&lt;&gt;",'Master Stock'!$H$2:H40,"OCCUPIED"),"")</f>
        <v/>
      </c>
      <c r="W40" s="149" t="n"/>
      <c r="X40" s="149" t="n"/>
      <c r="Y40" s="149" t="n"/>
      <c r="Z40" s="149" t="n"/>
    </row>
    <row r="41" ht="15.75" customHeight="1" s="236">
      <c r="A41" s="225" t="inlineStr">
        <is>
          <t>Total Infested / Under Cover</t>
        </is>
      </c>
      <c r="B41" s="226">
        <f>COUNTIF($U$2:$U$999,"&gt;0")</f>
        <v/>
      </c>
      <c r="C41" s="284" t="n"/>
      <c r="D41" s="226" t="n"/>
      <c r="E41" s="227" t="inlineStr">
        <is>
          <t>Total Fumigation Due</t>
        </is>
      </c>
      <c r="F41" s="228">
        <f>COUNTIF($V$2:$V$999,"&gt;0")</f>
        <v/>
      </c>
      <c r="G41" s="285" t="n"/>
      <c r="H41" s="228" t="n"/>
      <c r="I41" s="228" t="n"/>
      <c r="J41" s="221" t="n"/>
      <c r="K41" s="196" t="n"/>
      <c r="L41" s="196" t="n"/>
      <c r="M41" s="196" t="n"/>
      <c r="N41" s="222" t="n"/>
      <c r="O41" s="148" t="n"/>
      <c r="P41" s="148" t="n"/>
      <c r="Q41" s="148" t="n"/>
      <c r="R41" s="148" t="n"/>
      <c r="S41" s="148" t="n"/>
      <c r="T41" s="148" t="n"/>
      <c r="U41" s="149">
        <f>IF(AND('Master Stock'!D41&lt;&gt;"",'Master Stock'!H41="OCCUPIED",ISNUMBER('Master Stock'!J41),'Master Stock'!K41=""),SUMPRODUCT(--('Master Stock'!$D$2:$D$1000&lt;&gt;""),--('Master Stock'!$H$2:$H$1000="OCCUPIED"),--ISNUMBER('Master Stock'!$J$2:$J$1000),--('Master Stock'!$K$2:$K$1000=""),--('Master Stock'!$J$2:$J$1000&lt;'Master Stock'!J41))+COUNTIFS('Master Stock'!$J$2:J41,'Master Stock'!J41,'Master Stock'!$D$2:D41,"&lt;&gt;",'Master Stock'!$H$2:H41,"OCCUPIED",'Master Stock'!$K$2:K41,""),"")</f>
        <v/>
      </c>
      <c r="V41" s="149">
        <f>IF(AND('Master Stock'!D41&lt;&gt;"",'Master Stock'!H41="OCCUPIED",ISNUMBER('Master Stock'!L41),'Master Stock'!L41&lt;TODAY()-30),SUMPRODUCT(--('Master Stock'!$D$2:$D$1000&lt;&gt;""),--('Master Stock'!$H$2:$H$1000="OCCUPIED"),--ISNUMBER('Master Stock'!$L$2:$L$1000),--('Master Stock'!$L$2:$L$1000&lt;TODAY()-30),--('Master Stock'!$L$2:$L$1000&lt;'Master Stock'!L41))+COUNTIFS('Master Stock'!$L$2:L41,'Master Stock'!L41,'Master Stock'!$D$2:D41,"&lt;&gt;",'Master Stock'!$H$2:H41,"OCCUPIED"),"")</f>
        <v/>
      </c>
      <c r="W41" s="149" t="n"/>
      <c r="X41" s="149" t="n"/>
      <c r="Y41" s="149" t="n"/>
      <c r="Z41" s="149" t="n"/>
    </row>
    <row r="42" ht="24.75" customHeight="1" s="236">
      <c r="A42" s="286" t="inlineStr">
        <is>
          <t>STATUS GUIDE     •  NORMAL: Fumigation Days &lt; 25     •  WARNING: 25–30     •  DUE: &gt; 30     •  ATTENTION: Infested / Under Cover</t>
        </is>
      </c>
      <c r="B42" s="287" t="n"/>
      <c r="C42" s="287" t="n"/>
      <c r="D42" s="287" t="n"/>
      <c r="E42" s="287" t="n"/>
      <c r="F42" s="287" t="n"/>
      <c r="G42" s="287" t="n"/>
      <c r="H42" s="287" t="n"/>
      <c r="I42" s="287" t="n"/>
      <c r="J42" s="287" t="n"/>
      <c r="K42" s="287" t="n"/>
      <c r="L42" s="287" t="n"/>
      <c r="M42" s="287" t="n"/>
      <c r="N42" s="289" t="n"/>
      <c r="O42" s="148" t="n"/>
      <c r="P42" s="148" t="n"/>
      <c r="Q42" s="148" t="n"/>
      <c r="R42" s="148" t="n"/>
      <c r="S42" s="148" t="n"/>
      <c r="T42" s="148" t="n"/>
      <c r="U42" s="149">
        <f>IF(AND('Master Stock'!D42&lt;&gt;"",'Master Stock'!H42="OCCUPIED",ISNUMBER('Master Stock'!J42),'Master Stock'!K42=""),SUMPRODUCT(--('Master Stock'!$D$2:$D$1000&lt;&gt;""),--('Master Stock'!$H$2:$H$1000="OCCUPIED"),--ISNUMBER('Master Stock'!$J$2:$J$1000),--('Master Stock'!$K$2:$K$1000=""),--('Master Stock'!$J$2:$J$1000&lt;'Master Stock'!J42))+COUNTIFS('Master Stock'!$J$2:J42,'Master Stock'!J42,'Master Stock'!$D$2:D42,"&lt;&gt;",'Master Stock'!$H$2:H42,"OCCUPIED",'Master Stock'!$K$2:K42,""),"")</f>
        <v/>
      </c>
      <c r="V42" s="149">
        <f>IF(AND('Master Stock'!D42&lt;&gt;"",'Master Stock'!H42="OCCUPIED",ISNUMBER('Master Stock'!L42),'Master Stock'!L42&lt;TODAY()-30),SUMPRODUCT(--('Master Stock'!$D$2:$D$1000&lt;&gt;""),--('Master Stock'!$H$2:$H$1000="OCCUPIED"),--ISNUMBER('Master Stock'!$L$2:$L$1000),--('Master Stock'!$L$2:$L$1000&lt;TODAY()-30),--('Master Stock'!$L$2:$L$1000&lt;'Master Stock'!L42))+COUNTIFS('Master Stock'!$L$2:L42,'Master Stock'!L42,'Master Stock'!$D$2:D42,"&lt;&gt;",'Master Stock'!$H$2:H42,"OCCUPIED"),"")</f>
        <v/>
      </c>
      <c r="W42" s="149" t="n"/>
      <c r="X42" s="149" t="n"/>
      <c r="Y42" s="149" t="n"/>
      <c r="Z42" s="149" t="n"/>
    </row>
    <row r="43" ht="24.75" customHeight="1" s="236">
      <c r="A43" s="290" t="inlineStr">
        <is>
          <t>Shambhu Dayal Meena TA-II FSD Sabarmati</t>
        </is>
      </c>
      <c r="B43" s="291" t="n"/>
      <c r="C43" s="291" t="n"/>
      <c r="D43" s="291" t="n"/>
      <c r="E43" s="291" t="n"/>
      <c r="F43" s="291" t="n"/>
      <c r="G43" s="291" t="n"/>
      <c r="H43" s="291" t="n"/>
      <c r="I43" s="291" t="n"/>
      <c r="J43" s="291" t="n"/>
      <c r="K43" s="291" t="n"/>
      <c r="L43" s="291" t="n"/>
      <c r="M43" s="291" t="n"/>
      <c r="N43" s="293" t="n"/>
      <c r="O43" s="148" t="n"/>
      <c r="P43" s="148" t="n"/>
      <c r="Q43" s="148" t="n"/>
      <c r="R43" s="148" t="n"/>
      <c r="S43" s="148" t="n"/>
      <c r="T43" s="148" t="n"/>
      <c r="U43" s="149">
        <f>IF(AND('Master Stock'!D43&lt;&gt;"",'Master Stock'!H43="OCCUPIED",ISNUMBER('Master Stock'!J43),'Master Stock'!K43=""),SUMPRODUCT(--('Master Stock'!$D$2:$D$1000&lt;&gt;""),--('Master Stock'!$H$2:$H$1000="OCCUPIED"),--ISNUMBER('Master Stock'!$J$2:$J$1000),--('Master Stock'!$K$2:$K$1000=""),--('Master Stock'!$J$2:$J$1000&lt;'Master Stock'!J43))+COUNTIFS('Master Stock'!$J$2:J43,'Master Stock'!J43,'Master Stock'!$D$2:D43,"&lt;&gt;",'Master Stock'!$H$2:H43,"OCCUPIED",'Master Stock'!$K$2:K43,""),"")</f>
        <v/>
      </c>
      <c r="V43" s="149">
        <f>IF(AND('Master Stock'!D43&lt;&gt;"",'Master Stock'!H43="OCCUPIED",ISNUMBER('Master Stock'!L43),'Master Stock'!L43&lt;TODAY()-30),SUMPRODUCT(--('Master Stock'!$D$2:$D$1000&lt;&gt;""),--('Master Stock'!$H$2:$H$1000="OCCUPIED"),--ISNUMBER('Master Stock'!$L$2:$L$1000),--('Master Stock'!$L$2:$L$1000&lt;TODAY()-30),--('Master Stock'!$L$2:$L$1000&lt;'Master Stock'!L43))+COUNTIFS('Master Stock'!$L$2:L43,'Master Stock'!L43,'Master Stock'!$D$2:D43,"&lt;&gt;",'Master Stock'!$H$2:H43,"OCCUPIED"),"")</f>
        <v/>
      </c>
      <c r="W43" s="149" t="n"/>
      <c r="X43" s="149" t="n"/>
      <c r="Y43" s="149" t="n"/>
      <c r="Z43" s="149" t="n"/>
    </row>
    <row r="44" ht="15.75" customHeight="1" s="236">
      <c r="A44" s="148" t="n"/>
      <c r="B44" s="148" t="n"/>
      <c r="C44" s="124" t="n"/>
      <c r="D44" s="148" t="n"/>
      <c r="E44" s="148" t="n"/>
      <c r="F44" s="148" t="n"/>
      <c r="G44" s="124" t="n"/>
      <c r="H44" s="148" t="n"/>
      <c r="I44" s="148" t="n"/>
      <c r="J44" s="148" t="n"/>
      <c r="K44" s="148" t="n"/>
      <c r="L44" s="148" t="n"/>
      <c r="M44" s="148" t="n"/>
      <c r="N44" s="148" t="n"/>
      <c r="O44" s="148" t="n"/>
      <c r="P44" s="148" t="n"/>
      <c r="Q44" s="148" t="n"/>
      <c r="R44" s="148" t="n"/>
      <c r="S44" s="148" t="n"/>
      <c r="T44" s="148" t="n"/>
      <c r="U44" s="149">
        <f>IF(AND('Master Stock'!D44&lt;&gt;"",'Master Stock'!H44="OCCUPIED",ISNUMBER('Master Stock'!J44),'Master Stock'!K44=""),SUMPRODUCT(--('Master Stock'!$D$2:$D$1000&lt;&gt;""),--('Master Stock'!$H$2:$H$1000="OCCUPIED"),--ISNUMBER('Master Stock'!$J$2:$J$1000),--('Master Stock'!$K$2:$K$1000=""),--('Master Stock'!$J$2:$J$1000&lt;'Master Stock'!J44))+COUNTIFS('Master Stock'!$J$2:J44,'Master Stock'!J44,'Master Stock'!$D$2:D44,"&lt;&gt;",'Master Stock'!$H$2:H44,"OCCUPIED",'Master Stock'!$K$2:K44,""),"")</f>
        <v/>
      </c>
      <c r="V44" s="149">
        <f>IF(AND('Master Stock'!D44&lt;&gt;"",'Master Stock'!H44="OCCUPIED",ISNUMBER('Master Stock'!L44),'Master Stock'!L44&lt;TODAY()-30),SUMPRODUCT(--('Master Stock'!$D$2:$D$1000&lt;&gt;""),--('Master Stock'!$H$2:$H$1000="OCCUPIED"),--ISNUMBER('Master Stock'!$L$2:$L$1000),--('Master Stock'!$L$2:$L$1000&lt;TODAY()-30),--('Master Stock'!$L$2:$L$1000&lt;'Master Stock'!L44))+COUNTIFS('Master Stock'!$L$2:L44,'Master Stock'!L44,'Master Stock'!$D$2:D44,"&lt;&gt;",'Master Stock'!$H$2:H44,"OCCUPIED"),"")</f>
        <v/>
      </c>
      <c r="W44" s="149" t="n"/>
      <c r="X44" s="149" t="n"/>
      <c r="Y44" s="149" t="n"/>
      <c r="Z44" s="149" t="n"/>
    </row>
    <row r="45" ht="15.75" customHeight="1" s="236">
      <c r="A45" s="148" t="n"/>
      <c r="B45" s="148" t="n"/>
      <c r="C45" s="124" t="n"/>
      <c r="D45" s="148" t="n"/>
      <c r="E45" s="148" t="n"/>
      <c r="F45" s="148" t="n"/>
      <c r="G45" s="124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8" t="n"/>
      <c r="S45" s="148" t="n"/>
      <c r="T45" s="148" t="n"/>
      <c r="U45" s="149">
        <f>IF(AND('Master Stock'!D45&lt;&gt;"",'Master Stock'!H45="OCCUPIED",ISNUMBER('Master Stock'!J45),'Master Stock'!K45=""),SUMPRODUCT(--('Master Stock'!$D$2:$D$1000&lt;&gt;""),--('Master Stock'!$H$2:$H$1000="OCCUPIED"),--ISNUMBER('Master Stock'!$J$2:$J$1000),--('Master Stock'!$K$2:$K$1000=""),--('Master Stock'!$J$2:$J$1000&lt;'Master Stock'!J45))+COUNTIFS('Master Stock'!$J$2:J45,'Master Stock'!J45,'Master Stock'!$D$2:D45,"&lt;&gt;",'Master Stock'!$H$2:H45,"OCCUPIED",'Master Stock'!$K$2:K45,""),"")</f>
        <v/>
      </c>
      <c r="V45" s="149">
        <f>IF(AND('Master Stock'!D45&lt;&gt;"",'Master Stock'!H45="OCCUPIED",ISNUMBER('Master Stock'!L45),'Master Stock'!L45&lt;TODAY()-30),SUMPRODUCT(--('Master Stock'!$D$2:$D$1000&lt;&gt;""),--('Master Stock'!$H$2:$H$1000="OCCUPIED"),--ISNUMBER('Master Stock'!$L$2:$L$1000),--('Master Stock'!$L$2:$L$1000&lt;TODAY()-30),--('Master Stock'!$L$2:$L$1000&lt;'Master Stock'!L45))+COUNTIFS('Master Stock'!$L$2:L45,'Master Stock'!L45,'Master Stock'!$D$2:D45,"&lt;&gt;",'Master Stock'!$H$2:H45,"OCCUPIED"),"")</f>
        <v/>
      </c>
      <c r="W45" s="149" t="n"/>
      <c r="X45" s="149" t="n"/>
      <c r="Y45" s="149" t="n"/>
      <c r="Z45" s="149" t="n"/>
    </row>
    <row r="46" ht="15.75" customHeight="1" s="236">
      <c r="A46" s="148" t="n"/>
      <c r="B46" s="148" t="n"/>
      <c r="C46" s="124" t="n"/>
      <c r="D46" s="148" t="n"/>
      <c r="E46" s="148" t="n"/>
      <c r="F46" s="148" t="n"/>
      <c r="G46" s="124" t="n"/>
      <c r="H46" s="148" t="n"/>
      <c r="I46" s="148" t="n"/>
      <c r="J46" s="148" t="n"/>
      <c r="K46" s="148" t="n"/>
      <c r="L46" s="148" t="n"/>
      <c r="M46" s="148" t="n"/>
      <c r="N46" s="148" t="n"/>
      <c r="O46" s="148" t="n"/>
      <c r="P46" s="148" t="n"/>
      <c r="Q46" s="148" t="n"/>
      <c r="R46" s="148" t="n"/>
      <c r="S46" s="148" t="n"/>
      <c r="T46" s="148" t="n"/>
      <c r="U46" s="149">
        <f>IF(AND('Master Stock'!D46&lt;&gt;"",'Master Stock'!H46="OCCUPIED",ISNUMBER('Master Stock'!J46),'Master Stock'!K46=""),SUMPRODUCT(--('Master Stock'!$D$2:$D$1000&lt;&gt;""),--('Master Stock'!$H$2:$H$1000="OCCUPIED"),--ISNUMBER('Master Stock'!$J$2:$J$1000),--('Master Stock'!$K$2:$K$1000=""),--('Master Stock'!$J$2:$J$1000&lt;'Master Stock'!J46))+COUNTIFS('Master Stock'!$J$2:J46,'Master Stock'!J46,'Master Stock'!$D$2:D46,"&lt;&gt;",'Master Stock'!$H$2:H46,"OCCUPIED",'Master Stock'!$K$2:K46,""),"")</f>
        <v/>
      </c>
      <c r="V46" s="149">
        <f>IF(AND('Master Stock'!D46&lt;&gt;"",'Master Stock'!H46="OCCUPIED",ISNUMBER('Master Stock'!L46),'Master Stock'!L46&lt;TODAY()-30),SUMPRODUCT(--('Master Stock'!$D$2:$D$1000&lt;&gt;""),--('Master Stock'!$H$2:$H$1000="OCCUPIED"),--ISNUMBER('Master Stock'!$L$2:$L$1000),--('Master Stock'!$L$2:$L$1000&lt;TODAY()-30),--('Master Stock'!$L$2:$L$1000&lt;'Master Stock'!L46))+COUNTIFS('Master Stock'!$L$2:L46,'Master Stock'!L46,'Master Stock'!$D$2:D46,"&lt;&gt;",'Master Stock'!$H$2:H46,"OCCUPIED"),"")</f>
        <v/>
      </c>
      <c r="W46" s="149" t="n"/>
      <c r="X46" s="149" t="n"/>
      <c r="Y46" s="149" t="n"/>
      <c r="Z46" s="149" t="n"/>
    </row>
    <row r="47" ht="15.75" customHeight="1" s="236">
      <c r="A47" s="148" t="n"/>
      <c r="B47" s="148" t="n"/>
      <c r="C47" s="124" t="n"/>
      <c r="D47" s="148" t="n"/>
      <c r="E47" s="148" t="n"/>
      <c r="F47" s="148" t="n"/>
      <c r="G47" s="124" t="n"/>
      <c r="H47" s="148" t="n"/>
      <c r="I47" s="148" t="n"/>
      <c r="J47" s="148" t="n"/>
      <c r="K47" s="148" t="n"/>
      <c r="L47" s="148" t="n"/>
      <c r="M47" s="148" t="n"/>
      <c r="N47" s="148" t="n"/>
      <c r="O47" s="148" t="n"/>
      <c r="P47" s="148" t="n"/>
      <c r="Q47" s="148" t="n"/>
      <c r="R47" s="148" t="n"/>
      <c r="S47" s="148" t="n"/>
      <c r="T47" s="148" t="n"/>
      <c r="U47" s="149">
        <f>IF(AND('Master Stock'!D47&lt;&gt;"",'Master Stock'!H47="OCCUPIED",ISNUMBER('Master Stock'!J47),'Master Stock'!K47=""),SUMPRODUCT(--('Master Stock'!$D$2:$D$1000&lt;&gt;""),--('Master Stock'!$H$2:$H$1000="OCCUPIED"),--ISNUMBER('Master Stock'!$J$2:$J$1000),--('Master Stock'!$K$2:$K$1000=""),--('Master Stock'!$J$2:$J$1000&lt;'Master Stock'!J47))+COUNTIFS('Master Stock'!$J$2:J47,'Master Stock'!J47,'Master Stock'!$D$2:D47,"&lt;&gt;",'Master Stock'!$H$2:H47,"OCCUPIED",'Master Stock'!$K$2:K47,""),"")</f>
        <v/>
      </c>
      <c r="V47" s="149">
        <f>IF(AND('Master Stock'!D47&lt;&gt;"",'Master Stock'!H47="OCCUPIED",ISNUMBER('Master Stock'!L47),'Master Stock'!L47&lt;TODAY()-30),SUMPRODUCT(--('Master Stock'!$D$2:$D$1000&lt;&gt;""),--('Master Stock'!$H$2:$H$1000="OCCUPIED"),--ISNUMBER('Master Stock'!$L$2:$L$1000),--('Master Stock'!$L$2:$L$1000&lt;TODAY()-30),--('Master Stock'!$L$2:$L$1000&lt;'Master Stock'!L47))+COUNTIFS('Master Stock'!$L$2:L47,'Master Stock'!L47,'Master Stock'!$D$2:D47,"&lt;&gt;",'Master Stock'!$H$2:H47,"OCCUPIED"),"")</f>
        <v/>
      </c>
      <c r="W47" s="149" t="n"/>
      <c r="X47" s="149" t="n"/>
      <c r="Y47" s="149" t="n"/>
      <c r="Z47" s="149" t="n"/>
    </row>
    <row r="48" ht="15.75" customHeight="1" s="236">
      <c r="A48" s="148" t="n"/>
      <c r="B48" s="148" t="n"/>
      <c r="C48" s="124" t="n"/>
      <c r="D48" s="148" t="n"/>
      <c r="E48" s="148" t="n"/>
      <c r="F48" s="148" t="n"/>
      <c r="G48" s="124" t="n"/>
      <c r="H48" s="148" t="n"/>
      <c r="I48" s="148" t="n"/>
      <c r="J48" s="148" t="n"/>
      <c r="K48" s="148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9">
        <f>IF(AND('Master Stock'!D48&lt;&gt;"",'Master Stock'!H48="OCCUPIED",ISNUMBER('Master Stock'!J48),'Master Stock'!K48=""),SUMPRODUCT(--('Master Stock'!$D$2:$D$1000&lt;&gt;""),--('Master Stock'!$H$2:$H$1000="OCCUPIED"),--ISNUMBER('Master Stock'!$J$2:$J$1000),--('Master Stock'!$K$2:$K$1000=""),--('Master Stock'!$J$2:$J$1000&lt;'Master Stock'!J48))+COUNTIFS('Master Stock'!$J$2:J48,'Master Stock'!J48,'Master Stock'!$D$2:D48,"&lt;&gt;",'Master Stock'!$H$2:H48,"OCCUPIED",'Master Stock'!$K$2:K48,""),"")</f>
        <v/>
      </c>
      <c r="V48" s="149">
        <f>IF(AND('Master Stock'!D48&lt;&gt;"",'Master Stock'!H48="OCCUPIED",ISNUMBER('Master Stock'!L48),'Master Stock'!L48&lt;TODAY()-30),SUMPRODUCT(--('Master Stock'!$D$2:$D$1000&lt;&gt;""),--('Master Stock'!$H$2:$H$1000="OCCUPIED"),--ISNUMBER('Master Stock'!$L$2:$L$1000),--('Master Stock'!$L$2:$L$1000&lt;TODAY()-30),--('Master Stock'!$L$2:$L$1000&lt;'Master Stock'!L48))+COUNTIFS('Master Stock'!$L$2:L48,'Master Stock'!L48,'Master Stock'!$D$2:D48,"&lt;&gt;",'Master Stock'!$H$2:H48,"OCCUPIED"),"")</f>
        <v/>
      </c>
      <c r="W48" s="149" t="n"/>
      <c r="X48" s="149" t="n"/>
      <c r="Y48" s="149" t="n"/>
      <c r="Z48" s="149" t="n"/>
    </row>
    <row r="49" ht="15.75" customHeight="1" s="236">
      <c r="A49" s="148" t="n"/>
      <c r="B49" s="148" t="n"/>
      <c r="C49" s="124" t="n"/>
      <c r="D49" s="148" t="n"/>
      <c r="E49" s="148" t="n"/>
      <c r="F49" s="148" t="n"/>
      <c r="G49" s="124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49">
        <f>IF(AND('Master Stock'!D49&lt;&gt;"",'Master Stock'!H49="OCCUPIED",ISNUMBER('Master Stock'!J49),'Master Stock'!K49=""),SUMPRODUCT(--('Master Stock'!$D$2:$D$1000&lt;&gt;""),--('Master Stock'!$H$2:$H$1000="OCCUPIED"),--ISNUMBER('Master Stock'!$J$2:$J$1000),--('Master Stock'!$K$2:$K$1000=""),--('Master Stock'!$J$2:$J$1000&lt;'Master Stock'!J49))+COUNTIFS('Master Stock'!$J$2:J49,'Master Stock'!J49,'Master Stock'!$D$2:D49,"&lt;&gt;",'Master Stock'!$H$2:H49,"OCCUPIED",'Master Stock'!$K$2:K49,""),"")</f>
        <v/>
      </c>
      <c r="V49" s="149">
        <f>IF(AND('Master Stock'!D49&lt;&gt;"",'Master Stock'!H49="OCCUPIED",ISNUMBER('Master Stock'!L49),'Master Stock'!L49&lt;TODAY()-30),SUMPRODUCT(--('Master Stock'!$D$2:$D$1000&lt;&gt;""),--('Master Stock'!$H$2:$H$1000="OCCUPIED"),--ISNUMBER('Master Stock'!$L$2:$L$1000),--('Master Stock'!$L$2:$L$1000&lt;TODAY()-30),--('Master Stock'!$L$2:$L$1000&lt;'Master Stock'!L49))+COUNTIFS('Master Stock'!$L$2:L49,'Master Stock'!L49,'Master Stock'!$D$2:D49,"&lt;&gt;",'Master Stock'!$H$2:H49,"OCCUPIED"),"")</f>
        <v/>
      </c>
      <c r="W49" s="149" t="n"/>
      <c r="X49" s="149" t="n"/>
      <c r="Y49" s="149" t="n"/>
      <c r="Z49" s="149" t="n"/>
    </row>
    <row r="50" ht="15.75" customHeight="1" s="236">
      <c r="A50" s="148" t="n"/>
      <c r="B50" s="148" t="n"/>
      <c r="C50" s="124" t="n"/>
      <c r="D50" s="148" t="n"/>
      <c r="E50" s="148" t="n"/>
      <c r="F50" s="148" t="n"/>
      <c r="G50" s="124" t="n"/>
      <c r="H50" s="148" t="n"/>
      <c r="I50" s="148" t="n"/>
      <c r="J50" s="148" t="n"/>
      <c r="K50" s="148" t="n"/>
      <c r="L50" s="148" t="n"/>
      <c r="M50" s="148" t="n"/>
      <c r="N50" s="148" t="n"/>
      <c r="O50" s="148" t="n"/>
      <c r="P50" s="148" t="n"/>
      <c r="Q50" s="148" t="n"/>
      <c r="R50" s="148" t="n"/>
      <c r="S50" s="148" t="n"/>
      <c r="T50" s="148" t="n"/>
      <c r="U50" s="149">
        <f>IF(AND('Master Stock'!D50&lt;&gt;"",'Master Stock'!H50="OCCUPIED",ISNUMBER('Master Stock'!J50),'Master Stock'!K50=""),SUMPRODUCT(--('Master Stock'!$D$2:$D$1000&lt;&gt;""),--('Master Stock'!$H$2:$H$1000="OCCUPIED"),--ISNUMBER('Master Stock'!$J$2:$J$1000),--('Master Stock'!$K$2:$K$1000=""),--('Master Stock'!$J$2:$J$1000&lt;'Master Stock'!J50))+COUNTIFS('Master Stock'!$J$2:J50,'Master Stock'!J50,'Master Stock'!$D$2:D50,"&lt;&gt;",'Master Stock'!$H$2:H50,"OCCUPIED",'Master Stock'!$K$2:K50,""),"")</f>
        <v/>
      </c>
      <c r="V50" s="149">
        <f>IF(AND('Master Stock'!D50&lt;&gt;"",'Master Stock'!H50="OCCUPIED",ISNUMBER('Master Stock'!L50),'Master Stock'!L50&lt;TODAY()-30),SUMPRODUCT(--('Master Stock'!$D$2:$D$1000&lt;&gt;""),--('Master Stock'!$H$2:$H$1000="OCCUPIED"),--ISNUMBER('Master Stock'!$L$2:$L$1000),--('Master Stock'!$L$2:$L$1000&lt;TODAY()-30),--('Master Stock'!$L$2:$L$1000&lt;'Master Stock'!L50))+COUNTIFS('Master Stock'!$L$2:L50,'Master Stock'!L50,'Master Stock'!$D$2:D50,"&lt;&gt;",'Master Stock'!$H$2:H50,"OCCUPIED"),"")</f>
        <v/>
      </c>
      <c r="W50" s="149" t="n"/>
      <c r="X50" s="149" t="n"/>
      <c r="Y50" s="149" t="n"/>
      <c r="Z50" s="149" t="n"/>
    </row>
    <row r="51" ht="15.75" customHeight="1" s="236">
      <c r="A51" s="148" t="n"/>
      <c r="B51" s="148" t="n"/>
      <c r="C51" s="124" t="n"/>
      <c r="D51" s="148" t="n"/>
      <c r="E51" s="148" t="n"/>
      <c r="F51" s="148" t="n"/>
      <c r="G51" s="124" t="n"/>
      <c r="H51" s="148" t="n"/>
      <c r="I51" s="148" t="n"/>
      <c r="J51" s="148" t="n"/>
      <c r="K51" s="148" t="n"/>
      <c r="L51" s="148" t="n"/>
      <c r="M51" s="148" t="n"/>
      <c r="N51" s="148" t="n"/>
      <c r="O51" s="148" t="n"/>
      <c r="P51" s="148" t="n"/>
      <c r="Q51" s="148" t="n"/>
      <c r="R51" s="148" t="n"/>
      <c r="S51" s="148" t="n"/>
      <c r="T51" s="148" t="n"/>
      <c r="U51" s="149">
        <f>IF(AND('Master Stock'!D51&lt;&gt;"",'Master Stock'!H51="OCCUPIED",ISNUMBER('Master Stock'!J51),'Master Stock'!K51=""),SUMPRODUCT(--('Master Stock'!$D$2:$D$1000&lt;&gt;""),--('Master Stock'!$H$2:$H$1000="OCCUPIED"),--ISNUMBER('Master Stock'!$J$2:$J$1000),--('Master Stock'!$K$2:$K$1000=""),--('Master Stock'!$J$2:$J$1000&lt;'Master Stock'!J51))+COUNTIFS('Master Stock'!$J$2:J51,'Master Stock'!J51,'Master Stock'!$D$2:D51,"&lt;&gt;",'Master Stock'!$H$2:H51,"OCCUPIED",'Master Stock'!$K$2:K51,""),"")</f>
        <v/>
      </c>
      <c r="V51" s="149">
        <f>IF(AND('Master Stock'!D51&lt;&gt;"",'Master Stock'!H51="OCCUPIED",ISNUMBER('Master Stock'!L51),'Master Stock'!L51&lt;TODAY()-30),SUMPRODUCT(--('Master Stock'!$D$2:$D$1000&lt;&gt;""),--('Master Stock'!$H$2:$H$1000="OCCUPIED"),--ISNUMBER('Master Stock'!$L$2:$L$1000),--('Master Stock'!$L$2:$L$1000&lt;TODAY()-30),--('Master Stock'!$L$2:$L$1000&lt;'Master Stock'!L51))+COUNTIFS('Master Stock'!$L$2:L51,'Master Stock'!L51,'Master Stock'!$D$2:D51,"&lt;&gt;",'Master Stock'!$H$2:H51,"OCCUPIED"),"")</f>
        <v/>
      </c>
      <c r="W51" s="149" t="n"/>
      <c r="X51" s="149" t="n"/>
      <c r="Y51" s="149" t="n"/>
      <c r="Z51" s="149" t="n"/>
    </row>
    <row r="52" ht="15.75" customHeight="1" s="236">
      <c r="A52" s="148" t="n"/>
      <c r="B52" s="148" t="n"/>
      <c r="C52" s="124" t="n"/>
      <c r="D52" s="148" t="n"/>
      <c r="E52" s="148" t="n"/>
      <c r="F52" s="148" t="n"/>
      <c r="G52" s="124" t="n"/>
      <c r="H52" s="148" t="n"/>
      <c r="I52" s="148" t="n"/>
      <c r="J52" s="148" t="n"/>
      <c r="K52" s="148" t="n"/>
      <c r="L52" s="148" t="n"/>
      <c r="M52" s="148" t="n"/>
      <c r="N52" s="148" t="n"/>
      <c r="O52" s="148" t="n"/>
      <c r="P52" s="148" t="n"/>
      <c r="Q52" s="148" t="n"/>
      <c r="R52" s="148" t="n"/>
      <c r="S52" s="148" t="n"/>
      <c r="T52" s="148" t="n"/>
      <c r="U52" s="149">
        <f>IF(AND('Master Stock'!D52&lt;&gt;"",'Master Stock'!H52="OCCUPIED",ISNUMBER('Master Stock'!J52),'Master Stock'!K52=""),SUMPRODUCT(--('Master Stock'!$D$2:$D$1000&lt;&gt;""),--('Master Stock'!$H$2:$H$1000="OCCUPIED"),--ISNUMBER('Master Stock'!$J$2:$J$1000),--('Master Stock'!$K$2:$K$1000=""),--('Master Stock'!$J$2:$J$1000&lt;'Master Stock'!J52))+COUNTIFS('Master Stock'!$J$2:J52,'Master Stock'!J52,'Master Stock'!$D$2:D52,"&lt;&gt;",'Master Stock'!$H$2:H52,"OCCUPIED",'Master Stock'!$K$2:K52,""),"")</f>
        <v/>
      </c>
      <c r="V52" s="149">
        <f>IF(AND('Master Stock'!D52&lt;&gt;"",'Master Stock'!H52="OCCUPIED",ISNUMBER('Master Stock'!L52),'Master Stock'!L52&lt;TODAY()-30),SUMPRODUCT(--('Master Stock'!$D$2:$D$1000&lt;&gt;""),--('Master Stock'!$H$2:$H$1000="OCCUPIED"),--ISNUMBER('Master Stock'!$L$2:$L$1000),--('Master Stock'!$L$2:$L$1000&lt;TODAY()-30),--('Master Stock'!$L$2:$L$1000&lt;'Master Stock'!L52))+COUNTIFS('Master Stock'!$L$2:L52,'Master Stock'!L52,'Master Stock'!$D$2:D52,"&lt;&gt;",'Master Stock'!$H$2:H52,"OCCUPIED"),"")</f>
        <v/>
      </c>
      <c r="W52" s="149" t="n"/>
      <c r="X52" s="149" t="n"/>
      <c r="Y52" s="149" t="n"/>
      <c r="Z52" s="149" t="n"/>
    </row>
    <row r="53" ht="15.75" customHeight="1" s="236">
      <c r="A53" s="148" t="n"/>
      <c r="B53" s="148" t="n"/>
      <c r="C53" s="124" t="n"/>
      <c r="D53" s="148" t="n"/>
      <c r="E53" s="148" t="n"/>
      <c r="F53" s="148" t="n"/>
      <c r="G53" s="124" t="n"/>
      <c r="H53" s="148" t="n"/>
      <c r="I53" s="148" t="n"/>
      <c r="J53" s="148" t="n"/>
      <c r="K53" s="148" t="n"/>
      <c r="L53" s="148" t="n"/>
      <c r="M53" s="148" t="n"/>
      <c r="N53" s="148" t="n"/>
      <c r="O53" s="148" t="n"/>
      <c r="P53" s="148" t="n"/>
      <c r="Q53" s="148" t="n"/>
      <c r="R53" s="148" t="n"/>
      <c r="S53" s="148" t="n"/>
      <c r="T53" s="148" t="n"/>
      <c r="U53" s="149">
        <f>IF(AND('Master Stock'!D53&lt;&gt;"",'Master Stock'!H53="OCCUPIED",ISNUMBER('Master Stock'!J53),'Master Stock'!K53=""),SUMPRODUCT(--('Master Stock'!$D$2:$D$1000&lt;&gt;""),--('Master Stock'!$H$2:$H$1000="OCCUPIED"),--ISNUMBER('Master Stock'!$J$2:$J$1000),--('Master Stock'!$K$2:$K$1000=""),--('Master Stock'!$J$2:$J$1000&lt;'Master Stock'!J53))+COUNTIFS('Master Stock'!$J$2:J53,'Master Stock'!J53,'Master Stock'!$D$2:D53,"&lt;&gt;",'Master Stock'!$H$2:H53,"OCCUPIED",'Master Stock'!$K$2:K53,""),"")</f>
        <v/>
      </c>
      <c r="V53" s="149">
        <f>IF(AND('Master Stock'!D53&lt;&gt;"",'Master Stock'!H53="OCCUPIED",ISNUMBER('Master Stock'!L53),'Master Stock'!L53&lt;TODAY()-30),SUMPRODUCT(--('Master Stock'!$D$2:$D$1000&lt;&gt;""),--('Master Stock'!$H$2:$H$1000="OCCUPIED"),--ISNUMBER('Master Stock'!$L$2:$L$1000),--('Master Stock'!$L$2:$L$1000&lt;TODAY()-30),--('Master Stock'!$L$2:$L$1000&lt;'Master Stock'!L53))+COUNTIFS('Master Stock'!$L$2:L53,'Master Stock'!L53,'Master Stock'!$D$2:D53,"&lt;&gt;",'Master Stock'!$H$2:H53,"OCCUPIED"),"")</f>
        <v/>
      </c>
      <c r="W53" s="149" t="n"/>
      <c r="X53" s="149" t="n"/>
      <c r="Y53" s="149" t="n"/>
      <c r="Z53" s="149" t="n"/>
    </row>
    <row r="54" ht="15.75" customHeight="1" s="236">
      <c r="A54" s="148" t="n"/>
      <c r="B54" s="148" t="n"/>
      <c r="C54" s="124" t="n"/>
      <c r="D54" s="148" t="n"/>
      <c r="E54" s="148" t="n"/>
      <c r="F54" s="148" t="n"/>
      <c r="G54" s="124" t="n"/>
      <c r="H54" s="148" t="n"/>
      <c r="I54" s="148" t="n"/>
      <c r="J54" s="148" t="n"/>
      <c r="K54" s="148" t="n"/>
      <c r="L54" s="148" t="n"/>
      <c r="M54" s="148" t="n"/>
      <c r="N54" s="148" t="n"/>
      <c r="O54" s="148" t="n"/>
      <c r="P54" s="148" t="n"/>
      <c r="Q54" s="148" t="n"/>
      <c r="R54" s="148" t="n"/>
      <c r="S54" s="148" t="n"/>
      <c r="T54" s="148" t="n"/>
      <c r="U54" s="149">
        <f>IF(AND('Master Stock'!D54&lt;&gt;"",'Master Stock'!H54="OCCUPIED",ISNUMBER('Master Stock'!J54),'Master Stock'!K54=""),SUMPRODUCT(--('Master Stock'!$D$2:$D$1000&lt;&gt;""),--('Master Stock'!$H$2:$H$1000="OCCUPIED"),--ISNUMBER('Master Stock'!$J$2:$J$1000),--('Master Stock'!$K$2:$K$1000=""),--('Master Stock'!$J$2:$J$1000&lt;'Master Stock'!J54))+COUNTIFS('Master Stock'!$J$2:J54,'Master Stock'!J54,'Master Stock'!$D$2:D54,"&lt;&gt;",'Master Stock'!$H$2:H54,"OCCUPIED",'Master Stock'!$K$2:K54,""),"")</f>
        <v/>
      </c>
      <c r="V54" s="149">
        <f>IF(AND('Master Stock'!D54&lt;&gt;"",'Master Stock'!H54="OCCUPIED",ISNUMBER('Master Stock'!L54),'Master Stock'!L54&lt;TODAY()-30),SUMPRODUCT(--('Master Stock'!$D$2:$D$1000&lt;&gt;""),--('Master Stock'!$H$2:$H$1000="OCCUPIED"),--ISNUMBER('Master Stock'!$L$2:$L$1000),--('Master Stock'!$L$2:$L$1000&lt;TODAY()-30),--('Master Stock'!$L$2:$L$1000&lt;'Master Stock'!L54))+COUNTIFS('Master Stock'!$L$2:L54,'Master Stock'!L54,'Master Stock'!$D$2:D54,"&lt;&gt;",'Master Stock'!$H$2:H54,"OCCUPIED"),"")</f>
        <v/>
      </c>
      <c r="W54" s="149" t="n"/>
      <c r="X54" s="149" t="n"/>
      <c r="Y54" s="149" t="n"/>
      <c r="Z54" s="149" t="n"/>
    </row>
    <row r="55" ht="15.75" customHeight="1" s="236">
      <c r="A55" s="148" t="n"/>
      <c r="B55" s="148" t="n"/>
      <c r="C55" s="124" t="n"/>
      <c r="D55" s="148" t="n"/>
      <c r="E55" s="148" t="n"/>
      <c r="F55" s="148" t="n"/>
      <c r="G55" s="124" t="n"/>
      <c r="H55" s="148" t="n"/>
      <c r="I55" s="148" t="n"/>
      <c r="J55" s="148" t="n"/>
      <c r="K55" s="148" t="n"/>
      <c r="L55" s="148" t="n"/>
      <c r="M55" s="148" t="n"/>
      <c r="N55" s="148" t="n"/>
      <c r="O55" s="148" t="n"/>
      <c r="P55" s="148" t="n"/>
      <c r="Q55" s="148" t="n"/>
      <c r="R55" s="148" t="n"/>
      <c r="S55" s="148" t="n"/>
      <c r="T55" s="148" t="n"/>
      <c r="U55" s="149">
        <f>IF(AND('Master Stock'!D55&lt;&gt;"",'Master Stock'!H55="OCCUPIED",ISNUMBER('Master Stock'!J55),'Master Stock'!K55=""),SUMPRODUCT(--('Master Stock'!$D$2:$D$1000&lt;&gt;""),--('Master Stock'!$H$2:$H$1000="OCCUPIED"),--ISNUMBER('Master Stock'!$J$2:$J$1000),--('Master Stock'!$K$2:$K$1000=""),--('Master Stock'!$J$2:$J$1000&lt;'Master Stock'!J55))+COUNTIFS('Master Stock'!$J$2:J55,'Master Stock'!J55,'Master Stock'!$D$2:D55,"&lt;&gt;",'Master Stock'!$H$2:H55,"OCCUPIED",'Master Stock'!$K$2:K55,""),"")</f>
        <v/>
      </c>
      <c r="V55" s="149">
        <f>IF(AND('Master Stock'!D55&lt;&gt;"",'Master Stock'!H55="OCCUPIED",ISNUMBER('Master Stock'!L55),'Master Stock'!L55&lt;TODAY()-30),SUMPRODUCT(--('Master Stock'!$D$2:$D$1000&lt;&gt;""),--('Master Stock'!$H$2:$H$1000="OCCUPIED"),--ISNUMBER('Master Stock'!$L$2:$L$1000),--('Master Stock'!$L$2:$L$1000&lt;TODAY()-30),--('Master Stock'!$L$2:$L$1000&lt;'Master Stock'!L55))+COUNTIFS('Master Stock'!$L$2:L55,'Master Stock'!L55,'Master Stock'!$D$2:D55,"&lt;&gt;",'Master Stock'!$H$2:H55,"OCCUPIED"),"")</f>
        <v/>
      </c>
      <c r="W55" s="149" t="n"/>
      <c r="X55" s="149" t="n"/>
      <c r="Y55" s="149" t="n"/>
      <c r="Z55" s="149" t="n"/>
    </row>
    <row r="56" ht="15.75" customHeight="1" s="236">
      <c r="A56" s="148" t="n"/>
      <c r="B56" s="148" t="n"/>
      <c r="C56" s="124" t="n"/>
      <c r="D56" s="148" t="n"/>
      <c r="E56" s="148" t="n"/>
      <c r="F56" s="148" t="n"/>
      <c r="G56" s="124" t="n"/>
      <c r="H56" s="148" t="n"/>
      <c r="I56" s="148" t="n"/>
      <c r="J56" s="148" t="n"/>
      <c r="K56" s="148" t="n"/>
      <c r="L56" s="148" t="n"/>
      <c r="M56" s="148" t="n"/>
      <c r="N56" s="148" t="n"/>
      <c r="O56" s="148" t="n"/>
      <c r="P56" s="148" t="n"/>
      <c r="Q56" s="148" t="n"/>
      <c r="R56" s="148" t="n"/>
      <c r="S56" s="148" t="n"/>
      <c r="T56" s="148" t="n"/>
      <c r="U56" s="149">
        <f>IF(AND('Master Stock'!D56&lt;&gt;"",'Master Stock'!H56="OCCUPIED",ISNUMBER('Master Stock'!J56),'Master Stock'!K56=""),SUMPRODUCT(--('Master Stock'!$D$2:$D$1000&lt;&gt;""),--('Master Stock'!$H$2:$H$1000="OCCUPIED"),--ISNUMBER('Master Stock'!$J$2:$J$1000),--('Master Stock'!$K$2:$K$1000=""),--('Master Stock'!$J$2:$J$1000&lt;'Master Stock'!J56))+COUNTIFS('Master Stock'!$J$2:J56,'Master Stock'!J56,'Master Stock'!$D$2:D56,"&lt;&gt;",'Master Stock'!$H$2:H56,"OCCUPIED",'Master Stock'!$K$2:K56,""),"")</f>
        <v/>
      </c>
      <c r="V56" s="149">
        <f>IF(AND('Master Stock'!D56&lt;&gt;"",'Master Stock'!H56="OCCUPIED",ISNUMBER('Master Stock'!L56),'Master Stock'!L56&lt;TODAY()-30),SUMPRODUCT(--('Master Stock'!$D$2:$D$1000&lt;&gt;""),--('Master Stock'!$H$2:$H$1000="OCCUPIED"),--ISNUMBER('Master Stock'!$L$2:$L$1000),--('Master Stock'!$L$2:$L$1000&lt;TODAY()-30),--('Master Stock'!$L$2:$L$1000&lt;'Master Stock'!L56))+COUNTIFS('Master Stock'!$L$2:L56,'Master Stock'!L56,'Master Stock'!$D$2:D56,"&lt;&gt;",'Master Stock'!$H$2:H56,"OCCUPIED"),"")</f>
        <v/>
      </c>
      <c r="W56" s="149" t="n"/>
      <c r="X56" s="149" t="n"/>
      <c r="Y56" s="149" t="n"/>
      <c r="Z56" s="149" t="n"/>
    </row>
    <row r="57" ht="15.75" customHeight="1" s="236">
      <c r="A57" s="148" t="n"/>
      <c r="B57" s="148" t="n"/>
      <c r="C57" s="124" t="n"/>
      <c r="D57" s="148" t="n"/>
      <c r="E57" s="148" t="n"/>
      <c r="F57" s="148" t="n"/>
      <c r="G57" s="124" t="n"/>
      <c r="H57" s="148" t="n"/>
      <c r="I57" s="148" t="n"/>
      <c r="J57" s="148" t="n"/>
      <c r="K57" s="148" t="n"/>
      <c r="L57" s="148" t="n"/>
      <c r="M57" s="148" t="n"/>
      <c r="N57" s="148" t="n"/>
      <c r="O57" s="148" t="n"/>
      <c r="P57" s="148" t="n"/>
      <c r="Q57" s="148" t="n"/>
      <c r="R57" s="148" t="n"/>
      <c r="S57" s="148" t="n"/>
      <c r="T57" s="148" t="n"/>
      <c r="U57" s="149">
        <f>IF(AND('Master Stock'!D57&lt;&gt;"",'Master Stock'!H57="OCCUPIED",ISNUMBER('Master Stock'!J57),'Master Stock'!K57=""),SUMPRODUCT(--('Master Stock'!$D$2:$D$1000&lt;&gt;""),--('Master Stock'!$H$2:$H$1000="OCCUPIED"),--ISNUMBER('Master Stock'!$J$2:$J$1000),--('Master Stock'!$K$2:$K$1000=""),--('Master Stock'!$J$2:$J$1000&lt;'Master Stock'!J57))+COUNTIFS('Master Stock'!$J$2:J57,'Master Stock'!J57,'Master Stock'!$D$2:D57,"&lt;&gt;",'Master Stock'!$H$2:H57,"OCCUPIED",'Master Stock'!$K$2:K57,""),"")</f>
        <v/>
      </c>
      <c r="V57" s="149">
        <f>IF(AND('Master Stock'!D57&lt;&gt;"",'Master Stock'!H57="OCCUPIED",ISNUMBER('Master Stock'!L57),'Master Stock'!L57&lt;TODAY()-30),SUMPRODUCT(--('Master Stock'!$D$2:$D$1000&lt;&gt;""),--('Master Stock'!$H$2:$H$1000="OCCUPIED"),--ISNUMBER('Master Stock'!$L$2:$L$1000),--('Master Stock'!$L$2:$L$1000&lt;TODAY()-30),--('Master Stock'!$L$2:$L$1000&lt;'Master Stock'!L57))+COUNTIFS('Master Stock'!$L$2:L57,'Master Stock'!L57,'Master Stock'!$D$2:D57,"&lt;&gt;",'Master Stock'!$H$2:H57,"OCCUPIED"),"")</f>
        <v/>
      </c>
      <c r="W57" s="149" t="n"/>
      <c r="X57" s="149" t="n"/>
      <c r="Y57" s="149" t="n"/>
      <c r="Z57" s="149" t="n"/>
    </row>
    <row r="58" ht="15.75" customHeight="1" s="236">
      <c r="A58" s="148" t="n"/>
      <c r="B58" s="148" t="n"/>
      <c r="C58" s="124" t="n"/>
      <c r="D58" s="148" t="n"/>
      <c r="E58" s="148" t="n"/>
      <c r="F58" s="148" t="n"/>
      <c r="G58" s="124" t="n"/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  <c r="Q58" s="148" t="n"/>
      <c r="R58" s="148" t="n"/>
      <c r="S58" s="148" t="n"/>
      <c r="T58" s="148" t="n"/>
      <c r="U58" s="149">
        <f>IF(AND('Master Stock'!D58&lt;&gt;"",'Master Stock'!H58="OCCUPIED",ISNUMBER('Master Stock'!J58),'Master Stock'!K58=""),SUMPRODUCT(--('Master Stock'!$D$2:$D$1000&lt;&gt;""),--('Master Stock'!$H$2:$H$1000="OCCUPIED"),--ISNUMBER('Master Stock'!$J$2:$J$1000),--('Master Stock'!$K$2:$K$1000=""),--('Master Stock'!$J$2:$J$1000&lt;'Master Stock'!J58))+COUNTIFS('Master Stock'!$J$2:J58,'Master Stock'!J58,'Master Stock'!$D$2:D58,"&lt;&gt;",'Master Stock'!$H$2:H58,"OCCUPIED",'Master Stock'!$K$2:K58,""),"")</f>
        <v/>
      </c>
      <c r="V58" s="149">
        <f>IF(AND('Master Stock'!D58&lt;&gt;"",'Master Stock'!H58="OCCUPIED",ISNUMBER('Master Stock'!L58),'Master Stock'!L58&lt;TODAY()-30),SUMPRODUCT(--('Master Stock'!$D$2:$D$1000&lt;&gt;""),--('Master Stock'!$H$2:$H$1000="OCCUPIED"),--ISNUMBER('Master Stock'!$L$2:$L$1000),--('Master Stock'!$L$2:$L$1000&lt;TODAY()-30),--('Master Stock'!$L$2:$L$1000&lt;'Master Stock'!L58))+COUNTIFS('Master Stock'!$L$2:L58,'Master Stock'!L58,'Master Stock'!$D$2:D58,"&lt;&gt;",'Master Stock'!$H$2:H58,"OCCUPIED"),"")</f>
        <v/>
      </c>
      <c r="W58" s="149" t="n"/>
      <c r="X58" s="149" t="n"/>
      <c r="Y58" s="149" t="n"/>
      <c r="Z58" s="149" t="n"/>
    </row>
    <row r="59" ht="15.75" customHeight="1" s="236">
      <c r="A59" s="148" t="n"/>
      <c r="B59" s="148" t="n"/>
      <c r="C59" s="124" t="n"/>
      <c r="D59" s="148" t="n"/>
      <c r="E59" s="148" t="n"/>
      <c r="F59" s="148" t="n"/>
      <c r="G59" s="124" t="n"/>
      <c r="H59" s="148" t="n"/>
      <c r="I59" s="148" t="n"/>
      <c r="J59" s="148" t="n"/>
      <c r="K59" s="148" t="n"/>
      <c r="L59" s="148" t="n"/>
      <c r="M59" s="148" t="n"/>
      <c r="N59" s="148" t="n"/>
      <c r="O59" s="148" t="n"/>
      <c r="P59" s="148" t="n"/>
      <c r="Q59" s="148" t="n"/>
      <c r="R59" s="148" t="n"/>
      <c r="S59" s="148" t="n"/>
      <c r="T59" s="148" t="n"/>
      <c r="U59" s="149">
        <f>IF(AND('Master Stock'!D59&lt;&gt;"",'Master Stock'!H59="OCCUPIED",ISNUMBER('Master Stock'!J59),'Master Stock'!K59=""),SUMPRODUCT(--('Master Stock'!$D$2:$D$1000&lt;&gt;""),--('Master Stock'!$H$2:$H$1000="OCCUPIED"),--ISNUMBER('Master Stock'!$J$2:$J$1000),--('Master Stock'!$K$2:$K$1000=""),--('Master Stock'!$J$2:$J$1000&lt;'Master Stock'!J59))+COUNTIFS('Master Stock'!$J$2:J59,'Master Stock'!J59,'Master Stock'!$D$2:D59,"&lt;&gt;",'Master Stock'!$H$2:H59,"OCCUPIED",'Master Stock'!$K$2:K59,""),"")</f>
        <v/>
      </c>
      <c r="V59" s="149">
        <f>IF(AND('Master Stock'!D59&lt;&gt;"",'Master Stock'!H59="OCCUPIED",ISNUMBER('Master Stock'!L59),'Master Stock'!L59&lt;TODAY()-30),SUMPRODUCT(--('Master Stock'!$D$2:$D$1000&lt;&gt;""),--('Master Stock'!$H$2:$H$1000="OCCUPIED"),--ISNUMBER('Master Stock'!$L$2:$L$1000),--('Master Stock'!$L$2:$L$1000&lt;TODAY()-30),--('Master Stock'!$L$2:$L$1000&lt;'Master Stock'!L59))+COUNTIFS('Master Stock'!$L$2:L59,'Master Stock'!L59,'Master Stock'!$D$2:D59,"&lt;&gt;",'Master Stock'!$H$2:H59,"OCCUPIED"),"")</f>
        <v/>
      </c>
      <c r="W59" s="149" t="n"/>
      <c r="X59" s="149" t="n"/>
      <c r="Y59" s="149" t="n"/>
      <c r="Z59" s="149" t="n"/>
    </row>
    <row r="60" ht="15.75" customHeight="1" s="236">
      <c r="A60" s="148" t="n"/>
      <c r="B60" s="148" t="n"/>
      <c r="C60" s="124" t="n"/>
      <c r="D60" s="148" t="n"/>
      <c r="E60" s="148" t="n"/>
      <c r="F60" s="148" t="n"/>
      <c r="G60" s="124" t="n"/>
      <c r="H60" s="148" t="n"/>
      <c r="I60" s="148" t="n"/>
      <c r="J60" s="148" t="n"/>
      <c r="K60" s="148" t="n"/>
      <c r="L60" s="148" t="n"/>
      <c r="M60" s="148" t="n"/>
      <c r="N60" s="148" t="n"/>
      <c r="O60" s="148" t="n"/>
      <c r="P60" s="148" t="n"/>
      <c r="Q60" s="148" t="n"/>
      <c r="R60" s="148" t="n"/>
      <c r="S60" s="148" t="n"/>
      <c r="T60" s="148" t="n"/>
      <c r="U60" s="149">
        <f>IF(AND('Master Stock'!D60&lt;&gt;"",'Master Stock'!H60="OCCUPIED",ISNUMBER('Master Stock'!J60),'Master Stock'!K60=""),SUMPRODUCT(--('Master Stock'!$D$2:$D$1000&lt;&gt;""),--('Master Stock'!$H$2:$H$1000="OCCUPIED"),--ISNUMBER('Master Stock'!$J$2:$J$1000),--('Master Stock'!$K$2:$K$1000=""),--('Master Stock'!$J$2:$J$1000&lt;'Master Stock'!J60))+COUNTIFS('Master Stock'!$J$2:J60,'Master Stock'!J60,'Master Stock'!$D$2:D60,"&lt;&gt;",'Master Stock'!$H$2:H60,"OCCUPIED",'Master Stock'!$K$2:K60,""),"")</f>
        <v/>
      </c>
      <c r="V60" s="149">
        <f>IF(AND('Master Stock'!D60&lt;&gt;"",'Master Stock'!H60="OCCUPIED",ISNUMBER('Master Stock'!L60),'Master Stock'!L60&lt;TODAY()-30),SUMPRODUCT(--('Master Stock'!$D$2:$D$1000&lt;&gt;""),--('Master Stock'!$H$2:$H$1000="OCCUPIED"),--ISNUMBER('Master Stock'!$L$2:$L$1000),--('Master Stock'!$L$2:$L$1000&lt;TODAY()-30),--('Master Stock'!$L$2:$L$1000&lt;'Master Stock'!L60))+COUNTIFS('Master Stock'!$L$2:L60,'Master Stock'!L60,'Master Stock'!$D$2:D60,"&lt;&gt;",'Master Stock'!$H$2:H60,"OCCUPIED"),"")</f>
        <v/>
      </c>
      <c r="W60" s="149" t="n"/>
      <c r="X60" s="149" t="n"/>
      <c r="Y60" s="149" t="n"/>
      <c r="Z60" s="149" t="n"/>
    </row>
    <row r="61" ht="15.75" customHeight="1" s="236">
      <c r="A61" s="148" t="n"/>
      <c r="B61" s="148" t="n"/>
      <c r="C61" s="124" t="n"/>
      <c r="D61" s="148" t="n"/>
      <c r="E61" s="148" t="n"/>
      <c r="F61" s="148" t="n"/>
      <c r="G61" s="124" t="n"/>
      <c r="H61" s="148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48" t="n"/>
      <c r="S61" s="148" t="n"/>
      <c r="T61" s="148" t="n"/>
      <c r="U61" s="149">
        <f>IF(AND('Master Stock'!D61&lt;&gt;"",'Master Stock'!H61="OCCUPIED",ISNUMBER('Master Stock'!J61),'Master Stock'!K61=""),SUMPRODUCT(--('Master Stock'!$D$2:$D$1000&lt;&gt;""),--('Master Stock'!$H$2:$H$1000="OCCUPIED"),--ISNUMBER('Master Stock'!$J$2:$J$1000),--('Master Stock'!$K$2:$K$1000=""),--('Master Stock'!$J$2:$J$1000&lt;'Master Stock'!J61))+COUNTIFS('Master Stock'!$J$2:J61,'Master Stock'!J61,'Master Stock'!$D$2:D61,"&lt;&gt;",'Master Stock'!$H$2:H61,"OCCUPIED",'Master Stock'!$K$2:K61,""),"")</f>
        <v/>
      </c>
      <c r="V61" s="149">
        <f>IF(AND('Master Stock'!D61&lt;&gt;"",'Master Stock'!H61="OCCUPIED",ISNUMBER('Master Stock'!L61),'Master Stock'!L61&lt;TODAY()-30),SUMPRODUCT(--('Master Stock'!$D$2:$D$1000&lt;&gt;""),--('Master Stock'!$H$2:$H$1000="OCCUPIED"),--ISNUMBER('Master Stock'!$L$2:$L$1000),--('Master Stock'!$L$2:$L$1000&lt;TODAY()-30),--('Master Stock'!$L$2:$L$1000&lt;'Master Stock'!L61))+COUNTIFS('Master Stock'!$L$2:L61,'Master Stock'!L61,'Master Stock'!$D$2:D61,"&lt;&gt;",'Master Stock'!$H$2:H61,"OCCUPIED"),"")</f>
        <v/>
      </c>
      <c r="W61" s="149" t="n"/>
      <c r="X61" s="149" t="n"/>
      <c r="Y61" s="149" t="n"/>
      <c r="Z61" s="149" t="n"/>
    </row>
    <row r="62" ht="15.75" customHeight="1" s="236">
      <c r="A62" s="148" t="n"/>
      <c r="B62" s="148" t="n"/>
      <c r="C62" s="124" t="n"/>
      <c r="D62" s="148" t="n"/>
      <c r="E62" s="148" t="n"/>
      <c r="F62" s="148" t="n"/>
      <c r="G62" s="124" t="n"/>
      <c r="H62" s="148" t="n"/>
      <c r="I62" s="148" t="n"/>
      <c r="J62" s="148" t="n"/>
      <c r="K62" s="148" t="n"/>
      <c r="L62" s="148" t="n"/>
      <c r="M62" s="148" t="n"/>
      <c r="N62" s="148" t="n"/>
      <c r="O62" s="148" t="n"/>
      <c r="P62" s="148" t="n"/>
      <c r="Q62" s="148" t="n"/>
      <c r="R62" s="148" t="n"/>
      <c r="S62" s="148" t="n"/>
      <c r="T62" s="148" t="n"/>
      <c r="U62" s="149">
        <f>IF(AND('Master Stock'!D62&lt;&gt;"",'Master Stock'!H62="OCCUPIED",ISNUMBER('Master Stock'!J62),'Master Stock'!K62=""),SUMPRODUCT(--('Master Stock'!$D$2:$D$1000&lt;&gt;""),--('Master Stock'!$H$2:$H$1000="OCCUPIED"),--ISNUMBER('Master Stock'!$J$2:$J$1000),--('Master Stock'!$K$2:$K$1000=""),--('Master Stock'!$J$2:$J$1000&lt;'Master Stock'!J62))+COUNTIFS('Master Stock'!$J$2:J62,'Master Stock'!J62,'Master Stock'!$D$2:D62,"&lt;&gt;",'Master Stock'!$H$2:H62,"OCCUPIED",'Master Stock'!$K$2:K62,""),"")</f>
        <v/>
      </c>
      <c r="V62" s="149">
        <f>IF(AND('Master Stock'!D62&lt;&gt;"",'Master Stock'!H62="OCCUPIED",ISNUMBER('Master Stock'!L62),'Master Stock'!L62&lt;TODAY()-30),SUMPRODUCT(--('Master Stock'!$D$2:$D$1000&lt;&gt;""),--('Master Stock'!$H$2:$H$1000="OCCUPIED"),--ISNUMBER('Master Stock'!$L$2:$L$1000),--('Master Stock'!$L$2:$L$1000&lt;TODAY()-30),--('Master Stock'!$L$2:$L$1000&lt;'Master Stock'!L62))+COUNTIFS('Master Stock'!$L$2:L62,'Master Stock'!L62,'Master Stock'!$D$2:D62,"&lt;&gt;",'Master Stock'!$H$2:H62,"OCCUPIED"),"")</f>
        <v/>
      </c>
      <c r="W62" s="149" t="n"/>
      <c r="X62" s="149" t="n"/>
      <c r="Y62" s="149" t="n"/>
      <c r="Z62" s="149" t="n"/>
    </row>
    <row r="63" ht="15.75" customHeight="1" s="236">
      <c r="A63" s="148" t="n"/>
      <c r="B63" s="148" t="n"/>
      <c r="C63" s="124" t="n"/>
      <c r="D63" s="148" t="n"/>
      <c r="E63" s="148" t="n"/>
      <c r="F63" s="148" t="n"/>
      <c r="G63" s="124" t="n"/>
      <c r="H63" s="148" t="n"/>
      <c r="I63" s="148" t="n"/>
      <c r="J63" s="148" t="n"/>
      <c r="K63" s="148" t="n"/>
      <c r="L63" s="148" t="n"/>
      <c r="M63" s="148" t="n"/>
      <c r="N63" s="148" t="n"/>
      <c r="O63" s="148" t="n"/>
      <c r="P63" s="148" t="n"/>
      <c r="Q63" s="148" t="n"/>
      <c r="R63" s="148" t="n"/>
      <c r="S63" s="148" t="n"/>
      <c r="T63" s="148" t="n"/>
      <c r="U63" s="149">
        <f>IF(AND('Master Stock'!D63&lt;&gt;"",'Master Stock'!H63="OCCUPIED",ISNUMBER('Master Stock'!J63),'Master Stock'!K63=""),SUMPRODUCT(--('Master Stock'!$D$2:$D$1000&lt;&gt;""),--('Master Stock'!$H$2:$H$1000="OCCUPIED"),--ISNUMBER('Master Stock'!$J$2:$J$1000),--('Master Stock'!$K$2:$K$1000=""),--('Master Stock'!$J$2:$J$1000&lt;'Master Stock'!J63))+COUNTIFS('Master Stock'!$J$2:J63,'Master Stock'!J63,'Master Stock'!$D$2:D63,"&lt;&gt;",'Master Stock'!$H$2:H63,"OCCUPIED",'Master Stock'!$K$2:K63,""),"")</f>
        <v/>
      </c>
      <c r="V63" s="149">
        <f>IF(AND('Master Stock'!D63&lt;&gt;"",'Master Stock'!H63="OCCUPIED",ISNUMBER('Master Stock'!L63),'Master Stock'!L63&lt;TODAY()-30),SUMPRODUCT(--('Master Stock'!$D$2:$D$1000&lt;&gt;""),--('Master Stock'!$H$2:$H$1000="OCCUPIED"),--ISNUMBER('Master Stock'!$L$2:$L$1000),--('Master Stock'!$L$2:$L$1000&lt;TODAY()-30),--('Master Stock'!$L$2:$L$1000&lt;'Master Stock'!L63))+COUNTIFS('Master Stock'!$L$2:L63,'Master Stock'!L63,'Master Stock'!$D$2:D63,"&lt;&gt;",'Master Stock'!$H$2:H63,"OCCUPIED"),"")</f>
        <v/>
      </c>
      <c r="W63" s="149" t="n"/>
      <c r="X63" s="149" t="n"/>
      <c r="Y63" s="149" t="n"/>
      <c r="Z63" s="149" t="n"/>
    </row>
    <row r="64" ht="15.75" customHeight="1" s="236">
      <c r="A64" s="148" t="n"/>
      <c r="B64" s="148" t="n"/>
      <c r="C64" s="124" t="n"/>
      <c r="D64" s="148" t="n"/>
      <c r="E64" s="148" t="n"/>
      <c r="F64" s="148" t="n"/>
      <c r="G64" s="124" t="n"/>
      <c r="H64" s="148" t="n"/>
      <c r="I64" s="148" t="n"/>
      <c r="J64" s="148" t="n"/>
      <c r="K64" s="148" t="n"/>
      <c r="L64" s="148" t="n"/>
      <c r="M64" s="148" t="n"/>
      <c r="N64" s="148" t="n"/>
      <c r="O64" s="148" t="n"/>
      <c r="P64" s="148" t="n"/>
      <c r="Q64" s="148" t="n"/>
      <c r="R64" s="148" t="n"/>
      <c r="S64" s="148" t="n"/>
      <c r="T64" s="148" t="n"/>
      <c r="U64" s="149">
        <f>IF(AND('Master Stock'!D64&lt;&gt;"",'Master Stock'!H64="OCCUPIED",ISNUMBER('Master Stock'!J64),'Master Stock'!K64=""),SUMPRODUCT(--('Master Stock'!$D$2:$D$1000&lt;&gt;""),--('Master Stock'!$H$2:$H$1000="OCCUPIED"),--ISNUMBER('Master Stock'!$J$2:$J$1000),--('Master Stock'!$K$2:$K$1000=""),--('Master Stock'!$J$2:$J$1000&lt;'Master Stock'!J64))+COUNTIFS('Master Stock'!$J$2:J64,'Master Stock'!J64,'Master Stock'!$D$2:D64,"&lt;&gt;",'Master Stock'!$H$2:H64,"OCCUPIED",'Master Stock'!$K$2:K64,""),"")</f>
        <v/>
      </c>
      <c r="V64" s="149">
        <f>IF(AND('Master Stock'!D64&lt;&gt;"",'Master Stock'!H64="OCCUPIED",ISNUMBER('Master Stock'!L64),'Master Stock'!L64&lt;TODAY()-30),SUMPRODUCT(--('Master Stock'!$D$2:$D$1000&lt;&gt;""),--('Master Stock'!$H$2:$H$1000="OCCUPIED"),--ISNUMBER('Master Stock'!$L$2:$L$1000),--('Master Stock'!$L$2:$L$1000&lt;TODAY()-30),--('Master Stock'!$L$2:$L$1000&lt;'Master Stock'!L64))+COUNTIFS('Master Stock'!$L$2:L64,'Master Stock'!L64,'Master Stock'!$D$2:D64,"&lt;&gt;",'Master Stock'!$H$2:H64,"OCCUPIED"),"")</f>
        <v/>
      </c>
      <c r="W64" s="149" t="n"/>
      <c r="X64" s="149" t="n"/>
      <c r="Y64" s="149" t="n"/>
      <c r="Z64" s="149" t="n"/>
    </row>
    <row r="65" ht="15.75" customHeight="1" s="236">
      <c r="A65" s="148" t="n"/>
      <c r="B65" s="148" t="n"/>
      <c r="C65" s="124" t="n"/>
      <c r="D65" s="148" t="n"/>
      <c r="E65" s="148" t="n"/>
      <c r="F65" s="148" t="n"/>
      <c r="G65" s="124" t="n"/>
      <c r="H65" s="148" t="n"/>
      <c r="I65" s="148" t="n"/>
      <c r="J65" s="148" t="n"/>
      <c r="K65" s="148" t="n"/>
      <c r="L65" s="148" t="n"/>
      <c r="M65" s="148" t="n"/>
      <c r="N65" s="148" t="n"/>
      <c r="O65" s="148" t="n"/>
      <c r="P65" s="148" t="n"/>
      <c r="Q65" s="148" t="n"/>
      <c r="R65" s="148" t="n"/>
      <c r="S65" s="148" t="n"/>
      <c r="T65" s="148" t="n"/>
      <c r="U65" s="149">
        <f>IF(AND('Master Stock'!D65&lt;&gt;"",'Master Stock'!H65="OCCUPIED",ISNUMBER('Master Stock'!J65),'Master Stock'!K65=""),SUMPRODUCT(--('Master Stock'!$D$2:$D$1000&lt;&gt;""),--('Master Stock'!$H$2:$H$1000="OCCUPIED"),--ISNUMBER('Master Stock'!$J$2:$J$1000),--('Master Stock'!$K$2:$K$1000=""),--('Master Stock'!$J$2:$J$1000&lt;'Master Stock'!J65))+COUNTIFS('Master Stock'!$J$2:J65,'Master Stock'!J65,'Master Stock'!$D$2:D65,"&lt;&gt;",'Master Stock'!$H$2:H65,"OCCUPIED",'Master Stock'!$K$2:K65,""),"")</f>
        <v/>
      </c>
      <c r="V65" s="149">
        <f>IF(AND('Master Stock'!D65&lt;&gt;"",'Master Stock'!H65="OCCUPIED",ISNUMBER('Master Stock'!L65),'Master Stock'!L65&lt;TODAY()-30),SUMPRODUCT(--('Master Stock'!$D$2:$D$1000&lt;&gt;""),--('Master Stock'!$H$2:$H$1000="OCCUPIED"),--ISNUMBER('Master Stock'!$L$2:$L$1000),--('Master Stock'!$L$2:$L$1000&lt;TODAY()-30),--('Master Stock'!$L$2:$L$1000&lt;'Master Stock'!L65))+COUNTIFS('Master Stock'!$L$2:L65,'Master Stock'!L65,'Master Stock'!$D$2:D65,"&lt;&gt;",'Master Stock'!$H$2:H65,"OCCUPIED"),"")</f>
        <v/>
      </c>
      <c r="W65" s="149" t="n"/>
      <c r="X65" s="149" t="n"/>
      <c r="Y65" s="149" t="n"/>
      <c r="Z65" s="149" t="n"/>
    </row>
    <row r="66" ht="15.75" customHeight="1" s="236">
      <c r="A66" s="148" t="n"/>
      <c r="B66" s="148" t="n"/>
      <c r="C66" s="124" t="n"/>
      <c r="D66" s="148" t="n"/>
      <c r="E66" s="148" t="n"/>
      <c r="F66" s="148" t="n"/>
      <c r="G66" s="124" t="n"/>
      <c r="H66" s="148" t="n"/>
      <c r="I66" s="148" t="n"/>
      <c r="J66" s="148" t="n"/>
      <c r="K66" s="148" t="n"/>
      <c r="L66" s="148" t="n"/>
      <c r="M66" s="148" t="n"/>
      <c r="N66" s="148" t="n"/>
      <c r="O66" s="148" t="n"/>
      <c r="P66" s="148" t="n"/>
      <c r="Q66" s="148" t="n"/>
      <c r="R66" s="148" t="n"/>
      <c r="S66" s="148" t="n"/>
      <c r="T66" s="148" t="n"/>
      <c r="U66" s="149">
        <f>IF(AND('Master Stock'!D66&lt;&gt;"",'Master Stock'!H66="OCCUPIED",ISNUMBER('Master Stock'!J66),'Master Stock'!K66=""),SUMPRODUCT(--('Master Stock'!$D$2:$D$1000&lt;&gt;""),--('Master Stock'!$H$2:$H$1000="OCCUPIED"),--ISNUMBER('Master Stock'!$J$2:$J$1000),--('Master Stock'!$K$2:$K$1000=""),--('Master Stock'!$J$2:$J$1000&lt;'Master Stock'!J66))+COUNTIFS('Master Stock'!$J$2:J66,'Master Stock'!J66,'Master Stock'!$D$2:D66,"&lt;&gt;",'Master Stock'!$H$2:H66,"OCCUPIED",'Master Stock'!$K$2:K66,""),"")</f>
        <v/>
      </c>
      <c r="V66" s="149">
        <f>IF(AND('Master Stock'!D66&lt;&gt;"",'Master Stock'!H66="OCCUPIED",ISNUMBER('Master Stock'!L66),'Master Stock'!L66&lt;TODAY()-30),SUMPRODUCT(--('Master Stock'!$D$2:$D$1000&lt;&gt;""),--('Master Stock'!$H$2:$H$1000="OCCUPIED"),--ISNUMBER('Master Stock'!$L$2:$L$1000),--('Master Stock'!$L$2:$L$1000&lt;TODAY()-30),--('Master Stock'!$L$2:$L$1000&lt;'Master Stock'!L66))+COUNTIFS('Master Stock'!$L$2:L66,'Master Stock'!L66,'Master Stock'!$D$2:D66,"&lt;&gt;",'Master Stock'!$H$2:H66,"OCCUPIED"),"")</f>
        <v/>
      </c>
      <c r="W66" s="149" t="n"/>
      <c r="X66" s="149" t="n"/>
      <c r="Y66" s="149" t="n"/>
      <c r="Z66" s="149" t="n"/>
    </row>
    <row r="67" ht="15.75" customHeight="1" s="236">
      <c r="A67" s="148" t="n"/>
      <c r="B67" s="148" t="n"/>
      <c r="C67" s="124" t="n"/>
      <c r="D67" s="148" t="n"/>
      <c r="E67" s="148" t="n"/>
      <c r="F67" s="148" t="n"/>
      <c r="G67" s="124" t="n"/>
      <c r="H67" s="148" t="n"/>
      <c r="I67" s="148" t="n"/>
      <c r="J67" s="148" t="n"/>
      <c r="K67" s="148" t="n"/>
      <c r="L67" s="148" t="n"/>
      <c r="M67" s="148" t="n"/>
      <c r="N67" s="148" t="n"/>
      <c r="O67" s="148" t="n"/>
      <c r="P67" s="148" t="n"/>
      <c r="Q67" s="148" t="n"/>
      <c r="R67" s="148" t="n"/>
      <c r="S67" s="148" t="n"/>
      <c r="T67" s="148" t="n"/>
      <c r="U67" s="149">
        <f>IF(AND('Master Stock'!D67&lt;&gt;"",'Master Stock'!H67="OCCUPIED",ISNUMBER('Master Stock'!J67),'Master Stock'!K67=""),SUMPRODUCT(--('Master Stock'!$D$2:$D$1000&lt;&gt;""),--('Master Stock'!$H$2:$H$1000="OCCUPIED"),--ISNUMBER('Master Stock'!$J$2:$J$1000),--('Master Stock'!$K$2:$K$1000=""),--('Master Stock'!$J$2:$J$1000&lt;'Master Stock'!J67))+COUNTIFS('Master Stock'!$J$2:J67,'Master Stock'!J67,'Master Stock'!$D$2:D67,"&lt;&gt;",'Master Stock'!$H$2:H67,"OCCUPIED",'Master Stock'!$K$2:K67,""),"")</f>
        <v/>
      </c>
      <c r="V67" s="149">
        <f>IF(AND('Master Stock'!D67&lt;&gt;"",'Master Stock'!H67="OCCUPIED",ISNUMBER('Master Stock'!L67),'Master Stock'!L67&lt;TODAY()-30),SUMPRODUCT(--('Master Stock'!$D$2:$D$1000&lt;&gt;""),--('Master Stock'!$H$2:$H$1000="OCCUPIED"),--ISNUMBER('Master Stock'!$L$2:$L$1000),--('Master Stock'!$L$2:$L$1000&lt;TODAY()-30),--('Master Stock'!$L$2:$L$1000&lt;'Master Stock'!L67))+COUNTIFS('Master Stock'!$L$2:L67,'Master Stock'!L67,'Master Stock'!$D$2:D67,"&lt;&gt;",'Master Stock'!$H$2:H67,"OCCUPIED"),"")</f>
        <v/>
      </c>
      <c r="W67" s="149" t="n"/>
      <c r="X67" s="149" t="n"/>
      <c r="Y67" s="149" t="n"/>
      <c r="Z67" s="149" t="n"/>
    </row>
    <row r="68" ht="15.75" customHeight="1" s="236">
      <c r="A68" s="148" t="n"/>
      <c r="B68" s="148" t="n"/>
      <c r="C68" s="124" t="n"/>
      <c r="D68" s="148" t="n"/>
      <c r="E68" s="148" t="n"/>
      <c r="F68" s="148" t="n"/>
      <c r="G68" s="124" t="n"/>
      <c r="H68" s="148" t="n"/>
      <c r="I68" s="148" t="n"/>
      <c r="J68" s="148" t="n"/>
      <c r="K68" s="148" t="n"/>
      <c r="L68" s="148" t="n"/>
      <c r="M68" s="148" t="n"/>
      <c r="N68" s="148" t="n"/>
      <c r="O68" s="148" t="n"/>
      <c r="P68" s="148" t="n"/>
      <c r="Q68" s="148" t="n"/>
      <c r="R68" s="148" t="n"/>
      <c r="S68" s="148" t="n"/>
      <c r="T68" s="148" t="n"/>
      <c r="U68" s="149">
        <f>IF(AND('Master Stock'!D68&lt;&gt;"",'Master Stock'!H68="OCCUPIED",ISNUMBER('Master Stock'!J68),'Master Stock'!K68=""),SUMPRODUCT(--('Master Stock'!$D$2:$D$1000&lt;&gt;""),--('Master Stock'!$H$2:$H$1000="OCCUPIED"),--ISNUMBER('Master Stock'!$J$2:$J$1000),--('Master Stock'!$K$2:$K$1000=""),--('Master Stock'!$J$2:$J$1000&lt;'Master Stock'!J68))+COUNTIFS('Master Stock'!$J$2:J68,'Master Stock'!J68,'Master Stock'!$D$2:D68,"&lt;&gt;",'Master Stock'!$H$2:H68,"OCCUPIED",'Master Stock'!$K$2:K68,""),"")</f>
        <v/>
      </c>
      <c r="V68" s="149">
        <f>IF(AND('Master Stock'!D68&lt;&gt;"",'Master Stock'!H68="OCCUPIED",ISNUMBER('Master Stock'!L68),'Master Stock'!L68&lt;TODAY()-30),SUMPRODUCT(--('Master Stock'!$D$2:$D$1000&lt;&gt;""),--('Master Stock'!$H$2:$H$1000="OCCUPIED"),--ISNUMBER('Master Stock'!$L$2:$L$1000),--('Master Stock'!$L$2:$L$1000&lt;TODAY()-30),--('Master Stock'!$L$2:$L$1000&lt;'Master Stock'!L68))+COUNTIFS('Master Stock'!$L$2:L68,'Master Stock'!L68,'Master Stock'!$D$2:D68,"&lt;&gt;",'Master Stock'!$H$2:H68,"OCCUPIED"),"")</f>
        <v/>
      </c>
      <c r="W68" s="149" t="n"/>
      <c r="X68" s="149" t="n"/>
      <c r="Y68" s="149" t="n"/>
      <c r="Z68" s="149" t="n"/>
    </row>
    <row r="69" ht="15.75" customHeight="1" s="236">
      <c r="A69" s="148" t="n"/>
      <c r="B69" s="148" t="n"/>
      <c r="C69" s="124" t="n"/>
      <c r="D69" s="148" t="n"/>
      <c r="E69" s="148" t="n"/>
      <c r="F69" s="148" t="n"/>
      <c r="G69" s="124" t="n"/>
      <c r="H69" s="148" t="n"/>
      <c r="I69" s="148" t="n"/>
      <c r="J69" s="148" t="n"/>
      <c r="K69" s="148" t="n"/>
      <c r="L69" s="148" t="n"/>
      <c r="M69" s="148" t="n"/>
      <c r="N69" s="148" t="n"/>
      <c r="O69" s="148" t="n"/>
      <c r="P69" s="148" t="n"/>
      <c r="Q69" s="148" t="n"/>
      <c r="R69" s="148" t="n"/>
      <c r="S69" s="148" t="n"/>
      <c r="T69" s="148" t="n"/>
      <c r="U69" s="149">
        <f>IF(AND('Master Stock'!D69&lt;&gt;"",'Master Stock'!H69="OCCUPIED",ISNUMBER('Master Stock'!J69),'Master Stock'!K69=""),SUMPRODUCT(--('Master Stock'!$D$2:$D$1000&lt;&gt;""),--('Master Stock'!$H$2:$H$1000="OCCUPIED"),--ISNUMBER('Master Stock'!$J$2:$J$1000),--('Master Stock'!$K$2:$K$1000=""),--('Master Stock'!$J$2:$J$1000&lt;'Master Stock'!J69))+COUNTIFS('Master Stock'!$J$2:J69,'Master Stock'!J69,'Master Stock'!$D$2:D69,"&lt;&gt;",'Master Stock'!$H$2:H69,"OCCUPIED",'Master Stock'!$K$2:K69,""),"")</f>
        <v/>
      </c>
      <c r="V69" s="149">
        <f>IF(AND('Master Stock'!D69&lt;&gt;"",'Master Stock'!H69="OCCUPIED",ISNUMBER('Master Stock'!L69),'Master Stock'!L69&lt;TODAY()-30),SUMPRODUCT(--('Master Stock'!$D$2:$D$1000&lt;&gt;""),--('Master Stock'!$H$2:$H$1000="OCCUPIED"),--ISNUMBER('Master Stock'!$L$2:$L$1000),--('Master Stock'!$L$2:$L$1000&lt;TODAY()-30),--('Master Stock'!$L$2:$L$1000&lt;'Master Stock'!L69))+COUNTIFS('Master Stock'!$L$2:L69,'Master Stock'!L69,'Master Stock'!$D$2:D69,"&lt;&gt;",'Master Stock'!$H$2:H69,"OCCUPIED"),"")</f>
        <v/>
      </c>
      <c r="W69" s="149" t="n"/>
      <c r="X69" s="149" t="n"/>
      <c r="Y69" s="149" t="n"/>
      <c r="Z69" s="149" t="n"/>
    </row>
    <row r="70" ht="15.75" customHeight="1" s="236">
      <c r="A70" s="148" t="n"/>
      <c r="B70" s="148" t="n"/>
      <c r="C70" s="124" t="n"/>
      <c r="D70" s="148" t="n"/>
      <c r="E70" s="148" t="n"/>
      <c r="F70" s="148" t="n"/>
      <c r="G70" s="124" t="n"/>
      <c r="H70" s="148" t="n"/>
      <c r="I70" s="148" t="n"/>
      <c r="J70" s="148" t="n"/>
      <c r="K70" s="148" t="n"/>
      <c r="L70" s="148" t="n"/>
      <c r="M70" s="148" t="n"/>
      <c r="N70" s="148" t="n"/>
      <c r="O70" s="148" t="n"/>
      <c r="P70" s="148" t="n"/>
      <c r="Q70" s="148" t="n"/>
      <c r="R70" s="148" t="n"/>
      <c r="S70" s="148" t="n"/>
      <c r="T70" s="148" t="n"/>
      <c r="U70" s="149">
        <f>IF(AND('Master Stock'!D70&lt;&gt;"",'Master Stock'!H70="OCCUPIED",ISNUMBER('Master Stock'!J70),'Master Stock'!K70=""),SUMPRODUCT(--('Master Stock'!$D$2:$D$1000&lt;&gt;""),--('Master Stock'!$H$2:$H$1000="OCCUPIED"),--ISNUMBER('Master Stock'!$J$2:$J$1000),--('Master Stock'!$K$2:$K$1000=""),--('Master Stock'!$J$2:$J$1000&lt;'Master Stock'!J70))+COUNTIFS('Master Stock'!$J$2:J70,'Master Stock'!J70,'Master Stock'!$D$2:D70,"&lt;&gt;",'Master Stock'!$H$2:H70,"OCCUPIED",'Master Stock'!$K$2:K70,""),"")</f>
        <v/>
      </c>
      <c r="V70" s="149">
        <f>IF(AND('Master Stock'!D70&lt;&gt;"",'Master Stock'!H70="OCCUPIED",ISNUMBER('Master Stock'!L70),'Master Stock'!L70&lt;TODAY()-30),SUMPRODUCT(--('Master Stock'!$D$2:$D$1000&lt;&gt;""),--('Master Stock'!$H$2:$H$1000="OCCUPIED"),--ISNUMBER('Master Stock'!$L$2:$L$1000),--('Master Stock'!$L$2:$L$1000&lt;TODAY()-30),--('Master Stock'!$L$2:$L$1000&lt;'Master Stock'!L70))+COUNTIFS('Master Stock'!$L$2:L70,'Master Stock'!L70,'Master Stock'!$D$2:D70,"&lt;&gt;",'Master Stock'!$H$2:H70,"OCCUPIED"),"")</f>
        <v/>
      </c>
      <c r="W70" s="149" t="n"/>
      <c r="X70" s="149" t="n"/>
      <c r="Y70" s="149" t="n"/>
      <c r="Z70" s="149" t="n"/>
    </row>
    <row r="71" ht="15.75" customHeight="1" s="236">
      <c r="A71" s="148" t="n"/>
      <c r="B71" s="148" t="n"/>
      <c r="C71" s="124" t="n"/>
      <c r="D71" s="148" t="n"/>
      <c r="E71" s="148" t="n"/>
      <c r="F71" s="148" t="n"/>
      <c r="G71" s="124" t="n"/>
      <c r="H71" s="148" t="n"/>
      <c r="I71" s="148" t="n"/>
      <c r="J71" s="148" t="n"/>
      <c r="K71" s="148" t="n"/>
      <c r="L71" s="148" t="n"/>
      <c r="M71" s="148" t="n"/>
      <c r="N71" s="148" t="n"/>
      <c r="O71" s="148" t="n"/>
      <c r="P71" s="148" t="n"/>
      <c r="Q71" s="148" t="n"/>
      <c r="R71" s="148" t="n"/>
      <c r="S71" s="148" t="n"/>
      <c r="T71" s="148" t="n"/>
      <c r="U71" s="149">
        <f>IF(AND('Master Stock'!D71&lt;&gt;"",'Master Stock'!H71="OCCUPIED",ISNUMBER('Master Stock'!J71),'Master Stock'!K71=""),SUMPRODUCT(--('Master Stock'!$D$2:$D$1000&lt;&gt;""),--('Master Stock'!$H$2:$H$1000="OCCUPIED"),--ISNUMBER('Master Stock'!$J$2:$J$1000),--('Master Stock'!$K$2:$K$1000=""),--('Master Stock'!$J$2:$J$1000&lt;'Master Stock'!J71))+COUNTIFS('Master Stock'!$J$2:J71,'Master Stock'!J71,'Master Stock'!$D$2:D71,"&lt;&gt;",'Master Stock'!$H$2:H71,"OCCUPIED",'Master Stock'!$K$2:K71,""),"")</f>
        <v/>
      </c>
      <c r="V71" s="149">
        <f>IF(AND('Master Stock'!D71&lt;&gt;"",'Master Stock'!H71="OCCUPIED",ISNUMBER('Master Stock'!L71),'Master Stock'!L71&lt;TODAY()-30),SUMPRODUCT(--('Master Stock'!$D$2:$D$1000&lt;&gt;""),--('Master Stock'!$H$2:$H$1000="OCCUPIED"),--ISNUMBER('Master Stock'!$L$2:$L$1000),--('Master Stock'!$L$2:$L$1000&lt;TODAY()-30),--('Master Stock'!$L$2:$L$1000&lt;'Master Stock'!L71))+COUNTIFS('Master Stock'!$L$2:L71,'Master Stock'!L71,'Master Stock'!$D$2:D71,"&lt;&gt;",'Master Stock'!$H$2:H71,"OCCUPIED"),"")</f>
        <v/>
      </c>
      <c r="W71" s="149" t="n"/>
      <c r="X71" s="149" t="n"/>
      <c r="Y71" s="149" t="n"/>
      <c r="Z71" s="149" t="n"/>
    </row>
    <row r="72" ht="15.75" customHeight="1" s="236">
      <c r="A72" s="148" t="n"/>
      <c r="B72" s="148" t="n"/>
      <c r="C72" s="124" t="n"/>
      <c r="D72" s="148" t="n"/>
      <c r="E72" s="148" t="n"/>
      <c r="F72" s="148" t="n"/>
      <c r="G72" s="124" t="n"/>
      <c r="H72" s="148" t="n"/>
      <c r="I72" s="148" t="n"/>
      <c r="J72" s="148" t="n"/>
      <c r="K72" s="148" t="n"/>
      <c r="L72" s="148" t="n"/>
      <c r="M72" s="148" t="n"/>
      <c r="N72" s="148" t="n"/>
      <c r="O72" s="148" t="n"/>
      <c r="P72" s="148" t="n"/>
      <c r="Q72" s="148" t="n"/>
      <c r="R72" s="148" t="n"/>
      <c r="S72" s="148" t="n"/>
      <c r="T72" s="148" t="n"/>
      <c r="U72" s="149">
        <f>IF(AND('Master Stock'!D72&lt;&gt;"",'Master Stock'!H72="OCCUPIED",ISNUMBER('Master Stock'!J72),'Master Stock'!K72=""),SUMPRODUCT(--('Master Stock'!$D$2:$D$1000&lt;&gt;""),--('Master Stock'!$H$2:$H$1000="OCCUPIED"),--ISNUMBER('Master Stock'!$J$2:$J$1000),--('Master Stock'!$K$2:$K$1000=""),--('Master Stock'!$J$2:$J$1000&lt;'Master Stock'!J72))+COUNTIFS('Master Stock'!$J$2:J72,'Master Stock'!J72,'Master Stock'!$D$2:D72,"&lt;&gt;",'Master Stock'!$H$2:H72,"OCCUPIED",'Master Stock'!$K$2:K72,""),"")</f>
        <v/>
      </c>
      <c r="V72" s="149">
        <f>IF(AND('Master Stock'!D72&lt;&gt;"",'Master Stock'!H72="OCCUPIED",ISNUMBER('Master Stock'!L72),'Master Stock'!L72&lt;TODAY()-30),SUMPRODUCT(--('Master Stock'!$D$2:$D$1000&lt;&gt;""),--('Master Stock'!$H$2:$H$1000="OCCUPIED"),--ISNUMBER('Master Stock'!$L$2:$L$1000),--('Master Stock'!$L$2:$L$1000&lt;TODAY()-30),--('Master Stock'!$L$2:$L$1000&lt;'Master Stock'!L72))+COUNTIFS('Master Stock'!$L$2:L72,'Master Stock'!L72,'Master Stock'!$D$2:D72,"&lt;&gt;",'Master Stock'!$H$2:H72,"OCCUPIED"),"")</f>
        <v/>
      </c>
      <c r="W72" s="149" t="n"/>
      <c r="X72" s="149" t="n"/>
      <c r="Y72" s="149" t="n"/>
      <c r="Z72" s="149" t="n"/>
    </row>
    <row r="73" ht="15.75" customHeight="1" s="236">
      <c r="A73" s="148" t="n"/>
      <c r="B73" s="148" t="n"/>
      <c r="C73" s="124" t="n"/>
      <c r="D73" s="148" t="n"/>
      <c r="E73" s="148" t="n"/>
      <c r="F73" s="148" t="n"/>
      <c r="G73" s="124" t="n"/>
      <c r="H73" s="148" t="n"/>
      <c r="I73" s="148" t="n"/>
      <c r="J73" s="148" t="n"/>
      <c r="K73" s="148" t="n"/>
      <c r="L73" s="148" t="n"/>
      <c r="M73" s="148" t="n"/>
      <c r="N73" s="148" t="n"/>
      <c r="O73" s="148" t="n"/>
      <c r="P73" s="148" t="n"/>
      <c r="Q73" s="148" t="n"/>
      <c r="R73" s="148" t="n"/>
      <c r="S73" s="148" t="n"/>
      <c r="T73" s="148" t="n"/>
      <c r="U73" s="149">
        <f>IF(AND('Master Stock'!D73&lt;&gt;"",'Master Stock'!H73="OCCUPIED",ISNUMBER('Master Stock'!J73),'Master Stock'!K73=""),SUMPRODUCT(--('Master Stock'!$D$2:$D$1000&lt;&gt;""),--('Master Stock'!$H$2:$H$1000="OCCUPIED"),--ISNUMBER('Master Stock'!$J$2:$J$1000),--('Master Stock'!$K$2:$K$1000=""),--('Master Stock'!$J$2:$J$1000&lt;'Master Stock'!J73))+COUNTIFS('Master Stock'!$J$2:J73,'Master Stock'!J73,'Master Stock'!$D$2:D73,"&lt;&gt;",'Master Stock'!$H$2:H73,"OCCUPIED",'Master Stock'!$K$2:K73,""),"")</f>
        <v/>
      </c>
      <c r="V73" s="149">
        <f>IF(AND('Master Stock'!D73&lt;&gt;"",'Master Stock'!H73="OCCUPIED",ISNUMBER('Master Stock'!L73),'Master Stock'!L73&lt;TODAY()-30),SUMPRODUCT(--('Master Stock'!$D$2:$D$1000&lt;&gt;""),--('Master Stock'!$H$2:$H$1000="OCCUPIED"),--ISNUMBER('Master Stock'!$L$2:$L$1000),--('Master Stock'!$L$2:$L$1000&lt;TODAY()-30),--('Master Stock'!$L$2:$L$1000&lt;'Master Stock'!L73))+COUNTIFS('Master Stock'!$L$2:L73,'Master Stock'!L73,'Master Stock'!$D$2:D73,"&lt;&gt;",'Master Stock'!$H$2:H73,"OCCUPIED"),"")</f>
        <v/>
      </c>
      <c r="W73" s="149" t="n"/>
      <c r="X73" s="149" t="n"/>
      <c r="Y73" s="149" t="n"/>
      <c r="Z73" s="149" t="n"/>
    </row>
    <row r="74" ht="15.75" customHeight="1" s="236">
      <c r="A74" s="148" t="n"/>
      <c r="B74" s="148" t="n"/>
      <c r="C74" s="124" t="n"/>
      <c r="D74" s="148" t="n"/>
      <c r="E74" s="148" t="n"/>
      <c r="F74" s="148" t="n"/>
      <c r="G74" s="124" t="n"/>
      <c r="H74" s="148" t="n"/>
      <c r="I74" s="148" t="n"/>
      <c r="J74" s="148" t="n"/>
      <c r="K74" s="148" t="n"/>
      <c r="L74" s="148" t="n"/>
      <c r="M74" s="148" t="n"/>
      <c r="N74" s="148" t="n"/>
      <c r="O74" s="148" t="n"/>
      <c r="P74" s="148" t="n"/>
      <c r="Q74" s="148" t="n"/>
      <c r="R74" s="148" t="n"/>
      <c r="S74" s="148" t="n"/>
      <c r="T74" s="148" t="n"/>
      <c r="U74" s="149">
        <f>IF(AND('Master Stock'!D74&lt;&gt;"",'Master Stock'!H74="OCCUPIED",ISNUMBER('Master Stock'!J74),'Master Stock'!K74=""),SUMPRODUCT(--('Master Stock'!$D$2:$D$1000&lt;&gt;""),--('Master Stock'!$H$2:$H$1000="OCCUPIED"),--ISNUMBER('Master Stock'!$J$2:$J$1000),--('Master Stock'!$K$2:$K$1000=""),--('Master Stock'!$J$2:$J$1000&lt;'Master Stock'!J74))+COUNTIFS('Master Stock'!$J$2:J74,'Master Stock'!J74,'Master Stock'!$D$2:D74,"&lt;&gt;",'Master Stock'!$H$2:H74,"OCCUPIED",'Master Stock'!$K$2:K74,""),"")</f>
        <v/>
      </c>
      <c r="V74" s="149">
        <f>IF(AND('Master Stock'!D74&lt;&gt;"",'Master Stock'!H74="OCCUPIED",ISNUMBER('Master Stock'!L74),'Master Stock'!L74&lt;TODAY()-30),SUMPRODUCT(--('Master Stock'!$D$2:$D$1000&lt;&gt;""),--('Master Stock'!$H$2:$H$1000="OCCUPIED"),--ISNUMBER('Master Stock'!$L$2:$L$1000),--('Master Stock'!$L$2:$L$1000&lt;TODAY()-30),--('Master Stock'!$L$2:$L$1000&lt;'Master Stock'!L74))+COUNTIFS('Master Stock'!$L$2:L74,'Master Stock'!L74,'Master Stock'!$D$2:D74,"&lt;&gt;",'Master Stock'!$H$2:H74,"OCCUPIED"),"")</f>
        <v/>
      </c>
      <c r="W74" s="149" t="n"/>
      <c r="X74" s="149" t="n"/>
      <c r="Y74" s="149" t="n"/>
      <c r="Z74" s="149" t="n"/>
    </row>
    <row r="75" ht="15.75" customHeight="1" s="236">
      <c r="A75" s="148" t="n"/>
      <c r="B75" s="148" t="n"/>
      <c r="C75" s="124" t="n"/>
      <c r="D75" s="148" t="n"/>
      <c r="E75" s="148" t="n"/>
      <c r="F75" s="148" t="n"/>
      <c r="G75" s="124" t="n"/>
      <c r="H75" s="148" t="n"/>
      <c r="I75" s="148" t="n"/>
      <c r="J75" s="148" t="n"/>
      <c r="K75" s="148" t="n"/>
      <c r="L75" s="148" t="n"/>
      <c r="M75" s="148" t="n"/>
      <c r="N75" s="148" t="n"/>
      <c r="O75" s="148" t="n"/>
      <c r="P75" s="148" t="n"/>
      <c r="Q75" s="148" t="n"/>
      <c r="R75" s="148" t="n"/>
      <c r="S75" s="148" t="n"/>
      <c r="T75" s="148" t="n"/>
      <c r="U75" s="149">
        <f>IF(AND('Master Stock'!D75&lt;&gt;"",'Master Stock'!H75="OCCUPIED",ISNUMBER('Master Stock'!J75),'Master Stock'!K75=""),SUMPRODUCT(--('Master Stock'!$D$2:$D$1000&lt;&gt;""),--('Master Stock'!$H$2:$H$1000="OCCUPIED"),--ISNUMBER('Master Stock'!$J$2:$J$1000),--('Master Stock'!$K$2:$K$1000=""),--('Master Stock'!$J$2:$J$1000&lt;'Master Stock'!J75))+COUNTIFS('Master Stock'!$J$2:J75,'Master Stock'!J75,'Master Stock'!$D$2:D75,"&lt;&gt;",'Master Stock'!$H$2:H75,"OCCUPIED",'Master Stock'!$K$2:K75,""),"")</f>
        <v/>
      </c>
      <c r="V75" s="149">
        <f>IF(AND('Master Stock'!D75&lt;&gt;"",'Master Stock'!H75="OCCUPIED",ISNUMBER('Master Stock'!L75),'Master Stock'!L75&lt;TODAY()-30),SUMPRODUCT(--('Master Stock'!$D$2:$D$1000&lt;&gt;""),--('Master Stock'!$H$2:$H$1000="OCCUPIED"),--ISNUMBER('Master Stock'!$L$2:$L$1000),--('Master Stock'!$L$2:$L$1000&lt;TODAY()-30),--('Master Stock'!$L$2:$L$1000&lt;'Master Stock'!L75))+COUNTIFS('Master Stock'!$L$2:L75,'Master Stock'!L75,'Master Stock'!$D$2:D75,"&lt;&gt;",'Master Stock'!$H$2:H75,"OCCUPIED"),"")</f>
        <v/>
      </c>
      <c r="W75" s="149" t="n"/>
      <c r="X75" s="149" t="n"/>
      <c r="Y75" s="149" t="n"/>
      <c r="Z75" s="149" t="n"/>
    </row>
    <row r="76" ht="15.75" customHeight="1" s="236">
      <c r="A76" s="148" t="n"/>
      <c r="B76" s="148" t="n"/>
      <c r="C76" s="124" t="n"/>
      <c r="D76" s="148" t="n"/>
      <c r="E76" s="148" t="n"/>
      <c r="F76" s="148" t="n"/>
      <c r="G76" s="124" t="n"/>
      <c r="H76" s="148" t="n"/>
      <c r="I76" s="148" t="n"/>
      <c r="J76" s="148" t="n"/>
      <c r="K76" s="148" t="n"/>
      <c r="L76" s="148" t="n"/>
      <c r="M76" s="148" t="n"/>
      <c r="N76" s="148" t="n"/>
      <c r="O76" s="148" t="n"/>
      <c r="P76" s="148" t="n"/>
      <c r="Q76" s="148" t="n"/>
      <c r="R76" s="148" t="n"/>
      <c r="S76" s="148" t="n"/>
      <c r="T76" s="148" t="n"/>
      <c r="U76" s="149">
        <f>IF(AND('Master Stock'!D76&lt;&gt;"",'Master Stock'!H76="OCCUPIED",ISNUMBER('Master Stock'!J76),'Master Stock'!K76=""),SUMPRODUCT(--('Master Stock'!$D$2:$D$1000&lt;&gt;""),--('Master Stock'!$H$2:$H$1000="OCCUPIED"),--ISNUMBER('Master Stock'!$J$2:$J$1000),--('Master Stock'!$K$2:$K$1000=""),--('Master Stock'!$J$2:$J$1000&lt;'Master Stock'!J76))+COUNTIFS('Master Stock'!$J$2:J76,'Master Stock'!J76,'Master Stock'!$D$2:D76,"&lt;&gt;",'Master Stock'!$H$2:H76,"OCCUPIED",'Master Stock'!$K$2:K76,""),"")</f>
        <v/>
      </c>
      <c r="V76" s="149">
        <f>IF(AND('Master Stock'!D76&lt;&gt;"",'Master Stock'!H76="OCCUPIED",ISNUMBER('Master Stock'!L76),'Master Stock'!L76&lt;TODAY()-30),SUMPRODUCT(--('Master Stock'!$D$2:$D$1000&lt;&gt;""),--('Master Stock'!$H$2:$H$1000="OCCUPIED"),--ISNUMBER('Master Stock'!$L$2:$L$1000),--('Master Stock'!$L$2:$L$1000&lt;TODAY()-30),--('Master Stock'!$L$2:$L$1000&lt;'Master Stock'!L76))+COUNTIFS('Master Stock'!$L$2:L76,'Master Stock'!L76,'Master Stock'!$D$2:D76,"&lt;&gt;",'Master Stock'!$H$2:H76,"OCCUPIED"),"")</f>
        <v/>
      </c>
      <c r="W76" s="149" t="n"/>
      <c r="X76" s="149" t="n"/>
      <c r="Y76" s="149" t="n"/>
      <c r="Z76" s="149" t="n"/>
    </row>
    <row r="77" ht="15.75" customHeight="1" s="236">
      <c r="A77" s="148" t="n"/>
      <c r="B77" s="148" t="n"/>
      <c r="C77" s="124" t="n"/>
      <c r="D77" s="148" t="n"/>
      <c r="E77" s="148" t="n"/>
      <c r="F77" s="148" t="n"/>
      <c r="G77" s="124" t="n"/>
      <c r="H77" s="148" t="n"/>
      <c r="I77" s="148" t="n"/>
      <c r="J77" s="148" t="n"/>
      <c r="K77" s="148" t="n"/>
      <c r="L77" s="148" t="n"/>
      <c r="M77" s="148" t="n"/>
      <c r="N77" s="148" t="n"/>
      <c r="O77" s="148" t="n"/>
      <c r="P77" s="148" t="n"/>
      <c r="Q77" s="148" t="n"/>
      <c r="R77" s="148" t="n"/>
      <c r="S77" s="148" t="n"/>
      <c r="T77" s="148" t="n"/>
      <c r="U77" s="149">
        <f>IF(AND('Master Stock'!D77&lt;&gt;"",'Master Stock'!H77="OCCUPIED",ISNUMBER('Master Stock'!J77),'Master Stock'!K77=""),SUMPRODUCT(--('Master Stock'!$D$2:$D$1000&lt;&gt;""),--('Master Stock'!$H$2:$H$1000="OCCUPIED"),--ISNUMBER('Master Stock'!$J$2:$J$1000),--('Master Stock'!$K$2:$K$1000=""),--('Master Stock'!$J$2:$J$1000&lt;'Master Stock'!J77))+COUNTIFS('Master Stock'!$J$2:J77,'Master Stock'!J77,'Master Stock'!$D$2:D77,"&lt;&gt;",'Master Stock'!$H$2:H77,"OCCUPIED",'Master Stock'!$K$2:K77,""),"")</f>
        <v/>
      </c>
      <c r="V77" s="149">
        <f>IF(AND('Master Stock'!D77&lt;&gt;"",'Master Stock'!H77="OCCUPIED",ISNUMBER('Master Stock'!L77),'Master Stock'!L77&lt;TODAY()-30),SUMPRODUCT(--('Master Stock'!$D$2:$D$1000&lt;&gt;""),--('Master Stock'!$H$2:$H$1000="OCCUPIED"),--ISNUMBER('Master Stock'!$L$2:$L$1000),--('Master Stock'!$L$2:$L$1000&lt;TODAY()-30),--('Master Stock'!$L$2:$L$1000&lt;'Master Stock'!L77))+COUNTIFS('Master Stock'!$L$2:L77,'Master Stock'!L77,'Master Stock'!$D$2:D77,"&lt;&gt;",'Master Stock'!$H$2:H77,"OCCUPIED"),"")</f>
        <v/>
      </c>
      <c r="W77" s="149" t="n"/>
      <c r="X77" s="149" t="n"/>
      <c r="Y77" s="149" t="n"/>
      <c r="Z77" s="149" t="n"/>
    </row>
    <row r="78" ht="15.75" customHeight="1" s="236">
      <c r="A78" s="148" t="n"/>
      <c r="B78" s="148" t="n"/>
      <c r="C78" s="124" t="n"/>
      <c r="D78" s="148" t="n"/>
      <c r="E78" s="148" t="n"/>
      <c r="F78" s="148" t="n"/>
      <c r="G78" s="124" t="n"/>
      <c r="H78" s="148" t="n"/>
      <c r="I78" s="148" t="n"/>
      <c r="J78" s="148" t="n"/>
      <c r="K78" s="148" t="n"/>
      <c r="L78" s="148" t="n"/>
      <c r="M78" s="148" t="n"/>
      <c r="N78" s="148" t="n"/>
      <c r="O78" s="148" t="n"/>
      <c r="P78" s="148" t="n"/>
      <c r="Q78" s="148" t="n"/>
      <c r="R78" s="148" t="n"/>
      <c r="S78" s="148" t="n"/>
      <c r="T78" s="148" t="n"/>
      <c r="U78" s="149">
        <f>IF(AND('Master Stock'!D78&lt;&gt;"",'Master Stock'!H78="OCCUPIED",ISNUMBER('Master Stock'!J78),'Master Stock'!K78=""),SUMPRODUCT(--('Master Stock'!$D$2:$D$1000&lt;&gt;""),--('Master Stock'!$H$2:$H$1000="OCCUPIED"),--ISNUMBER('Master Stock'!$J$2:$J$1000),--('Master Stock'!$K$2:$K$1000=""),--('Master Stock'!$J$2:$J$1000&lt;'Master Stock'!J78))+COUNTIFS('Master Stock'!$J$2:J78,'Master Stock'!J78,'Master Stock'!$D$2:D78,"&lt;&gt;",'Master Stock'!$H$2:H78,"OCCUPIED",'Master Stock'!$K$2:K78,""),"")</f>
        <v/>
      </c>
      <c r="V78" s="149">
        <f>IF(AND('Master Stock'!D78&lt;&gt;"",'Master Stock'!H78="OCCUPIED",ISNUMBER('Master Stock'!L78),'Master Stock'!L78&lt;TODAY()-30),SUMPRODUCT(--('Master Stock'!$D$2:$D$1000&lt;&gt;""),--('Master Stock'!$H$2:$H$1000="OCCUPIED"),--ISNUMBER('Master Stock'!$L$2:$L$1000),--('Master Stock'!$L$2:$L$1000&lt;TODAY()-30),--('Master Stock'!$L$2:$L$1000&lt;'Master Stock'!L78))+COUNTIFS('Master Stock'!$L$2:L78,'Master Stock'!L78,'Master Stock'!$D$2:D78,"&lt;&gt;",'Master Stock'!$H$2:H78,"OCCUPIED"),"")</f>
        <v/>
      </c>
      <c r="W78" s="149" t="n"/>
      <c r="X78" s="149" t="n"/>
      <c r="Y78" s="149" t="n"/>
      <c r="Z78" s="149" t="n"/>
    </row>
    <row r="79" ht="15.75" customHeight="1" s="236">
      <c r="A79" s="148" t="n"/>
      <c r="B79" s="148" t="n"/>
      <c r="C79" s="124" t="n"/>
      <c r="D79" s="148" t="n"/>
      <c r="E79" s="148" t="n"/>
      <c r="F79" s="148" t="n"/>
      <c r="G79" s="124" t="n"/>
      <c r="H79" s="148" t="n"/>
      <c r="I79" s="148" t="n"/>
      <c r="J79" s="148" t="n"/>
      <c r="K79" s="148" t="n"/>
      <c r="L79" s="148" t="n"/>
      <c r="M79" s="148" t="n"/>
      <c r="N79" s="148" t="n"/>
      <c r="O79" s="148" t="n"/>
      <c r="P79" s="148" t="n"/>
      <c r="Q79" s="148" t="n"/>
      <c r="R79" s="148" t="n"/>
      <c r="S79" s="148" t="n"/>
      <c r="T79" s="148" t="n"/>
      <c r="U79" s="149">
        <f>IF(AND('Master Stock'!D79&lt;&gt;"",'Master Stock'!H79="OCCUPIED",ISNUMBER('Master Stock'!J79),'Master Stock'!K79=""),SUMPRODUCT(--('Master Stock'!$D$2:$D$1000&lt;&gt;""),--('Master Stock'!$H$2:$H$1000="OCCUPIED"),--ISNUMBER('Master Stock'!$J$2:$J$1000),--('Master Stock'!$K$2:$K$1000=""),--('Master Stock'!$J$2:$J$1000&lt;'Master Stock'!J79))+COUNTIFS('Master Stock'!$J$2:J79,'Master Stock'!J79,'Master Stock'!$D$2:D79,"&lt;&gt;",'Master Stock'!$H$2:H79,"OCCUPIED",'Master Stock'!$K$2:K79,""),"")</f>
        <v/>
      </c>
      <c r="V79" s="149">
        <f>IF(AND('Master Stock'!D79&lt;&gt;"",'Master Stock'!H79="OCCUPIED",ISNUMBER('Master Stock'!L79),'Master Stock'!L79&lt;TODAY()-30),SUMPRODUCT(--('Master Stock'!$D$2:$D$1000&lt;&gt;""),--('Master Stock'!$H$2:$H$1000="OCCUPIED"),--ISNUMBER('Master Stock'!$L$2:$L$1000),--('Master Stock'!$L$2:$L$1000&lt;TODAY()-30),--('Master Stock'!$L$2:$L$1000&lt;'Master Stock'!L79))+COUNTIFS('Master Stock'!$L$2:L79,'Master Stock'!L79,'Master Stock'!$D$2:D79,"&lt;&gt;",'Master Stock'!$H$2:H79,"OCCUPIED"),"")</f>
        <v/>
      </c>
      <c r="W79" s="149" t="n"/>
      <c r="X79" s="149" t="n"/>
      <c r="Y79" s="149" t="n"/>
      <c r="Z79" s="149" t="n"/>
    </row>
    <row r="80" ht="15.75" customHeight="1" s="236">
      <c r="A80" s="148" t="n"/>
      <c r="B80" s="148" t="n"/>
      <c r="C80" s="124" t="n"/>
      <c r="D80" s="148" t="n"/>
      <c r="E80" s="148" t="n"/>
      <c r="F80" s="148" t="n"/>
      <c r="G80" s="124" t="n"/>
      <c r="H80" s="148" t="n"/>
      <c r="I80" s="148" t="n"/>
      <c r="J80" s="148" t="n"/>
      <c r="K80" s="148" t="n"/>
      <c r="L80" s="148" t="n"/>
      <c r="M80" s="148" t="n"/>
      <c r="N80" s="148" t="n"/>
      <c r="O80" s="148" t="n"/>
      <c r="P80" s="148" t="n"/>
      <c r="Q80" s="148" t="n"/>
      <c r="R80" s="148" t="n"/>
      <c r="S80" s="148" t="n"/>
      <c r="T80" s="148" t="n"/>
      <c r="U80" s="149">
        <f>IF(AND('Master Stock'!D80&lt;&gt;"",'Master Stock'!H80="OCCUPIED",ISNUMBER('Master Stock'!J80),'Master Stock'!K80=""),SUMPRODUCT(--('Master Stock'!$D$2:$D$1000&lt;&gt;""),--('Master Stock'!$H$2:$H$1000="OCCUPIED"),--ISNUMBER('Master Stock'!$J$2:$J$1000),--('Master Stock'!$K$2:$K$1000=""),--('Master Stock'!$J$2:$J$1000&lt;'Master Stock'!J80))+COUNTIFS('Master Stock'!$J$2:J80,'Master Stock'!J80,'Master Stock'!$D$2:D80,"&lt;&gt;",'Master Stock'!$H$2:H80,"OCCUPIED",'Master Stock'!$K$2:K80,""),"")</f>
        <v/>
      </c>
      <c r="V80" s="149">
        <f>IF(AND('Master Stock'!D80&lt;&gt;"",'Master Stock'!H80="OCCUPIED",ISNUMBER('Master Stock'!L80),'Master Stock'!L80&lt;TODAY()-30),SUMPRODUCT(--('Master Stock'!$D$2:$D$1000&lt;&gt;""),--('Master Stock'!$H$2:$H$1000="OCCUPIED"),--ISNUMBER('Master Stock'!$L$2:$L$1000),--('Master Stock'!$L$2:$L$1000&lt;TODAY()-30),--('Master Stock'!$L$2:$L$1000&lt;'Master Stock'!L80))+COUNTIFS('Master Stock'!$L$2:L80,'Master Stock'!L80,'Master Stock'!$D$2:D80,"&lt;&gt;",'Master Stock'!$H$2:H80,"OCCUPIED"),"")</f>
        <v/>
      </c>
      <c r="W80" s="149" t="n"/>
      <c r="X80" s="149" t="n"/>
      <c r="Y80" s="149" t="n"/>
      <c r="Z80" s="149" t="n"/>
    </row>
    <row r="81" ht="15.75" customHeight="1" s="236">
      <c r="A81" s="148" t="n"/>
      <c r="B81" s="148" t="n"/>
      <c r="C81" s="124" t="n"/>
      <c r="D81" s="148" t="n"/>
      <c r="E81" s="148" t="n"/>
      <c r="F81" s="148" t="n"/>
      <c r="G81" s="124" t="n"/>
      <c r="H81" s="148" t="n"/>
      <c r="I81" s="148" t="n"/>
      <c r="J81" s="148" t="n"/>
      <c r="K81" s="148" t="n"/>
      <c r="L81" s="148" t="n"/>
      <c r="M81" s="148" t="n"/>
      <c r="N81" s="148" t="n"/>
      <c r="O81" s="148" t="n"/>
      <c r="P81" s="148" t="n"/>
      <c r="Q81" s="148" t="n"/>
      <c r="R81" s="148" t="n"/>
      <c r="S81" s="148" t="n"/>
      <c r="T81" s="148" t="n"/>
      <c r="U81" s="149">
        <f>IF(AND('Master Stock'!D81&lt;&gt;"",'Master Stock'!H81="OCCUPIED",ISNUMBER('Master Stock'!J81),'Master Stock'!K81=""),SUMPRODUCT(--('Master Stock'!$D$2:$D$1000&lt;&gt;""),--('Master Stock'!$H$2:$H$1000="OCCUPIED"),--ISNUMBER('Master Stock'!$J$2:$J$1000),--('Master Stock'!$K$2:$K$1000=""),--('Master Stock'!$J$2:$J$1000&lt;'Master Stock'!J81))+COUNTIFS('Master Stock'!$J$2:J81,'Master Stock'!J81,'Master Stock'!$D$2:D81,"&lt;&gt;",'Master Stock'!$H$2:H81,"OCCUPIED",'Master Stock'!$K$2:K81,""),"")</f>
        <v/>
      </c>
      <c r="V81" s="149">
        <f>IF(AND('Master Stock'!D81&lt;&gt;"",'Master Stock'!H81="OCCUPIED",ISNUMBER('Master Stock'!L81),'Master Stock'!L81&lt;TODAY()-30),SUMPRODUCT(--('Master Stock'!$D$2:$D$1000&lt;&gt;""),--('Master Stock'!$H$2:$H$1000="OCCUPIED"),--ISNUMBER('Master Stock'!$L$2:$L$1000),--('Master Stock'!$L$2:$L$1000&lt;TODAY()-30),--('Master Stock'!$L$2:$L$1000&lt;'Master Stock'!L81))+COUNTIFS('Master Stock'!$L$2:L81,'Master Stock'!L81,'Master Stock'!$D$2:D81,"&lt;&gt;",'Master Stock'!$H$2:H81,"OCCUPIED"),"")</f>
        <v/>
      </c>
      <c r="W81" s="149" t="n"/>
      <c r="X81" s="149" t="n"/>
      <c r="Y81" s="149" t="n"/>
      <c r="Z81" s="149" t="n"/>
    </row>
    <row r="82" ht="15.75" customHeight="1" s="236">
      <c r="A82" s="148" t="n"/>
      <c r="B82" s="148" t="n"/>
      <c r="C82" s="124" t="n"/>
      <c r="D82" s="148" t="n"/>
      <c r="E82" s="148" t="n"/>
      <c r="F82" s="148" t="n"/>
      <c r="G82" s="124" t="n"/>
      <c r="H82" s="148" t="n"/>
      <c r="I82" s="148" t="n"/>
      <c r="J82" s="148" t="n"/>
      <c r="K82" s="148" t="n"/>
      <c r="L82" s="148" t="n"/>
      <c r="M82" s="148" t="n"/>
      <c r="N82" s="148" t="n"/>
      <c r="O82" s="148" t="n"/>
      <c r="P82" s="148" t="n"/>
      <c r="Q82" s="148" t="n"/>
      <c r="R82" s="148" t="n"/>
      <c r="S82" s="148" t="n"/>
      <c r="T82" s="148" t="n"/>
      <c r="U82" s="149">
        <f>IF(AND('Master Stock'!D82&lt;&gt;"",'Master Stock'!H82="OCCUPIED",ISNUMBER('Master Stock'!J82),'Master Stock'!K82=""),SUMPRODUCT(--('Master Stock'!$D$2:$D$1000&lt;&gt;""),--('Master Stock'!$H$2:$H$1000="OCCUPIED"),--ISNUMBER('Master Stock'!$J$2:$J$1000),--('Master Stock'!$K$2:$K$1000=""),--('Master Stock'!$J$2:$J$1000&lt;'Master Stock'!J82))+COUNTIFS('Master Stock'!$J$2:J82,'Master Stock'!J82,'Master Stock'!$D$2:D82,"&lt;&gt;",'Master Stock'!$H$2:H82,"OCCUPIED",'Master Stock'!$K$2:K82,""),"")</f>
        <v/>
      </c>
      <c r="V82" s="149">
        <f>IF(AND('Master Stock'!D82&lt;&gt;"",'Master Stock'!H82="OCCUPIED",ISNUMBER('Master Stock'!L82),'Master Stock'!L82&lt;TODAY()-30),SUMPRODUCT(--('Master Stock'!$D$2:$D$1000&lt;&gt;""),--('Master Stock'!$H$2:$H$1000="OCCUPIED"),--ISNUMBER('Master Stock'!$L$2:$L$1000),--('Master Stock'!$L$2:$L$1000&lt;TODAY()-30),--('Master Stock'!$L$2:$L$1000&lt;'Master Stock'!L82))+COUNTIFS('Master Stock'!$L$2:L82,'Master Stock'!L82,'Master Stock'!$D$2:D82,"&lt;&gt;",'Master Stock'!$H$2:H82,"OCCUPIED"),"")</f>
        <v/>
      </c>
      <c r="W82" s="149" t="n"/>
      <c r="X82" s="149" t="n"/>
      <c r="Y82" s="149" t="n"/>
      <c r="Z82" s="149" t="n"/>
    </row>
    <row r="83" ht="15.75" customHeight="1" s="236">
      <c r="A83" s="148" t="n"/>
      <c r="B83" s="148" t="n"/>
      <c r="C83" s="124" t="n"/>
      <c r="D83" s="148" t="n"/>
      <c r="E83" s="148" t="n"/>
      <c r="F83" s="148" t="n"/>
      <c r="G83" s="124" t="n"/>
      <c r="H83" s="148" t="n"/>
      <c r="I83" s="148" t="n"/>
      <c r="J83" s="148" t="n"/>
      <c r="K83" s="148" t="n"/>
      <c r="L83" s="148" t="n"/>
      <c r="M83" s="148" t="n"/>
      <c r="N83" s="148" t="n"/>
      <c r="O83" s="148" t="n"/>
      <c r="P83" s="148" t="n"/>
      <c r="Q83" s="148" t="n"/>
      <c r="R83" s="148" t="n"/>
      <c r="S83" s="148" t="n"/>
      <c r="T83" s="148" t="n"/>
      <c r="U83" s="149">
        <f>IF(AND('Master Stock'!D83&lt;&gt;"",'Master Stock'!H83="OCCUPIED",ISNUMBER('Master Stock'!J83),'Master Stock'!K83=""),SUMPRODUCT(--('Master Stock'!$D$2:$D$1000&lt;&gt;""),--('Master Stock'!$H$2:$H$1000="OCCUPIED"),--ISNUMBER('Master Stock'!$J$2:$J$1000),--('Master Stock'!$K$2:$K$1000=""),--('Master Stock'!$J$2:$J$1000&lt;'Master Stock'!J83))+COUNTIFS('Master Stock'!$J$2:J83,'Master Stock'!J83,'Master Stock'!$D$2:D83,"&lt;&gt;",'Master Stock'!$H$2:H83,"OCCUPIED",'Master Stock'!$K$2:K83,""),"")</f>
        <v/>
      </c>
      <c r="V83" s="149">
        <f>IF(AND('Master Stock'!D83&lt;&gt;"",'Master Stock'!H83="OCCUPIED",ISNUMBER('Master Stock'!L83),'Master Stock'!L83&lt;TODAY()-30),SUMPRODUCT(--('Master Stock'!$D$2:$D$1000&lt;&gt;""),--('Master Stock'!$H$2:$H$1000="OCCUPIED"),--ISNUMBER('Master Stock'!$L$2:$L$1000),--('Master Stock'!$L$2:$L$1000&lt;TODAY()-30),--('Master Stock'!$L$2:$L$1000&lt;'Master Stock'!L83))+COUNTIFS('Master Stock'!$L$2:L83,'Master Stock'!L83,'Master Stock'!$D$2:D83,"&lt;&gt;",'Master Stock'!$H$2:H83,"OCCUPIED"),"")</f>
        <v/>
      </c>
      <c r="W83" s="149" t="n"/>
      <c r="X83" s="149" t="n"/>
      <c r="Y83" s="149" t="n"/>
      <c r="Z83" s="149" t="n"/>
    </row>
    <row r="84" ht="15.75" customHeight="1" s="236">
      <c r="A84" s="148" t="n"/>
      <c r="B84" s="148" t="n"/>
      <c r="C84" s="124" t="n"/>
      <c r="D84" s="148" t="n"/>
      <c r="E84" s="148" t="n"/>
      <c r="F84" s="148" t="n"/>
      <c r="G84" s="124" t="n"/>
      <c r="H84" s="148" t="n"/>
      <c r="I84" s="148" t="n"/>
      <c r="J84" s="148" t="n"/>
      <c r="K84" s="148" t="n"/>
      <c r="L84" s="148" t="n"/>
      <c r="M84" s="148" t="n"/>
      <c r="N84" s="148" t="n"/>
      <c r="O84" s="148" t="n"/>
      <c r="P84" s="148" t="n"/>
      <c r="Q84" s="148" t="n"/>
      <c r="R84" s="148" t="n"/>
      <c r="S84" s="148" t="n"/>
      <c r="T84" s="148" t="n"/>
      <c r="U84" s="149">
        <f>IF(AND('Master Stock'!D84&lt;&gt;"",'Master Stock'!H84="OCCUPIED",ISNUMBER('Master Stock'!J84),'Master Stock'!K84=""),SUMPRODUCT(--('Master Stock'!$D$2:$D$1000&lt;&gt;""),--('Master Stock'!$H$2:$H$1000="OCCUPIED"),--ISNUMBER('Master Stock'!$J$2:$J$1000),--('Master Stock'!$K$2:$K$1000=""),--('Master Stock'!$J$2:$J$1000&lt;'Master Stock'!J84))+COUNTIFS('Master Stock'!$J$2:J84,'Master Stock'!J84,'Master Stock'!$D$2:D84,"&lt;&gt;",'Master Stock'!$H$2:H84,"OCCUPIED",'Master Stock'!$K$2:K84,""),"")</f>
        <v/>
      </c>
      <c r="V84" s="149">
        <f>IF(AND('Master Stock'!D84&lt;&gt;"",'Master Stock'!H84="OCCUPIED",ISNUMBER('Master Stock'!L84),'Master Stock'!L84&lt;TODAY()-30),SUMPRODUCT(--('Master Stock'!$D$2:$D$1000&lt;&gt;""),--('Master Stock'!$H$2:$H$1000="OCCUPIED"),--ISNUMBER('Master Stock'!$L$2:$L$1000),--('Master Stock'!$L$2:$L$1000&lt;TODAY()-30),--('Master Stock'!$L$2:$L$1000&lt;'Master Stock'!L84))+COUNTIFS('Master Stock'!$L$2:L84,'Master Stock'!L84,'Master Stock'!$D$2:D84,"&lt;&gt;",'Master Stock'!$H$2:H84,"OCCUPIED"),"")</f>
        <v/>
      </c>
      <c r="W84" s="149" t="n"/>
      <c r="X84" s="149" t="n"/>
      <c r="Y84" s="149" t="n"/>
      <c r="Z84" s="149" t="n"/>
    </row>
    <row r="85" ht="15.75" customHeight="1" s="236">
      <c r="A85" s="148" t="n"/>
      <c r="B85" s="148" t="n"/>
      <c r="C85" s="124" t="n"/>
      <c r="D85" s="148" t="n"/>
      <c r="E85" s="148" t="n"/>
      <c r="F85" s="148" t="n"/>
      <c r="G85" s="124" t="n"/>
      <c r="H85" s="148" t="n"/>
      <c r="I85" s="148" t="n"/>
      <c r="J85" s="148" t="n"/>
      <c r="K85" s="148" t="n"/>
      <c r="L85" s="148" t="n"/>
      <c r="M85" s="148" t="n"/>
      <c r="N85" s="148" t="n"/>
      <c r="O85" s="148" t="n"/>
      <c r="P85" s="148" t="n"/>
      <c r="Q85" s="148" t="n"/>
      <c r="R85" s="148" t="n"/>
      <c r="S85" s="148" t="n"/>
      <c r="T85" s="148" t="n"/>
      <c r="U85" s="149">
        <f>IF(AND('Master Stock'!D85&lt;&gt;"",'Master Stock'!H85="OCCUPIED",ISNUMBER('Master Stock'!J85),'Master Stock'!K85=""),SUMPRODUCT(--('Master Stock'!$D$2:$D$1000&lt;&gt;""),--('Master Stock'!$H$2:$H$1000="OCCUPIED"),--ISNUMBER('Master Stock'!$J$2:$J$1000),--('Master Stock'!$K$2:$K$1000=""),--('Master Stock'!$J$2:$J$1000&lt;'Master Stock'!J85))+COUNTIFS('Master Stock'!$J$2:J85,'Master Stock'!J85,'Master Stock'!$D$2:D85,"&lt;&gt;",'Master Stock'!$H$2:H85,"OCCUPIED",'Master Stock'!$K$2:K85,""),"")</f>
        <v/>
      </c>
      <c r="V85" s="149">
        <f>IF(AND('Master Stock'!D85&lt;&gt;"",'Master Stock'!H85="OCCUPIED",ISNUMBER('Master Stock'!L85),'Master Stock'!L85&lt;TODAY()-30),SUMPRODUCT(--('Master Stock'!$D$2:$D$1000&lt;&gt;""),--('Master Stock'!$H$2:$H$1000="OCCUPIED"),--ISNUMBER('Master Stock'!$L$2:$L$1000),--('Master Stock'!$L$2:$L$1000&lt;TODAY()-30),--('Master Stock'!$L$2:$L$1000&lt;'Master Stock'!L85))+COUNTIFS('Master Stock'!$L$2:L85,'Master Stock'!L85,'Master Stock'!$D$2:D85,"&lt;&gt;",'Master Stock'!$H$2:H85,"OCCUPIED"),"")</f>
        <v/>
      </c>
      <c r="W85" s="149" t="n"/>
      <c r="X85" s="149" t="n"/>
      <c r="Y85" s="149" t="n"/>
      <c r="Z85" s="149" t="n"/>
    </row>
    <row r="86" ht="15.75" customHeight="1" s="236">
      <c r="A86" s="148" t="n"/>
      <c r="B86" s="148" t="n"/>
      <c r="C86" s="124" t="n"/>
      <c r="D86" s="148" t="n"/>
      <c r="E86" s="148" t="n"/>
      <c r="F86" s="148" t="n"/>
      <c r="G86" s="124" t="n"/>
      <c r="H86" s="148" t="n"/>
      <c r="I86" s="148" t="n"/>
      <c r="J86" s="148" t="n"/>
      <c r="K86" s="148" t="n"/>
      <c r="L86" s="148" t="n"/>
      <c r="M86" s="148" t="n"/>
      <c r="N86" s="148" t="n"/>
      <c r="O86" s="148" t="n"/>
      <c r="P86" s="148" t="n"/>
      <c r="Q86" s="148" t="n"/>
      <c r="R86" s="148" t="n"/>
      <c r="S86" s="148" t="n"/>
      <c r="T86" s="148" t="n"/>
      <c r="U86" s="149">
        <f>IF(AND('Master Stock'!D86&lt;&gt;"",'Master Stock'!H86="OCCUPIED",ISNUMBER('Master Stock'!J86),'Master Stock'!K86=""),SUMPRODUCT(--('Master Stock'!$D$2:$D$1000&lt;&gt;""),--('Master Stock'!$H$2:$H$1000="OCCUPIED"),--ISNUMBER('Master Stock'!$J$2:$J$1000),--('Master Stock'!$K$2:$K$1000=""),--('Master Stock'!$J$2:$J$1000&lt;'Master Stock'!J86))+COUNTIFS('Master Stock'!$J$2:J86,'Master Stock'!J86,'Master Stock'!$D$2:D86,"&lt;&gt;",'Master Stock'!$H$2:H86,"OCCUPIED",'Master Stock'!$K$2:K86,""),"")</f>
        <v/>
      </c>
      <c r="V86" s="149">
        <f>IF(AND('Master Stock'!D86&lt;&gt;"",'Master Stock'!H86="OCCUPIED",ISNUMBER('Master Stock'!L86),'Master Stock'!L86&lt;TODAY()-30),SUMPRODUCT(--('Master Stock'!$D$2:$D$1000&lt;&gt;""),--('Master Stock'!$H$2:$H$1000="OCCUPIED"),--ISNUMBER('Master Stock'!$L$2:$L$1000),--('Master Stock'!$L$2:$L$1000&lt;TODAY()-30),--('Master Stock'!$L$2:$L$1000&lt;'Master Stock'!L86))+COUNTIFS('Master Stock'!$L$2:L86,'Master Stock'!L86,'Master Stock'!$D$2:D86,"&lt;&gt;",'Master Stock'!$H$2:H86,"OCCUPIED"),"")</f>
        <v/>
      </c>
      <c r="W86" s="149" t="n"/>
      <c r="X86" s="149" t="n"/>
      <c r="Y86" s="149" t="n"/>
      <c r="Z86" s="149" t="n"/>
    </row>
    <row r="87" ht="15.75" customHeight="1" s="236">
      <c r="A87" s="148" t="n"/>
      <c r="B87" s="148" t="n"/>
      <c r="C87" s="124" t="n"/>
      <c r="D87" s="148" t="n"/>
      <c r="E87" s="148" t="n"/>
      <c r="F87" s="148" t="n"/>
      <c r="G87" s="124" t="n"/>
      <c r="H87" s="148" t="n"/>
      <c r="I87" s="148" t="n"/>
      <c r="J87" s="148" t="n"/>
      <c r="K87" s="148" t="n"/>
      <c r="L87" s="148" t="n"/>
      <c r="M87" s="148" t="n"/>
      <c r="N87" s="148" t="n"/>
      <c r="O87" s="148" t="n"/>
      <c r="P87" s="148" t="n"/>
      <c r="Q87" s="148" t="n"/>
      <c r="R87" s="148" t="n"/>
      <c r="S87" s="148" t="n"/>
      <c r="T87" s="148" t="n"/>
      <c r="U87" s="149">
        <f>IF(AND('Master Stock'!D87&lt;&gt;"",'Master Stock'!H87="OCCUPIED",ISNUMBER('Master Stock'!J87),'Master Stock'!K87=""),SUMPRODUCT(--('Master Stock'!$D$2:$D$1000&lt;&gt;""),--('Master Stock'!$H$2:$H$1000="OCCUPIED"),--ISNUMBER('Master Stock'!$J$2:$J$1000),--('Master Stock'!$K$2:$K$1000=""),--('Master Stock'!$J$2:$J$1000&lt;'Master Stock'!J87))+COUNTIFS('Master Stock'!$J$2:J87,'Master Stock'!J87,'Master Stock'!$D$2:D87,"&lt;&gt;",'Master Stock'!$H$2:H87,"OCCUPIED",'Master Stock'!$K$2:K87,""),"")</f>
        <v/>
      </c>
      <c r="V87" s="149">
        <f>IF(AND('Master Stock'!D87&lt;&gt;"",'Master Stock'!H87="OCCUPIED",ISNUMBER('Master Stock'!L87),'Master Stock'!L87&lt;TODAY()-30),SUMPRODUCT(--('Master Stock'!$D$2:$D$1000&lt;&gt;""),--('Master Stock'!$H$2:$H$1000="OCCUPIED"),--ISNUMBER('Master Stock'!$L$2:$L$1000),--('Master Stock'!$L$2:$L$1000&lt;TODAY()-30),--('Master Stock'!$L$2:$L$1000&lt;'Master Stock'!L87))+COUNTIFS('Master Stock'!$L$2:L87,'Master Stock'!L87,'Master Stock'!$D$2:D87,"&lt;&gt;",'Master Stock'!$H$2:H87,"OCCUPIED"),"")</f>
        <v/>
      </c>
      <c r="W87" s="149" t="n"/>
      <c r="X87" s="149" t="n"/>
      <c r="Y87" s="149" t="n"/>
      <c r="Z87" s="149" t="n"/>
    </row>
    <row r="88" ht="15.75" customHeight="1" s="236">
      <c r="A88" s="148" t="n"/>
      <c r="B88" s="148" t="n"/>
      <c r="C88" s="124" t="n"/>
      <c r="D88" s="148" t="n"/>
      <c r="E88" s="148" t="n"/>
      <c r="F88" s="148" t="n"/>
      <c r="G88" s="124" t="n"/>
      <c r="H88" s="148" t="n"/>
      <c r="I88" s="148" t="n"/>
      <c r="J88" s="148" t="n"/>
      <c r="K88" s="148" t="n"/>
      <c r="L88" s="148" t="n"/>
      <c r="M88" s="148" t="n"/>
      <c r="N88" s="148" t="n"/>
      <c r="O88" s="148" t="n"/>
      <c r="P88" s="148" t="n"/>
      <c r="Q88" s="148" t="n"/>
      <c r="R88" s="148" t="n"/>
      <c r="S88" s="148" t="n"/>
      <c r="T88" s="148" t="n"/>
      <c r="U88" s="149">
        <f>IF(AND('Master Stock'!D88&lt;&gt;"",'Master Stock'!H88="OCCUPIED",ISNUMBER('Master Stock'!J88),'Master Stock'!K88=""),SUMPRODUCT(--('Master Stock'!$D$2:$D$1000&lt;&gt;""),--('Master Stock'!$H$2:$H$1000="OCCUPIED"),--ISNUMBER('Master Stock'!$J$2:$J$1000),--('Master Stock'!$K$2:$K$1000=""),--('Master Stock'!$J$2:$J$1000&lt;'Master Stock'!J88))+COUNTIFS('Master Stock'!$J$2:J88,'Master Stock'!J88,'Master Stock'!$D$2:D88,"&lt;&gt;",'Master Stock'!$H$2:H88,"OCCUPIED",'Master Stock'!$K$2:K88,""),"")</f>
        <v/>
      </c>
      <c r="V88" s="149">
        <f>IF(AND('Master Stock'!D88&lt;&gt;"",'Master Stock'!H88="OCCUPIED",ISNUMBER('Master Stock'!L88),'Master Stock'!L88&lt;TODAY()-30),SUMPRODUCT(--('Master Stock'!$D$2:$D$1000&lt;&gt;""),--('Master Stock'!$H$2:$H$1000="OCCUPIED"),--ISNUMBER('Master Stock'!$L$2:$L$1000),--('Master Stock'!$L$2:$L$1000&lt;TODAY()-30),--('Master Stock'!$L$2:$L$1000&lt;'Master Stock'!L88))+COUNTIFS('Master Stock'!$L$2:L88,'Master Stock'!L88,'Master Stock'!$D$2:D88,"&lt;&gt;",'Master Stock'!$H$2:H88,"OCCUPIED"),"")</f>
        <v/>
      </c>
      <c r="W88" s="149" t="n"/>
      <c r="X88" s="149" t="n"/>
      <c r="Y88" s="149" t="n"/>
      <c r="Z88" s="149" t="n"/>
    </row>
    <row r="89" ht="15.75" customHeight="1" s="236">
      <c r="A89" s="148" t="n"/>
      <c r="B89" s="148" t="n"/>
      <c r="C89" s="124" t="n"/>
      <c r="D89" s="148" t="n"/>
      <c r="E89" s="148" t="n"/>
      <c r="F89" s="148" t="n"/>
      <c r="G89" s="124" t="n"/>
      <c r="H89" s="148" t="n"/>
      <c r="I89" s="148" t="n"/>
      <c r="J89" s="148" t="n"/>
      <c r="K89" s="148" t="n"/>
      <c r="L89" s="148" t="n"/>
      <c r="M89" s="148" t="n"/>
      <c r="N89" s="148" t="n"/>
      <c r="O89" s="148" t="n"/>
      <c r="P89" s="148" t="n"/>
      <c r="Q89" s="148" t="n"/>
      <c r="R89" s="148" t="n"/>
      <c r="S89" s="148" t="n"/>
      <c r="T89" s="148" t="n"/>
      <c r="U89" s="149">
        <f>IF(AND('Master Stock'!D89&lt;&gt;"",'Master Stock'!H89="OCCUPIED",ISNUMBER('Master Stock'!J89),'Master Stock'!K89=""),SUMPRODUCT(--('Master Stock'!$D$2:$D$1000&lt;&gt;""),--('Master Stock'!$H$2:$H$1000="OCCUPIED"),--ISNUMBER('Master Stock'!$J$2:$J$1000),--('Master Stock'!$K$2:$K$1000=""),--('Master Stock'!$J$2:$J$1000&lt;'Master Stock'!J89))+COUNTIFS('Master Stock'!$J$2:J89,'Master Stock'!J89,'Master Stock'!$D$2:D89,"&lt;&gt;",'Master Stock'!$H$2:H89,"OCCUPIED",'Master Stock'!$K$2:K89,""),"")</f>
        <v/>
      </c>
      <c r="V89" s="149">
        <f>IF(AND('Master Stock'!D89&lt;&gt;"",'Master Stock'!H89="OCCUPIED",ISNUMBER('Master Stock'!L89),'Master Stock'!L89&lt;TODAY()-30),SUMPRODUCT(--('Master Stock'!$D$2:$D$1000&lt;&gt;""),--('Master Stock'!$H$2:$H$1000="OCCUPIED"),--ISNUMBER('Master Stock'!$L$2:$L$1000),--('Master Stock'!$L$2:$L$1000&lt;TODAY()-30),--('Master Stock'!$L$2:$L$1000&lt;'Master Stock'!L89))+COUNTIFS('Master Stock'!$L$2:L89,'Master Stock'!L89,'Master Stock'!$D$2:D89,"&lt;&gt;",'Master Stock'!$H$2:H89,"OCCUPIED"),"")</f>
        <v/>
      </c>
      <c r="W89" s="149" t="n"/>
      <c r="X89" s="149" t="n"/>
      <c r="Y89" s="149" t="n"/>
      <c r="Z89" s="149" t="n"/>
    </row>
    <row r="90" ht="15.75" customHeight="1" s="236">
      <c r="A90" s="148" t="n"/>
      <c r="B90" s="148" t="n"/>
      <c r="C90" s="124" t="n"/>
      <c r="D90" s="148" t="n"/>
      <c r="E90" s="148" t="n"/>
      <c r="F90" s="148" t="n"/>
      <c r="G90" s="124" t="n"/>
      <c r="H90" s="148" t="n"/>
      <c r="I90" s="148" t="n"/>
      <c r="J90" s="148" t="n"/>
      <c r="K90" s="148" t="n"/>
      <c r="L90" s="148" t="n"/>
      <c r="M90" s="148" t="n"/>
      <c r="N90" s="148" t="n"/>
      <c r="O90" s="148" t="n"/>
      <c r="P90" s="148" t="n"/>
      <c r="Q90" s="148" t="n"/>
      <c r="R90" s="148" t="n"/>
      <c r="S90" s="148" t="n"/>
      <c r="T90" s="148" t="n"/>
      <c r="U90" s="149">
        <f>IF(AND('Master Stock'!D90&lt;&gt;"",'Master Stock'!H90="OCCUPIED",ISNUMBER('Master Stock'!J90),'Master Stock'!K90=""),SUMPRODUCT(--('Master Stock'!$D$2:$D$1000&lt;&gt;""),--('Master Stock'!$H$2:$H$1000="OCCUPIED"),--ISNUMBER('Master Stock'!$J$2:$J$1000),--('Master Stock'!$K$2:$K$1000=""),--('Master Stock'!$J$2:$J$1000&lt;'Master Stock'!J90))+COUNTIFS('Master Stock'!$J$2:J90,'Master Stock'!J90,'Master Stock'!$D$2:D90,"&lt;&gt;",'Master Stock'!$H$2:H90,"OCCUPIED",'Master Stock'!$K$2:K90,""),"")</f>
        <v/>
      </c>
      <c r="V90" s="149">
        <f>IF(AND('Master Stock'!D90&lt;&gt;"",'Master Stock'!H90="OCCUPIED",ISNUMBER('Master Stock'!L90),'Master Stock'!L90&lt;TODAY()-30),SUMPRODUCT(--('Master Stock'!$D$2:$D$1000&lt;&gt;""),--('Master Stock'!$H$2:$H$1000="OCCUPIED"),--ISNUMBER('Master Stock'!$L$2:$L$1000),--('Master Stock'!$L$2:$L$1000&lt;TODAY()-30),--('Master Stock'!$L$2:$L$1000&lt;'Master Stock'!L90))+COUNTIFS('Master Stock'!$L$2:L90,'Master Stock'!L90,'Master Stock'!$D$2:D90,"&lt;&gt;",'Master Stock'!$H$2:H90,"OCCUPIED"),"")</f>
        <v/>
      </c>
      <c r="W90" s="149" t="n"/>
      <c r="X90" s="149" t="n"/>
      <c r="Y90" s="149" t="n"/>
      <c r="Z90" s="149" t="n"/>
    </row>
    <row r="91" ht="15.75" customHeight="1" s="236">
      <c r="A91" s="148" t="n"/>
      <c r="B91" s="148" t="n"/>
      <c r="C91" s="124" t="n"/>
      <c r="D91" s="148" t="n"/>
      <c r="E91" s="148" t="n"/>
      <c r="F91" s="148" t="n"/>
      <c r="G91" s="124" t="n"/>
      <c r="H91" s="148" t="n"/>
      <c r="I91" s="148" t="n"/>
      <c r="J91" s="148" t="n"/>
      <c r="K91" s="148" t="n"/>
      <c r="L91" s="148" t="n"/>
      <c r="M91" s="148" t="n"/>
      <c r="N91" s="148" t="n"/>
      <c r="O91" s="148" t="n"/>
      <c r="P91" s="148" t="n"/>
      <c r="Q91" s="148" t="n"/>
      <c r="R91" s="148" t="n"/>
      <c r="S91" s="148" t="n"/>
      <c r="T91" s="148" t="n"/>
      <c r="U91" s="149">
        <f>IF(AND('Master Stock'!D91&lt;&gt;"",'Master Stock'!H91="OCCUPIED",ISNUMBER('Master Stock'!J91),'Master Stock'!K91=""),SUMPRODUCT(--('Master Stock'!$D$2:$D$1000&lt;&gt;""),--('Master Stock'!$H$2:$H$1000="OCCUPIED"),--ISNUMBER('Master Stock'!$J$2:$J$1000),--('Master Stock'!$K$2:$K$1000=""),--('Master Stock'!$J$2:$J$1000&lt;'Master Stock'!J91))+COUNTIFS('Master Stock'!$J$2:J91,'Master Stock'!J91,'Master Stock'!$D$2:D91,"&lt;&gt;",'Master Stock'!$H$2:H91,"OCCUPIED",'Master Stock'!$K$2:K91,""),"")</f>
        <v/>
      </c>
      <c r="V91" s="149">
        <f>IF(AND('Master Stock'!D91&lt;&gt;"",'Master Stock'!H91="OCCUPIED",ISNUMBER('Master Stock'!L91),'Master Stock'!L91&lt;TODAY()-30),SUMPRODUCT(--('Master Stock'!$D$2:$D$1000&lt;&gt;""),--('Master Stock'!$H$2:$H$1000="OCCUPIED"),--ISNUMBER('Master Stock'!$L$2:$L$1000),--('Master Stock'!$L$2:$L$1000&lt;TODAY()-30),--('Master Stock'!$L$2:$L$1000&lt;'Master Stock'!L91))+COUNTIFS('Master Stock'!$L$2:L91,'Master Stock'!L91,'Master Stock'!$D$2:D91,"&lt;&gt;",'Master Stock'!$H$2:H91,"OCCUPIED"),"")</f>
        <v/>
      </c>
      <c r="W91" s="149" t="n"/>
      <c r="X91" s="149" t="n"/>
      <c r="Y91" s="149" t="n"/>
      <c r="Z91" s="149" t="n"/>
    </row>
    <row r="92" ht="15.75" customHeight="1" s="236">
      <c r="A92" s="148" t="n"/>
      <c r="B92" s="148" t="n"/>
      <c r="C92" s="124" t="n"/>
      <c r="D92" s="148" t="n"/>
      <c r="E92" s="148" t="n"/>
      <c r="F92" s="148" t="n"/>
      <c r="G92" s="124" t="n"/>
      <c r="H92" s="148" t="n"/>
      <c r="I92" s="148" t="n"/>
      <c r="J92" s="148" t="n"/>
      <c r="K92" s="148" t="n"/>
      <c r="L92" s="148" t="n"/>
      <c r="M92" s="148" t="n"/>
      <c r="N92" s="148" t="n"/>
      <c r="O92" s="148" t="n"/>
      <c r="P92" s="148" t="n"/>
      <c r="Q92" s="148" t="n"/>
      <c r="R92" s="148" t="n"/>
      <c r="S92" s="148" t="n"/>
      <c r="T92" s="148" t="n"/>
      <c r="U92" s="149">
        <f>IF(AND('Master Stock'!D92&lt;&gt;"",'Master Stock'!H92="OCCUPIED",ISNUMBER('Master Stock'!J92),'Master Stock'!K92=""),SUMPRODUCT(--('Master Stock'!$D$2:$D$1000&lt;&gt;""),--('Master Stock'!$H$2:$H$1000="OCCUPIED"),--ISNUMBER('Master Stock'!$J$2:$J$1000),--('Master Stock'!$K$2:$K$1000=""),--('Master Stock'!$J$2:$J$1000&lt;'Master Stock'!J92))+COUNTIFS('Master Stock'!$J$2:J92,'Master Stock'!J92,'Master Stock'!$D$2:D92,"&lt;&gt;",'Master Stock'!$H$2:H92,"OCCUPIED",'Master Stock'!$K$2:K92,""),"")</f>
        <v/>
      </c>
      <c r="V92" s="149">
        <f>IF(AND('Master Stock'!D92&lt;&gt;"",'Master Stock'!H92="OCCUPIED",ISNUMBER('Master Stock'!L92),'Master Stock'!L92&lt;TODAY()-30),SUMPRODUCT(--('Master Stock'!$D$2:$D$1000&lt;&gt;""),--('Master Stock'!$H$2:$H$1000="OCCUPIED"),--ISNUMBER('Master Stock'!$L$2:$L$1000),--('Master Stock'!$L$2:$L$1000&lt;TODAY()-30),--('Master Stock'!$L$2:$L$1000&lt;'Master Stock'!L92))+COUNTIFS('Master Stock'!$L$2:L92,'Master Stock'!L92,'Master Stock'!$D$2:D92,"&lt;&gt;",'Master Stock'!$H$2:H92,"OCCUPIED"),"")</f>
        <v/>
      </c>
      <c r="W92" s="149" t="n"/>
      <c r="X92" s="149" t="n"/>
      <c r="Y92" s="149" t="n"/>
      <c r="Z92" s="149" t="n"/>
    </row>
    <row r="93" ht="15.75" customHeight="1" s="236">
      <c r="A93" s="148" t="n"/>
      <c r="B93" s="148" t="n"/>
      <c r="C93" s="124" t="n"/>
      <c r="D93" s="148" t="n"/>
      <c r="E93" s="148" t="n"/>
      <c r="F93" s="148" t="n"/>
      <c r="G93" s="124" t="n"/>
      <c r="H93" s="148" t="n"/>
      <c r="I93" s="148" t="n"/>
      <c r="J93" s="148" t="n"/>
      <c r="K93" s="148" t="n"/>
      <c r="L93" s="148" t="n"/>
      <c r="M93" s="148" t="n"/>
      <c r="N93" s="148" t="n"/>
      <c r="O93" s="148" t="n"/>
      <c r="P93" s="148" t="n"/>
      <c r="Q93" s="148" t="n"/>
      <c r="R93" s="148" t="n"/>
      <c r="S93" s="148" t="n"/>
      <c r="T93" s="148" t="n"/>
      <c r="U93" s="149">
        <f>IF(AND('Master Stock'!D93&lt;&gt;"",'Master Stock'!H93="OCCUPIED",ISNUMBER('Master Stock'!J93),'Master Stock'!K93=""),SUMPRODUCT(--('Master Stock'!$D$2:$D$1000&lt;&gt;""),--('Master Stock'!$H$2:$H$1000="OCCUPIED"),--ISNUMBER('Master Stock'!$J$2:$J$1000),--('Master Stock'!$K$2:$K$1000=""),--('Master Stock'!$J$2:$J$1000&lt;'Master Stock'!J93))+COUNTIFS('Master Stock'!$J$2:J93,'Master Stock'!J93,'Master Stock'!$D$2:D93,"&lt;&gt;",'Master Stock'!$H$2:H93,"OCCUPIED",'Master Stock'!$K$2:K93,""),"")</f>
        <v/>
      </c>
      <c r="V93" s="149">
        <f>IF(AND('Master Stock'!D93&lt;&gt;"",'Master Stock'!H93="OCCUPIED",ISNUMBER('Master Stock'!L93),'Master Stock'!L93&lt;TODAY()-30),SUMPRODUCT(--('Master Stock'!$D$2:$D$1000&lt;&gt;""),--('Master Stock'!$H$2:$H$1000="OCCUPIED"),--ISNUMBER('Master Stock'!$L$2:$L$1000),--('Master Stock'!$L$2:$L$1000&lt;TODAY()-30),--('Master Stock'!$L$2:$L$1000&lt;'Master Stock'!L93))+COUNTIFS('Master Stock'!$L$2:L93,'Master Stock'!L93,'Master Stock'!$D$2:D93,"&lt;&gt;",'Master Stock'!$H$2:H93,"OCCUPIED"),"")</f>
        <v/>
      </c>
      <c r="W93" s="149" t="n"/>
      <c r="X93" s="149" t="n"/>
      <c r="Y93" s="149" t="n"/>
      <c r="Z93" s="149" t="n"/>
    </row>
    <row r="94" ht="15.75" customHeight="1" s="236">
      <c r="A94" s="148" t="n"/>
      <c r="B94" s="148" t="n"/>
      <c r="C94" s="124" t="n"/>
      <c r="D94" s="148" t="n"/>
      <c r="E94" s="148" t="n"/>
      <c r="F94" s="148" t="n"/>
      <c r="G94" s="124" t="n"/>
      <c r="H94" s="148" t="n"/>
      <c r="I94" s="148" t="n"/>
      <c r="J94" s="148" t="n"/>
      <c r="K94" s="148" t="n"/>
      <c r="L94" s="148" t="n"/>
      <c r="M94" s="148" t="n"/>
      <c r="N94" s="148" t="n"/>
      <c r="O94" s="148" t="n"/>
      <c r="P94" s="148" t="n"/>
      <c r="Q94" s="148" t="n"/>
      <c r="R94" s="148" t="n"/>
      <c r="S94" s="148" t="n"/>
      <c r="T94" s="148" t="n"/>
      <c r="U94" s="149">
        <f>IF(AND('Master Stock'!D94&lt;&gt;"",'Master Stock'!H94="OCCUPIED",ISNUMBER('Master Stock'!J94),'Master Stock'!K94=""),SUMPRODUCT(--('Master Stock'!$D$2:$D$1000&lt;&gt;""),--('Master Stock'!$H$2:$H$1000="OCCUPIED"),--ISNUMBER('Master Stock'!$J$2:$J$1000),--('Master Stock'!$K$2:$K$1000=""),--('Master Stock'!$J$2:$J$1000&lt;'Master Stock'!J94))+COUNTIFS('Master Stock'!$J$2:J94,'Master Stock'!J94,'Master Stock'!$D$2:D94,"&lt;&gt;",'Master Stock'!$H$2:H94,"OCCUPIED",'Master Stock'!$K$2:K94,""),"")</f>
        <v/>
      </c>
      <c r="V94" s="149">
        <f>IF(AND('Master Stock'!D94&lt;&gt;"",'Master Stock'!H94="OCCUPIED",ISNUMBER('Master Stock'!L94),'Master Stock'!L94&lt;TODAY()-30),SUMPRODUCT(--('Master Stock'!$D$2:$D$1000&lt;&gt;""),--('Master Stock'!$H$2:$H$1000="OCCUPIED"),--ISNUMBER('Master Stock'!$L$2:$L$1000),--('Master Stock'!$L$2:$L$1000&lt;TODAY()-30),--('Master Stock'!$L$2:$L$1000&lt;'Master Stock'!L94))+COUNTIFS('Master Stock'!$L$2:L94,'Master Stock'!L94,'Master Stock'!$D$2:D94,"&lt;&gt;",'Master Stock'!$H$2:H94,"OCCUPIED"),"")</f>
        <v/>
      </c>
      <c r="W94" s="149" t="n"/>
      <c r="X94" s="149" t="n"/>
      <c r="Y94" s="149" t="n"/>
      <c r="Z94" s="149" t="n"/>
    </row>
    <row r="95" ht="15.75" customHeight="1" s="236">
      <c r="A95" s="148" t="n"/>
      <c r="B95" s="148" t="n"/>
      <c r="C95" s="124" t="n"/>
      <c r="D95" s="148" t="n"/>
      <c r="E95" s="148" t="n"/>
      <c r="F95" s="148" t="n"/>
      <c r="G95" s="124" t="n"/>
      <c r="H95" s="148" t="n"/>
      <c r="I95" s="148" t="n"/>
      <c r="J95" s="148" t="n"/>
      <c r="K95" s="148" t="n"/>
      <c r="L95" s="148" t="n"/>
      <c r="M95" s="148" t="n"/>
      <c r="N95" s="148" t="n"/>
      <c r="O95" s="148" t="n"/>
      <c r="P95" s="148" t="n"/>
      <c r="Q95" s="148" t="n"/>
      <c r="R95" s="148" t="n"/>
      <c r="S95" s="148" t="n"/>
      <c r="T95" s="148" t="n"/>
      <c r="U95" s="149">
        <f>IF(AND('Master Stock'!D95&lt;&gt;"",'Master Stock'!H95="OCCUPIED",ISNUMBER('Master Stock'!J95),'Master Stock'!K95=""),SUMPRODUCT(--('Master Stock'!$D$2:$D$1000&lt;&gt;""),--('Master Stock'!$H$2:$H$1000="OCCUPIED"),--ISNUMBER('Master Stock'!$J$2:$J$1000),--('Master Stock'!$K$2:$K$1000=""),--('Master Stock'!$J$2:$J$1000&lt;'Master Stock'!J95))+COUNTIFS('Master Stock'!$J$2:J95,'Master Stock'!J95,'Master Stock'!$D$2:D95,"&lt;&gt;",'Master Stock'!$H$2:H95,"OCCUPIED",'Master Stock'!$K$2:K95,""),"")</f>
        <v/>
      </c>
      <c r="V95" s="149">
        <f>IF(AND('Master Stock'!D95&lt;&gt;"",'Master Stock'!H95="OCCUPIED",ISNUMBER('Master Stock'!L95),'Master Stock'!L95&lt;TODAY()-30),SUMPRODUCT(--('Master Stock'!$D$2:$D$1000&lt;&gt;""),--('Master Stock'!$H$2:$H$1000="OCCUPIED"),--ISNUMBER('Master Stock'!$L$2:$L$1000),--('Master Stock'!$L$2:$L$1000&lt;TODAY()-30),--('Master Stock'!$L$2:$L$1000&lt;'Master Stock'!L95))+COUNTIFS('Master Stock'!$L$2:L95,'Master Stock'!L95,'Master Stock'!$D$2:D95,"&lt;&gt;",'Master Stock'!$H$2:H95,"OCCUPIED"),"")</f>
        <v/>
      </c>
      <c r="W95" s="149" t="n"/>
      <c r="X95" s="149" t="n"/>
      <c r="Y95" s="149" t="n"/>
      <c r="Z95" s="149" t="n"/>
    </row>
    <row r="96" ht="15.75" customHeight="1" s="236">
      <c r="A96" s="148" t="n"/>
      <c r="B96" s="148" t="n"/>
      <c r="C96" s="124" t="n"/>
      <c r="D96" s="148" t="n"/>
      <c r="E96" s="148" t="n"/>
      <c r="F96" s="148" t="n"/>
      <c r="G96" s="124" t="n"/>
      <c r="H96" s="148" t="n"/>
      <c r="I96" s="148" t="n"/>
      <c r="J96" s="148" t="n"/>
      <c r="K96" s="148" t="n"/>
      <c r="L96" s="148" t="n"/>
      <c r="M96" s="148" t="n"/>
      <c r="N96" s="148" t="n"/>
      <c r="O96" s="148" t="n"/>
      <c r="P96" s="148" t="n"/>
      <c r="Q96" s="148" t="n"/>
      <c r="R96" s="148" t="n"/>
      <c r="S96" s="148" t="n"/>
      <c r="T96" s="148" t="n"/>
      <c r="U96" s="149">
        <f>IF(AND('Master Stock'!D96&lt;&gt;"",'Master Stock'!H96="OCCUPIED",ISNUMBER('Master Stock'!J96),'Master Stock'!K96=""),SUMPRODUCT(--('Master Stock'!$D$2:$D$1000&lt;&gt;""),--('Master Stock'!$H$2:$H$1000="OCCUPIED"),--ISNUMBER('Master Stock'!$J$2:$J$1000),--('Master Stock'!$K$2:$K$1000=""),--('Master Stock'!$J$2:$J$1000&lt;'Master Stock'!J96))+COUNTIFS('Master Stock'!$J$2:J96,'Master Stock'!J96,'Master Stock'!$D$2:D96,"&lt;&gt;",'Master Stock'!$H$2:H96,"OCCUPIED",'Master Stock'!$K$2:K96,""),"")</f>
        <v/>
      </c>
      <c r="V96" s="149">
        <f>IF(AND('Master Stock'!D96&lt;&gt;"",'Master Stock'!H96="OCCUPIED",ISNUMBER('Master Stock'!L96),'Master Stock'!L96&lt;TODAY()-30),SUMPRODUCT(--('Master Stock'!$D$2:$D$1000&lt;&gt;""),--('Master Stock'!$H$2:$H$1000="OCCUPIED"),--ISNUMBER('Master Stock'!$L$2:$L$1000),--('Master Stock'!$L$2:$L$1000&lt;TODAY()-30),--('Master Stock'!$L$2:$L$1000&lt;'Master Stock'!L96))+COUNTIFS('Master Stock'!$L$2:L96,'Master Stock'!L96,'Master Stock'!$D$2:D96,"&lt;&gt;",'Master Stock'!$H$2:H96,"OCCUPIED"),"")</f>
        <v/>
      </c>
      <c r="W96" s="149" t="n"/>
      <c r="X96" s="149" t="n"/>
      <c r="Y96" s="149" t="n"/>
      <c r="Z96" s="149" t="n"/>
    </row>
    <row r="97" ht="15.75" customHeight="1" s="236">
      <c r="A97" s="148" t="n"/>
      <c r="B97" s="148" t="n"/>
      <c r="C97" s="124" t="n"/>
      <c r="D97" s="148" t="n"/>
      <c r="E97" s="148" t="n"/>
      <c r="F97" s="148" t="n"/>
      <c r="G97" s="124" t="n"/>
      <c r="H97" s="148" t="n"/>
      <c r="I97" s="148" t="n"/>
      <c r="J97" s="148" t="n"/>
      <c r="K97" s="148" t="n"/>
      <c r="L97" s="148" t="n"/>
      <c r="M97" s="148" t="n"/>
      <c r="N97" s="148" t="n"/>
      <c r="O97" s="148" t="n"/>
      <c r="P97" s="148" t="n"/>
      <c r="Q97" s="148" t="n"/>
      <c r="R97" s="148" t="n"/>
      <c r="S97" s="148" t="n"/>
      <c r="T97" s="148" t="n"/>
      <c r="U97" s="149">
        <f>IF(AND('Master Stock'!D97&lt;&gt;"",'Master Stock'!H97="OCCUPIED",ISNUMBER('Master Stock'!J97),'Master Stock'!K97=""),SUMPRODUCT(--('Master Stock'!$D$2:$D$1000&lt;&gt;""),--('Master Stock'!$H$2:$H$1000="OCCUPIED"),--ISNUMBER('Master Stock'!$J$2:$J$1000),--('Master Stock'!$K$2:$K$1000=""),--('Master Stock'!$J$2:$J$1000&lt;'Master Stock'!J97))+COUNTIFS('Master Stock'!$J$2:J97,'Master Stock'!J97,'Master Stock'!$D$2:D97,"&lt;&gt;",'Master Stock'!$H$2:H97,"OCCUPIED",'Master Stock'!$K$2:K97,""),"")</f>
        <v/>
      </c>
      <c r="V97" s="149">
        <f>IF(AND('Master Stock'!D97&lt;&gt;"",'Master Stock'!H97="OCCUPIED",ISNUMBER('Master Stock'!L97),'Master Stock'!L97&lt;TODAY()-30),SUMPRODUCT(--('Master Stock'!$D$2:$D$1000&lt;&gt;""),--('Master Stock'!$H$2:$H$1000="OCCUPIED"),--ISNUMBER('Master Stock'!$L$2:$L$1000),--('Master Stock'!$L$2:$L$1000&lt;TODAY()-30),--('Master Stock'!$L$2:$L$1000&lt;'Master Stock'!L97))+COUNTIFS('Master Stock'!$L$2:L97,'Master Stock'!L97,'Master Stock'!$D$2:D97,"&lt;&gt;",'Master Stock'!$H$2:H97,"OCCUPIED"),"")</f>
        <v/>
      </c>
      <c r="W97" s="149" t="n"/>
      <c r="X97" s="149" t="n"/>
      <c r="Y97" s="149" t="n"/>
      <c r="Z97" s="149" t="n"/>
    </row>
    <row r="98" ht="15.75" customHeight="1" s="236">
      <c r="A98" s="148" t="n"/>
      <c r="B98" s="148" t="n"/>
      <c r="C98" s="124" t="n"/>
      <c r="D98" s="148" t="n"/>
      <c r="E98" s="148" t="n"/>
      <c r="F98" s="148" t="n"/>
      <c r="G98" s="124" t="n"/>
      <c r="H98" s="148" t="n"/>
      <c r="I98" s="148" t="n"/>
      <c r="J98" s="148" t="n"/>
      <c r="K98" s="148" t="n"/>
      <c r="L98" s="148" t="n"/>
      <c r="M98" s="148" t="n"/>
      <c r="N98" s="148" t="n"/>
      <c r="O98" s="148" t="n"/>
      <c r="P98" s="148" t="n"/>
      <c r="Q98" s="148" t="n"/>
      <c r="R98" s="148" t="n"/>
      <c r="S98" s="148" t="n"/>
      <c r="T98" s="148" t="n"/>
      <c r="U98" s="149">
        <f>IF(AND('Master Stock'!D98&lt;&gt;"",'Master Stock'!H98="OCCUPIED",ISNUMBER('Master Stock'!J98),'Master Stock'!K98=""),SUMPRODUCT(--('Master Stock'!$D$2:$D$1000&lt;&gt;""),--('Master Stock'!$H$2:$H$1000="OCCUPIED"),--ISNUMBER('Master Stock'!$J$2:$J$1000),--('Master Stock'!$K$2:$K$1000=""),--('Master Stock'!$J$2:$J$1000&lt;'Master Stock'!J98))+COUNTIFS('Master Stock'!$J$2:J98,'Master Stock'!J98,'Master Stock'!$D$2:D98,"&lt;&gt;",'Master Stock'!$H$2:H98,"OCCUPIED",'Master Stock'!$K$2:K98,""),"")</f>
        <v/>
      </c>
      <c r="V98" s="149">
        <f>IF(AND('Master Stock'!D98&lt;&gt;"",'Master Stock'!H98="OCCUPIED",ISNUMBER('Master Stock'!L98),'Master Stock'!L98&lt;TODAY()-30),SUMPRODUCT(--('Master Stock'!$D$2:$D$1000&lt;&gt;""),--('Master Stock'!$H$2:$H$1000="OCCUPIED"),--ISNUMBER('Master Stock'!$L$2:$L$1000),--('Master Stock'!$L$2:$L$1000&lt;TODAY()-30),--('Master Stock'!$L$2:$L$1000&lt;'Master Stock'!L98))+COUNTIFS('Master Stock'!$L$2:L98,'Master Stock'!L98,'Master Stock'!$D$2:D98,"&lt;&gt;",'Master Stock'!$H$2:H98,"OCCUPIED"),"")</f>
        <v/>
      </c>
      <c r="W98" s="149" t="n"/>
      <c r="X98" s="149" t="n"/>
      <c r="Y98" s="149" t="n"/>
      <c r="Z98" s="149" t="n"/>
    </row>
    <row r="99" ht="15.75" customHeight="1" s="236">
      <c r="A99" s="148" t="n"/>
      <c r="B99" s="148" t="n"/>
      <c r="C99" s="124" t="n"/>
      <c r="D99" s="148" t="n"/>
      <c r="E99" s="148" t="n"/>
      <c r="F99" s="148" t="n"/>
      <c r="G99" s="124" t="n"/>
      <c r="H99" s="148" t="n"/>
      <c r="I99" s="148" t="n"/>
      <c r="J99" s="148" t="n"/>
      <c r="K99" s="148" t="n"/>
      <c r="L99" s="148" t="n"/>
      <c r="M99" s="148" t="n"/>
      <c r="N99" s="148" t="n"/>
      <c r="O99" s="148" t="n"/>
      <c r="P99" s="148" t="n"/>
      <c r="Q99" s="148" t="n"/>
      <c r="R99" s="148" t="n"/>
      <c r="S99" s="148" t="n"/>
      <c r="T99" s="148" t="n"/>
      <c r="U99" s="149">
        <f>IF(AND('Master Stock'!D99&lt;&gt;"",'Master Stock'!H99="OCCUPIED",ISNUMBER('Master Stock'!J99),'Master Stock'!K99=""),SUMPRODUCT(--('Master Stock'!$D$2:$D$1000&lt;&gt;""),--('Master Stock'!$H$2:$H$1000="OCCUPIED"),--ISNUMBER('Master Stock'!$J$2:$J$1000),--('Master Stock'!$K$2:$K$1000=""),--('Master Stock'!$J$2:$J$1000&lt;'Master Stock'!J99))+COUNTIFS('Master Stock'!$J$2:J99,'Master Stock'!J99,'Master Stock'!$D$2:D99,"&lt;&gt;",'Master Stock'!$H$2:H99,"OCCUPIED",'Master Stock'!$K$2:K99,""),"")</f>
        <v/>
      </c>
      <c r="V99" s="149">
        <f>IF(AND('Master Stock'!D99&lt;&gt;"",'Master Stock'!H99="OCCUPIED",ISNUMBER('Master Stock'!L99),'Master Stock'!L99&lt;TODAY()-30),SUMPRODUCT(--('Master Stock'!$D$2:$D$1000&lt;&gt;""),--('Master Stock'!$H$2:$H$1000="OCCUPIED"),--ISNUMBER('Master Stock'!$L$2:$L$1000),--('Master Stock'!$L$2:$L$1000&lt;TODAY()-30),--('Master Stock'!$L$2:$L$1000&lt;'Master Stock'!L99))+COUNTIFS('Master Stock'!$L$2:L99,'Master Stock'!L99,'Master Stock'!$D$2:D99,"&lt;&gt;",'Master Stock'!$H$2:H99,"OCCUPIED"),"")</f>
        <v/>
      </c>
      <c r="W99" s="149" t="n"/>
      <c r="X99" s="149" t="n"/>
      <c r="Y99" s="149" t="n"/>
      <c r="Z99" s="149" t="n"/>
    </row>
    <row r="100" ht="15.75" customHeight="1" s="236">
      <c r="A100" s="148" t="n"/>
      <c r="B100" s="148" t="n"/>
      <c r="C100" s="124" t="n"/>
      <c r="D100" s="148" t="n"/>
      <c r="E100" s="148" t="n"/>
      <c r="F100" s="148" t="n"/>
      <c r="G100" s="124" t="n"/>
      <c r="H100" s="148" t="n"/>
      <c r="I100" s="148" t="n"/>
      <c r="J100" s="148" t="n"/>
      <c r="K100" s="148" t="n"/>
      <c r="L100" s="148" t="n"/>
      <c r="M100" s="148" t="n"/>
      <c r="N100" s="148" t="n"/>
      <c r="O100" s="148" t="n"/>
      <c r="P100" s="148" t="n"/>
      <c r="Q100" s="148" t="n"/>
      <c r="R100" s="148" t="n"/>
      <c r="S100" s="148" t="n"/>
      <c r="T100" s="148" t="n"/>
      <c r="U100" s="149">
        <f>IF(AND('Master Stock'!D100&lt;&gt;"",'Master Stock'!H100="OCCUPIED",ISNUMBER('Master Stock'!J100),'Master Stock'!K100=""),SUMPRODUCT(--('Master Stock'!$D$2:$D$1000&lt;&gt;""),--('Master Stock'!$H$2:$H$1000="OCCUPIED"),--ISNUMBER('Master Stock'!$J$2:$J$1000),--('Master Stock'!$K$2:$K$1000=""),--('Master Stock'!$J$2:$J$1000&lt;'Master Stock'!J100))+COUNTIFS('Master Stock'!$J$2:J100,'Master Stock'!J100,'Master Stock'!$D$2:D100,"&lt;&gt;",'Master Stock'!$H$2:H100,"OCCUPIED",'Master Stock'!$K$2:K100,""),"")</f>
        <v/>
      </c>
      <c r="V100" s="149">
        <f>IF(AND('Master Stock'!D100&lt;&gt;"",'Master Stock'!H100="OCCUPIED",ISNUMBER('Master Stock'!L100),'Master Stock'!L100&lt;TODAY()-30),SUMPRODUCT(--('Master Stock'!$D$2:$D$1000&lt;&gt;""),--('Master Stock'!$H$2:$H$1000="OCCUPIED"),--ISNUMBER('Master Stock'!$L$2:$L$1000),--('Master Stock'!$L$2:$L$1000&lt;TODAY()-30),--('Master Stock'!$L$2:$L$1000&lt;'Master Stock'!L100))+COUNTIFS('Master Stock'!$L$2:L100,'Master Stock'!L100,'Master Stock'!$D$2:D100,"&lt;&gt;",'Master Stock'!$H$2:H100,"OCCUPIED"),"")</f>
        <v/>
      </c>
      <c r="W100" s="149" t="n"/>
      <c r="X100" s="149" t="n"/>
      <c r="Y100" s="149" t="n"/>
      <c r="Z100" s="149" t="n"/>
    </row>
    <row r="101" ht="15.75" customHeight="1" s="236">
      <c r="A101" s="148" t="n"/>
      <c r="B101" s="148" t="n"/>
      <c r="C101" s="124" t="n"/>
      <c r="D101" s="148" t="n"/>
      <c r="E101" s="148" t="n"/>
      <c r="F101" s="148" t="n"/>
      <c r="G101" s="124" t="n"/>
      <c r="H101" s="148" t="n"/>
      <c r="I101" s="148" t="n"/>
      <c r="J101" s="148" t="n"/>
      <c r="K101" s="148" t="n"/>
      <c r="L101" s="148" t="n"/>
      <c r="M101" s="148" t="n"/>
      <c r="N101" s="148" t="n"/>
      <c r="O101" s="148" t="n"/>
      <c r="P101" s="148" t="n"/>
      <c r="Q101" s="148" t="n"/>
      <c r="R101" s="148" t="n"/>
      <c r="S101" s="148" t="n"/>
      <c r="T101" s="148" t="n"/>
      <c r="U101" s="149">
        <f>IF(AND('Master Stock'!D101&lt;&gt;"",'Master Stock'!H101="OCCUPIED",ISNUMBER('Master Stock'!J101),'Master Stock'!K101=""),SUMPRODUCT(--('Master Stock'!$D$2:$D$1000&lt;&gt;""),--('Master Stock'!$H$2:$H$1000="OCCUPIED"),--ISNUMBER('Master Stock'!$J$2:$J$1000),--('Master Stock'!$K$2:$K$1000=""),--('Master Stock'!$J$2:$J$1000&lt;'Master Stock'!J101))+COUNTIFS('Master Stock'!$J$2:J101,'Master Stock'!J101,'Master Stock'!$D$2:D101,"&lt;&gt;",'Master Stock'!$H$2:H101,"OCCUPIED",'Master Stock'!$K$2:K101,""),"")</f>
        <v/>
      </c>
      <c r="V101" s="149">
        <f>IF(AND('Master Stock'!D101&lt;&gt;"",'Master Stock'!H101="OCCUPIED",ISNUMBER('Master Stock'!L101),'Master Stock'!L101&lt;TODAY()-30),SUMPRODUCT(--('Master Stock'!$D$2:$D$1000&lt;&gt;""),--('Master Stock'!$H$2:$H$1000="OCCUPIED"),--ISNUMBER('Master Stock'!$L$2:$L$1000),--('Master Stock'!$L$2:$L$1000&lt;TODAY()-30),--('Master Stock'!$L$2:$L$1000&lt;'Master Stock'!L101))+COUNTIFS('Master Stock'!$L$2:L101,'Master Stock'!L101,'Master Stock'!$D$2:D101,"&lt;&gt;",'Master Stock'!$H$2:H101,"OCCUPIED"),"")</f>
        <v/>
      </c>
      <c r="W101" s="149" t="n"/>
      <c r="X101" s="149" t="n"/>
      <c r="Y101" s="149" t="n"/>
      <c r="Z101" s="149" t="n"/>
    </row>
    <row r="102" ht="15.75" customHeight="1" s="236">
      <c r="A102" s="148" t="n"/>
      <c r="B102" s="148" t="n"/>
      <c r="C102" s="124" t="n"/>
      <c r="D102" s="148" t="n"/>
      <c r="E102" s="148" t="n"/>
      <c r="F102" s="148" t="n"/>
      <c r="G102" s="124" t="n"/>
      <c r="H102" s="148" t="n"/>
      <c r="I102" s="148" t="n"/>
      <c r="J102" s="148" t="n"/>
      <c r="K102" s="148" t="n"/>
      <c r="L102" s="148" t="n"/>
      <c r="M102" s="148" t="n"/>
      <c r="N102" s="148" t="n"/>
      <c r="O102" s="148" t="n"/>
      <c r="P102" s="148" t="n"/>
      <c r="Q102" s="148" t="n"/>
      <c r="R102" s="148" t="n"/>
      <c r="S102" s="148" t="n"/>
      <c r="T102" s="148" t="n"/>
      <c r="U102" s="149">
        <f>IF(AND('Master Stock'!D102&lt;&gt;"",'Master Stock'!H102="OCCUPIED",ISNUMBER('Master Stock'!J102),'Master Stock'!K102=""),SUMPRODUCT(--('Master Stock'!$D$2:$D$1000&lt;&gt;""),--('Master Stock'!$H$2:$H$1000="OCCUPIED"),--ISNUMBER('Master Stock'!$J$2:$J$1000),--('Master Stock'!$K$2:$K$1000=""),--('Master Stock'!$J$2:$J$1000&lt;'Master Stock'!J102))+COUNTIFS('Master Stock'!$J$2:J102,'Master Stock'!J102,'Master Stock'!$D$2:D102,"&lt;&gt;",'Master Stock'!$H$2:H102,"OCCUPIED",'Master Stock'!$K$2:K102,""),"")</f>
        <v/>
      </c>
      <c r="V102" s="149">
        <f>IF(AND('Master Stock'!D102&lt;&gt;"",'Master Stock'!H102="OCCUPIED",ISNUMBER('Master Stock'!L102),'Master Stock'!L102&lt;TODAY()-30),SUMPRODUCT(--('Master Stock'!$D$2:$D$1000&lt;&gt;""),--('Master Stock'!$H$2:$H$1000="OCCUPIED"),--ISNUMBER('Master Stock'!$L$2:$L$1000),--('Master Stock'!$L$2:$L$1000&lt;TODAY()-30),--('Master Stock'!$L$2:$L$1000&lt;'Master Stock'!L102))+COUNTIFS('Master Stock'!$L$2:L102,'Master Stock'!L102,'Master Stock'!$D$2:D102,"&lt;&gt;",'Master Stock'!$H$2:H102,"OCCUPIED"),"")</f>
        <v/>
      </c>
      <c r="W102" s="149" t="n"/>
      <c r="X102" s="149" t="n"/>
      <c r="Y102" s="149" t="n"/>
      <c r="Z102" s="149" t="n"/>
    </row>
    <row r="103" ht="15.75" customHeight="1" s="236">
      <c r="A103" s="148" t="n"/>
      <c r="B103" s="148" t="n"/>
      <c r="C103" s="124" t="n"/>
      <c r="D103" s="148" t="n"/>
      <c r="E103" s="148" t="n"/>
      <c r="F103" s="148" t="n"/>
      <c r="G103" s="124" t="n"/>
      <c r="H103" s="148" t="n"/>
      <c r="I103" s="148" t="n"/>
      <c r="J103" s="148" t="n"/>
      <c r="K103" s="148" t="n"/>
      <c r="L103" s="148" t="n"/>
      <c r="M103" s="148" t="n"/>
      <c r="N103" s="148" t="n"/>
      <c r="O103" s="148" t="n"/>
      <c r="P103" s="148" t="n"/>
      <c r="Q103" s="148" t="n"/>
      <c r="R103" s="148" t="n"/>
      <c r="S103" s="148" t="n"/>
      <c r="T103" s="148" t="n"/>
      <c r="U103" s="149">
        <f>IF(AND('Master Stock'!D103&lt;&gt;"",'Master Stock'!H103="OCCUPIED",ISNUMBER('Master Stock'!J103),'Master Stock'!K103=""),SUMPRODUCT(--('Master Stock'!$D$2:$D$1000&lt;&gt;""),--('Master Stock'!$H$2:$H$1000="OCCUPIED"),--ISNUMBER('Master Stock'!$J$2:$J$1000),--('Master Stock'!$K$2:$K$1000=""),--('Master Stock'!$J$2:$J$1000&lt;'Master Stock'!J103))+COUNTIFS('Master Stock'!$J$2:J103,'Master Stock'!J103,'Master Stock'!$D$2:D103,"&lt;&gt;",'Master Stock'!$H$2:H103,"OCCUPIED",'Master Stock'!$K$2:K103,""),"")</f>
        <v/>
      </c>
      <c r="V103" s="149">
        <f>IF(AND('Master Stock'!D103&lt;&gt;"",'Master Stock'!H103="OCCUPIED",ISNUMBER('Master Stock'!L103),'Master Stock'!L103&lt;TODAY()-30),SUMPRODUCT(--('Master Stock'!$D$2:$D$1000&lt;&gt;""),--('Master Stock'!$H$2:$H$1000="OCCUPIED"),--ISNUMBER('Master Stock'!$L$2:$L$1000),--('Master Stock'!$L$2:$L$1000&lt;TODAY()-30),--('Master Stock'!$L$2:$L$1000&lt;'Master Stock'!L103))+COUNTIFS('Master Stock'!$L$2:L103,'Master Stock'!L103,'Master Stock'!$D$2:D103,"&lt;&gt;",'Master Stock'!$H$2:H103,"OCCUPIED"),"")</f>
        <v/>
      </c>
      <c r="W103" s="149" t="n"/>
      <c r="X103" s="149" t="n"/>
      <c r="Y103" s="149" t="n"/>
      <c r="Z103" s="149" t="n"/>
    </row>
    <row r="104" ht="15.75" customHeight="1" s="236">
      <c r="A104" s="148" t="n"/>
      <c r="B104" s="148" t="n"/>
      <c r="C104" s="124" t="n"/>
      <c r="D104" s="148" t="n"/>
      <c r="E104" s="148" t="n"/>
      <c r="F104" s="148" t="n"/>
      <c r="G104" s="124" t="n"/>
      <c r="H104" s="148" t="n"/>
      <c r="I104" s="148" t="n"/>
      <c r="J104" s="148" t="n"/>
      <c r="K104" s="148" t="n"/>
      <c r="L104" s="148" t="n"/>
      <c r="M104" s="148" t="n"/>
      <c r="N104" s="148" t="n"/>
      <c r="O104" s="148" t="n"/>
      <c r="P104" s="148" t="n"/>
      <c r="Q104" s="148" t="n"/>
      <c r="R104" s="148" t="n"/>
      <c r="S104" s="148" t="n"/>
      <c r="T104" s="148" t="n"/>
      <c r="U104" s="149">
        <f>IF(AND('Master Stock'!D104&lt;&gt;"",'Master Stock'!H104="OCCUPIED",ISNUMBER('Master Stock'!J104),'Master Stock'!K104=""),SUMPRODUCT(--('Master Stock'!$D$2:$D$1000&lt;&gt;""),--('Master Stock'!$H$2:$H$1000="OCCUPIED"),--ISNUMBER('Master Stock'!$J$2:$J$1000),--('Master Stock'!$K$2:$K$1000=""),--('Master Stock'!$J$2:$J$1000&lt;'Master Stock'!J104))+COUNTIFS('Master Stock'!$J$2:J104,'Master Stock'!J104,'Master Stock'!$D$2:D104,"&lt;&gt;",'Master Stock'!$H$2:H104,"OCCUPIED",'Master Stock'!$K$2:K104,""),"")</f>
        <v/>
      </c>
      <c r="V104" s="149">
        <f>IF(AND('Master Stock'!D104&lt;&gt;"",'Master Stock'!H104="OCCUPIED",ISNUMBER('Master Stock'!L104),'Master Stock'!L104&lt;TODAY()-30),SUMPRODUCT(--('Master Stock'!$D$2:$D$1000&lt;&gt;""),--('Master Stock'!$H$2:$H$1000="OCCUPIED"),--ISNUMBER('Master Stock'!$L$2:$L$1000),--('Master Stock'!$L$2:$L$1000&lt;TODAY()-30),--('Master Stock'!$L$2:$L$1000&lt;'Master Stock'!L104))+COUNTIFS('Master Stock'!$L$2:L104,'Master Stock'!L104,'Master Stock'!$D$2:D104,"&lt;&gt;",'Master Stock'!$H$2:H104,"OCCUPIED"),"")</f>
        <v/>
      </c>
      <c r="W104" s="149" t="n"/>
      <c r="X104" s="149" t="n"/>
      <c r="Y104" s="149" t="n"/>
      <c r="Z104" s="149" t="n"/>
    </row>
    <row r="105" ht="15.75" customHeight="1" s="236">
      <c r="A105" s="148" t="n"/>
      <c r="B105" s="148" t="n"/>
      <c r="C105" s="124" t="n"/>
      <c r="D105" s="148" t="n"/>
      <c r="E105" s="148" t="n"/>
      <c r="F105" s="148" t="n"/>
      <c r="G105" s="124" t="n"/>
      <c r="H105" s="148" t="n"/>
      <c r="I105" s="148" t="n"/>
      <c r="J105" s="148" t="n"/>
      <c r="K105" s="148" t="n"/>
      <c r="L105" s="148" t="n"/>
      <c r="M105" s="148" t="n"/>
      <c r="N105" s="148" t="n"/>
      <c r="O105" s="148" t="n"/>
      <c r="P105" s="148" t="n"/>
      <c r="Q105" s="148" t="n"/>
      <c r="R105" s="148" t="n"/>
      <c r="S105" s="148" t="n"/>
      <c r="T105" s="148" t="n"/>
      <c r="U105" s="149">
        <f>IF(AND('Master Stock'!D105&lt;&gt;"",'Master Stock'!H105="OCCUPIED",ISNUMBER('Master Stock'!J105),'Master Stock'!K105=""),SUMPRODUCT(--('Master Stock'!$D$2:$D$1000&lt;&gt;""),--('Master Stock'!$H$2:$H$1000="OCCUPIED"),--ISNUMBER('Master Stock'!$J$2:$J$1000),--('Master Stock'!$K$2:$K$1000=""),--('Master Stock'!$J$2:$J$1000&lt;'Master Stock'!J105))+COUNTIFS('Master Stock'!$J$2:J105,'Master Stock'!J105,'Master Stock'!$D$2:D105,"&lt;&gt;",'Master Stock'!$H$2:H105,"OCCUPIED",'Master Stock'!$K$2:K105,""),"")</f>
        <v/>
      </c>
      <c r="V105" s="149">
        <f>IF(AND('Master Stock'!D105&lt;&gt;"",'Master Stock'!H105="OCCUPIED",ISNUMBER('Master Stock'!L105),'Master Stock'!L105&lt;TODAY()-30),SUMPRODUCT(--('Master Stock'!$D$2:$D$1000&lt;&gt;""),--('Master Stock'!$H$2:$H$1000="OCCUPIED"),--ISNUMBER('Master Stock'!$L$2:$L$1000),--('Master Stock'!$L$2:$L$1000&lt;TODAY()-30),--('Master Stock'!$L$2:$L$1000&lt;'Master Stock'!L105))+COUNTIFS('Master Stock'!$L$2:L105,'Master Stock'!L105,'Master Stock'!$D$2:D105,"&lt;&gt;",'Master Stock'!$H$2:H105,"OCCUPIED"),"")</f>
        <v/>
      </c>
      <c r="W105" s="149" t="n"/>
      <c r="X105" s="149" t="n"/>
      <c r="Y105" s="149" t="n"/>
      <c r="Z105" s="149" t="n"/>
    </row>
    <row r="106" ht="15.75" customHeight="1" s="236">
      <c r="A106" s="148" t="n"/>
      <c r="B106" s="148" t="n"/>
      <c r="C106" s="124" t="n"/>
      <c r="D106" s="148" t="n"/>
      <c r="E106" s="148" t="n"/>
      <c r="F106" s="148" t="n"/>
      <c r="G106" s="124" t="n"/>
      <c r="H106" s="148" t="n"/>
      <c r="I106" s="148" t="n"/>
      <c r="J106" s="148" t="n"/>
      <c r="K106" s="148" t="n"/>
      <c r="L106" s="148" t="n"/>
      <c r="M106" s="148" t="n"/>
      <c r="N106" s="148" t="n"/>
      <c r="O106" s="148" t="n"/>
      <c r="P106" s="148" t="n"/>
      <c r="Q106" s="148" t="n"/>
      <c r="R106" s="148" t="n"/>
      <c r="S106" s="148" t="n"/>
      <c r="T106" s="148" t="n"/>
      <c r="U106" s="149">
        <f>IF(AND('Master Stock'!D106&lt;&gt;"",'Master Stock'!H106="OCCUPIED",ISNUMBER('Master Stock'!J106),'Master Stock'!K106=""),SUMPRODUCT(--('Master Stock'!$D$2:$D$1000&lt;&gt;""),--('Master Stock'!$H$2:$H$1000="OCCUPIED"),--ISNUMBER('Master Stock'!$J$2:$J$1000),--('Master Stock'!$K$2:$K$1000=""),--('Master Stock'!$J$2:$J$1000&lt;'Master Stock'!J106))+COUNTIFS('Master Stock'!$J$2:J106,'Master Stock'!J106,'Master Stock'!$D$2:D106,"&lt;&gt;",'Master Stock'!$H$2:H106,"OCCUPIED",'Master Stock'!$K$2:K106,""),"")</f>
        <v/>
      </c>
      <c r="V106" s="149">
        <f>IF(AND('Master Stock'!D106&lt;&gt;"",'Master Stock'!H106="OCCUPIED",ISNUMBER('Master Stock'!L106),'Master Stock'!L106&lt;TODAY()-30),SUMPRODUCT(--('Master Stock'!$D$2:$D$1000&lt;&gt;""),--('Master Stock'!$H$2:$H$1000="OCCUPIED"),--ISNUMBER('Master Stock'!$L$2:$L$1000),--('Master Stock'!$L$2:$L$1000&lt;TODAY()-30),--('Master Stock'!$L$2:$L$1000&lt;'Master Stock'!L106))+COUNTIFS('Master Stock'!$L$2:L106,'Master Stock'!L106,'Master Stock'!$D$2:D106,"&lt;&gt;",'Master Stock'!$H$2:H106,"OCCUPIED"),"")</f>
        <v/>
      </c>
      <c r="W106" s="149" t="n"/>
      <c r="X106" s="149" t="n"/>
      <c r="Y106" s="149" t="n"/>
      <c r="Z106" s="149" t="n"/>
    </row>
    <row r="107" ht="15.75" customHeight="1" s="236">
      <c r="A107" s="148" t="n"/>
      <c r="B107" s="148" t="n"/>
      <c r="C107" s="124" t="n"/>
      <c r="D107" s="148" t="n"/>
      <c r="E107" s="148" t="n"/>
      <c r="F107" s="148" t="n"/>
      <c r="G107" s="124" t="n"/>
      <c r="H107" s="148" t="n"/>
      <c r="I107" s="148" t="n"/>
      <c r="J107" s="148" t="n"/>
      <c r="K107" s="148" t="n"/>
      <c r="L107" s="148" t="n"/>
      <c r="M107" s="148" t="n"/>
      <c r="N107" s="148" t="n"/>
      <c r="O107" s="148" t="n"/>
      <c r="P107" s="148" t="n"/>
      <c r="Q107" s="148" t="n"/>
      <c r="R107" s="148" t="n"/>
      <c r="S107" s="148" t="n"/>
      <c r="T107" s="148" t="n"/>
      <c r="U107" s="149">
        <f>IF(AND('Master Stock'!D107&lt;&gt;"",'Master Stock'!H107="OCCUPIED",ISNUMBER('Master Stock'!J107),'Master Stock'!K107=""),SUMPRODUCT(--('Master Stock'!$D$2:$D$1000&lt;&gt;""),--('Master Stock'!$H$2:$H$1000="OCCUPIED"),--ISNUMBER('Master Stock'!$J$2:$J$1000),--('Master Stock'!$K$2:$K$1000=""),--('Master Stock'!$J$2:$J$1000&lt;'Master Stock'!J107))+COUNTIFS('Master Stock'!$J$2:J107,'Master Stock'!J107,'Master Stock'!$D$2:D107,"&lt;&gt;",'Master Stock'!$H$2:H107,"OCCUPIED",'Master Stock'!$K$2:K107,""),"")</f>
        <v/>
      </c>
      <c r="V107" s="149">
        <f>IF(AND('Master Stock'!D107&lt;&gt;"",'Master Stock'!H107="OCCUPIED",ISNUMBER('Master Stock'!L107),'Master Stock'!L107&lt;TODAY()-30),SUMPRODUCT(--('Master Stock'!$D$2:$D$1000&lt;&gt;""),--('Master Stock'!$H$2:$H$1000="OCCUPIED"),--ISNUMBER('Master Stock'!$L$2:$L$1000),--('Master Stock'!$L$2:$L$1000&lt;TODAY()-30),--('Master Stock'!$L$2:$L$1000&lt;'Master Stock'!L107))+COUNTIFS('Master Stock'!$L$2:L107,'Master Stock'!L107,'Master Stock'!$D$2:D107,"&lt;&gt;",'Master Stock'!$H$2:H107,"OCCUPIED"),"")</f>
        <v/>
      </c>
      <c r="W107" s="149" t="n"/>
      <c r="X107" s="149" t="n"/>
      <c r="Y107" s="149" t="n"/>
      <c r="Z107" s="149" t="n"/>
    </row>
    <row r="108" ht="15.75" customHeight="1" s="236">
      <c r="A108" s="148" t="n"/>
      <c r="B108" s="148" t="n"/>
      <c r="C108" s="124" t="n"/>
      <c r="D108" s="148" t="n"/>
      <c r="E108" s="148" t="n"/>
      <c r="F108" s="148" t="n"/>
      <c r="G108" s="124" t="n"/>
      <c r="H108" s="148" t="n"/>
      <c r="I108" s="148" t="n"/>
      <c r="J108" s="148" t="n"/>
      <c r="K108" s="148" t="n"/>
      <c r="L108" s="148" t="n"/>
      <c r="M108" s="148" t="n"/>
      <c r="N108" s="148" t="n"/>
      <c r="O108" s="148" t="n"/>
      <c r="P108" s="148" t="n"/>
      <c r="Q108" s="148" t="n"/>
      <c r="R108" s="148" t="n"/>
      <c r="S108" s="148" t="n"/>
      <c r="T108" s="148" t="n"/>
      <c r="U108" s="149">
        <f>IF(AND('Master Stock'!D108&lt;&gt;"",'Master Stock'!H108="OCCUPIED",ISNUMBER('Master Stock'!J108),'Master Stock'!K108=""),SUMPRODUCT(--('Master Stock'!$D$2:$D$1000&lt;&gt;""),--('Master Stock'!$H$2:$H$1000="OCCUPIED"),--ISNUMBER('Master Stock'!$J$2:$J$1000),--('Master Stock'!$K$2:$K$1000=""),--('Master Stock'!$J$2:$J$1000&lt;'Master Stock'!J108))+COUNTIFS('Master Stock'!$J$2:J108,'Master Stock'!J108,'Master Stock'!$D$2:D108,"&lt;&gt;",'Master Stock'!$H$2:H108,"OCCUPIED",'Master Stock'!$K$2:K108,""),"")</f>
        <v/>
      </c>
      <c r="V108" s="149">
        <f>IF(AND('Master Stock'!D108&lt;&gt;"",'Master Stock'!H108="OCCUPIED",ISNUMBER('Master Stock'!L108),'Master Stock'!L108&lt;TODAY()-30),SUMPRODUCT(--('Master Stock'!$D$2:$D$1000&lt;&gt;""),--('Master Stock'!$H$2:$H$1000="OCCUPIED"),--ISNUMBER('Master Stock'!$L$2:$L$1000),--('Master Stock'!$L$2:$L$1000&lt;TODAY()-30),--('Master Stock'!$L$2:$L$1000&lt;'Master Stock'!L108))+COUNTIFS('Master Stock'!$L$2:L108,'Master Stock'!L108,'Master Stock'!$D$2:D108,"&lt;&gt;",'Master Stock'!$H$2:H108,"OCCUPIED"),"")</f>
        <v/>
      </c>
      <c r="W108" s="149" t="n"/>
      <c r="X108" s="149" t="n"/>
      <c r="Y108" s="149" t="n"/>
      <c r="Z108" s="149" t="n"/>
    </row>
    <row r="109" ht="15.75" customHeight="1" s="236">
      <c r="A109" s="148" t="n"/>
      <c r="B109" s="148" t="n"/>
      <c r="C109" s="124" t="n"/>
      <c r="D109" s="148" t="n"/>
      <c r="E109" s="148" t="n"/>
      <c r="F109" s="148" t="n"/>
      <c r="G109" s="124" t="n"/>
      <c r="H109" s="148" t="n"/>
      <c r="I109" s="148" t="n"/>
      <c r="J109" s="148" t="n"/>
      <c r="K109" s="148" t="n"/>
      <c r="L109" s="148" t="n"/>
      <c r="M109" s="148" t="n"/>
      <c r="N109" s="148" t="n"/>
      <c r="O109" s="148" t="n"/>
      <c r="P109" s="148" t="n"/>
      <c r="Q109" s="148" t="n"/>
      <c r="R109" s="148" t="n"/>
      <c r="S109" s="148" t="n"/>
      <c r="T109" s="148" t="n"/>
      <c r="U109" s="149">
        <f>IF(AND('Master Stock'!D109&lt;&gt;"",'Master Stock'!H109="OCCUPIED",ISNUMBER('Master Stock'!J109),'Master Stock'!K109=""),SUMPRODUCT(--('Master Stock'!$D$2:$D$1000&lt;&gt;""),--('Master Stock'!$H$2:$H$1000="OCCUPIED"),--ISNUMBER('Master Stock'!$J$2:$J$1000),--('Master Stock'!$K$2:$K$1000=""),--('Master Stock'!$J$2:$J$1000&lt;'Master Stock'!J109))+COUNTIFS('Master Stock'!$J$2:J109,'Master Stock'!J109,'Master Stock'!$D$2:D109,"&lt;&gt;",'Master Stock'!$H$2:H109,"OCCUPIED",'Master Stock'!$K$2:K109,""),"")</f>
        <v/>
      </c>
      <c r="V109" s="149">
        <f>IF(AND('Master Stock'!D109&lt;&gt;"",'Master Stock'!H109="OCCUPIED",ISNUMBER('Master Stock'!L109),'Master Stock'!L109&lt;TODAY()-30),SUMPRODUCT(--('Master Stock'!$D$2:$D$1000&lt;&gt;""),--('Master Stock'!$H$2:$H$1000="OCCUPIED"),--ISNUMBER('Master Stock'!$L$2:$L$1000),--('Master Stock'!$L$2:$L$1000&lt;TODAY()-30),--('Master Stock'!$L$2:$L$1000&lt;'Master Stock'!L109))+COUNTIFS('Master Stock'!$L$2:L109,'Master Stock'!L109,'Master Stock'!$D$2:D109,"&lt;&gt;",'Master Stock'!$H$2:H109,"OCCUPIED"),"")</f>
        <v/>
      </c>
      <c r="W109" s="149" t="n"/>
      <c r="X109" s="149" t="n"/>
      <c r="Y109" s="149" t="n"/>
      <c r="Z109" s="149" t="n"/>
    </row>
    <row r="110" ht="15.75" customHeight="1" s="236">
      <c r="A110" s="148" t="n"/>
      <c r="B110" s="148" t="n"/>
      <c r="C110" s="124" t="n"/>
      <c r="D110" s="148" t="n"/>
      <c r="E110" s="148" t="n"/>
      <c r="F110" s="148" t="n"/>
      <c r="G110" s="124" t="n"/>
      <c r="H110" s="148" t="n"/>
      <c r="I110" s="148" t="n"/>
      <c r="J110" s="148" t="n"/>
      <c r="K110" s="148" t="n"/>
      <c r="L110" s="148" t="n"/>
      <c r="M110" s="148" t="n"/>
      <c r="N110" s="148" t="n"/>
      <c r="O110" s="148" t="n"/>
      <c r="P110" s="148" t="n"/>
      <c r="Q110" s="148" t="n"/>
      <c r="R110" s="148" t="n"/>
      <c r="S110" s="148" t="n"/>
      <c r="T110" s="148" t="n"/>
      <c r="U110" s="149">
        <f>IF(AND('Master Stock'!D110&lt;&gt;"",'Master Stock'!H110="OCCUPIED",ISNUMBER('Master Stock'!J110),'Master Stock'!K110=""),SUMPRODUCT(--('Master Stock'!$D$2:$D$1000&lt;&gt;""),--('Master Stock'!$H$2:$H$1000="OCCUPIED"),--ISNUMBER('Master Stock'!$J$2:$J$1000),--('Master Stock'!$K$2:$K$1000=""),--('Master Stock'!$J$2:$J$1000&lt;'Master Stock'!J110))+COUNTIFS('Master Stock'!$J$2:J110,'Master Stock'!J110,'Master Stock'!$D$2:D110,"&lt;&gt;",'Master Stock'!$H$2:H110,"OCCUPIED",'Master Stock'!$K$2:K110,""),"")</f>
        <v/>
      </c>
      <c r="V110" s="149">
        <f>IF(AND('Master Stock'!D110&lt;&gt;"",'Master Stock'!H110="OCCUPIED",ISNUMBER('Master Stock'!L110),'Master Stock'!L110&lt;TODAY()-30),SUMPRODUCT(--('Master Stock'!$D$2:$D$1000&lt;&gt;""),--('Master Stock'!$H$2:$H$1000="OCCUPIED"),--ISNUMBER('Master Stock'!$L$2:$L$1000),--('Master Stock'!$L$2:$L$1000&lt;TODAY()-30),--('Master Stock'!$L$2:$L$1000&lt;'Master Stock'!L110))+COUNTIFS('Master Stock'!$L$2:L110,'Master Stock'!L110,'Master Stock'!$D$2:D110,"&lt;&gt;",'Master Stock'!$H$2:H110,"OCCUPIED"),"")</f>
        <v/>
      </c>
      <c r="W110" s="149" t="n"/>
      <c r="X110" s="149" t="n"/>
      <c r="Y110" s="149" t="n"/>
      <c r="Z110" s="149" t="n"/>
    </row>
    <row r="111" ht="15.75" customHeight="1" s="236">
      <c r="A111" s="148" t="n"/>
      <c r="B111" s="148" t="n"/>
      <c r="C111" s="124" t="n"/>
      <c r="D111" s="148" t="n"/>
      <c r="E111" s="148" t="n"/>
      <c r="F111" s="148" t="n"/>
      <c r="G111" s="124" t="n"/>
      <c r="H111" s="148" t="n"/>
      <c r="I111" s="148" t="n"/>
      <c r="J111" s="148" t="n"/>
      <c r="K111" s="148" t="n"/>
      <c r="L111" s="148" t="n"/>
      <c r="M111" s="148" t="n"/>
      <c r="N111" s="148" t="n"/>
      <c r="O111" s="148" t="n"/>
      <c r="P111" s="148" t="n"/>
      <c r="Q111" s="148" t="n"/>
      <c r="R111" s="148" t="n"/>
      <c r="S111" s="148" t="n"/>
      <c r="T111" s="148" t="n"/>
      <c r="U111" s="149">
        <f>IF(AND('Master Stock'!D111&lt;&gt;"",'Master Stock'!H111="OCCUPIED",ISNUMBER('Master Stock'!J111),'Master Stock'!K111=""),SUMPRODUCT(--('Master Stock'!$D$2:$D$1000&lt;&gt;""),--('Master Stock'!$H$2:$H$1000="OCCUPIED"),--ISNUMBER('Master Stock'!$J$2:$J$1000),--('Master Stock'!$K$2:$K$1000=""),--('Master Stock'!$J$2:$J$1000&lt;'Master Stock'!J111))+COUNTIFS('Master Stock'!$J$2:J111,'Master Stock'!J111,'Master Stock'!$D$2:D111,"&lt;&gt;",'Master Stock'!$H$2:H111,"OCCUPIED",'Master Stock'!$K$2:K111,""),"")</f>
        <v/>
      </c>
      <c r="V111" s="149">
        <f>IF(AND('Master Stock'!D111&lt;&gt;"",'Master Stock'!H111="OCCUPIED",ISNUMBER('Master Stock'!L111),'Master Stock'!L111&lt;TODAY()-30),SUMPRODUCT(--('Master Stock'!$D$2:$D$1000&lt;&gt;""),--('Master Stock'!$H$2:$H$1000="OCCUPIED"),--ISNUMBER('Master Stock'!$L$2:$L$1000),--('Master Stock'!$L$2:$L$1000&lt;TODAY()-30),--('Master Stock'!$L$2:$L$1000&lt;'Master Stock'!L111))+COUNTIFS('Master Stock'!$L$2:L111,'Master Stock'!L111,'Master Stock'!$D$2:D111,"&lt;&gt;",'Master Stock'!$H$2:H111,"OCCUPIED"),"")</f>
        <v/>
      </c>
      <c r="W111" s="149" t="n"/>
      <c r="X111" s="149" t="n"/>
      <c r="Y111" s="149" t="n"/>
      <c r="Z111" s="149" t="n"/>
    </row>
    <row r="112" ht="15.75" customHeight="1" s="236">
      <c r="A112" s="148" t="n"/>
      <c r="B112" s="148" t="n"/>
      <c r="C112" s="124" t="n"/>
      <c r="D112" s="148" t="n"/>
      <c r="E112" s="148" t="n"/>
      <c r="F112" s="148" t="n"/>
      <c r="G112" s="124" t="n"/>
      <c r="H112" s="148" t="n"/>
      <c r="I112" s="148" t="n"/>
      <c r="J112" s="148" t="n"/>
      <c r="K112" s="148" t="n"/>
      <c r="L112" s="148" t="n"/>
      <c r="M112" s="148" t="n"/>
      <c r="N112" s="148" t="n"/>
      <c r="O112" s="148" t="n"/>
      <c r="P112" s="148" t="n"/>
      <c r="Q112" s="148" t="n"/>
      <c r="R112" s="148" t="n"/>
      <c r="S112" s="148" t="n"/>
      <c r="T112" s="148" t="n"/>
      <c r="U112" s="149">
        <f>IF(AND('Master Stock'!D112&lt;&gt;"",'Master Stock'!H112="OCCUPIED",ISNUMBER('Master Stock'!J112),'Master Stock'!K112=""),SUMPRODUCT(--('Master Stock'!$D$2:$D$1000&lt;&gt;""),--('Master Stock'!$H$2:$H$1000="OCCUPIED"),--ISNUMBER('Master Stock'!$J$2:$J$1000),--('Master Stock'!$K$2:$K$1000=""),--('Master Stock'!$J$2:$J$1000&lt;'Master Stock'!J112))+COUNTIFS('Master Stock'!$J$2:J112,'Master Stock'!J112,'Master Stock'!$D$2:D112,"&lt;&gt;",'Master Stock'!$H$2:H112,"OCCUPIED",'Master Stock'!$K$2:K112,""),"")</f>
        <v/>
      </c>
      <c r="V112" s="149">
        <f>IF(AND('Master Stock'!D112&lt;&gt;"",'Master Stock'!H112="OCCUPIED",ISNUMBER('Master Stock'!L112),'Master Stock'!L112&lt;TODAY()-30),SUMPRODUCT(--('Master Stock'!$D$2:$D$1000&lt;&gt;""),--('Master Stock'!$H$2:$H$1000="OCCUPIED"),--ISNUMBER('Master Stock'!$L$2:$L$1000),--('Master Stock'!$L$2:$L$1000&lt;TODAY()-30),--('Master Stock'!$L$2:$L$1000&lt;'Master Stock'!L112))+COUNTIFS('Master Stock'!$L$2:L112,'Master Stock'!L112,'Master Stock'!$D$2:D112,"&lt;&gt;",'Master Stock'!$H$2:H112,"OCCUPIED"),"")</f>
        <v/>
      </c>
      <c r="W112" s="149" t="n"/>
      <c r="X112" s="149" t="n"/>
      <c r="Y112" s="149" t="n"/>
      <c r="Z112" s="149" t="n"/>
    </row>
    <row r="113" ht="15.75" customHeight="1" s="236">
      <c r="A113" s="148" t="n"/>
      <c r="B113" s="148" t="n"/>
      <c r="C113" s="124" t="n"/>
      <c r="D113" s="148" t="n"/>
      <c r="E113" s="148" t="n"/>
      <c r="F113" s="148" t="n"/>
      <c r="G113" s="124" t="n"/>
      <c r="H113" s="148" t="n"/>
      <c r="I113" s="148" t="n"/>
      <c r="J113" s="148" t="n"/>
      <c r="K113" s="148" t="n"/>
      <c r="L113" s="148" t="n"/>
      <c r="M113" s="148" t="n"/>
      <c r="N113" s="148" t="n"/>
      <c r="O113" s="148" t="n"/>
      <c r="P113" s="148" t="n"/>
      <c r="Q113" s="148" t="n"/>
      <c r="R113" s="148" t="n"/>
      <c r="S113" s="148" t="n"/>
      <c r="T113" s="148" t="n"/>
      <c r="U113" s="149">
        <f>IF(AND('Master Stock'!D113&lt;&gt;"",'Master Stock'!H113="OCCUPIED",ISNUMBER('Master Stock'!J113),'Master Stock'!K113=""),SUMPRODUCT(--('Master Stock'!$D$2:$D$1000&lt;&gt;""),--('Master Stock'!$H$2:$H$1000="OCCUPIED"),--ISNUMBER('Master Stock'!$J$2:$J$1000),--('Master Stock'!$K$2:$K$1000=""),--('Master Stock'!$J$2:$J$1000&lt;'Master Stock'!J113))+COUNTIFS('Master Stock'!$J$2:J113,'Master Stock'!J113,'Master Stock'!$D$2:D113,"&lt;&gt;",'Master Stock'!$H$2:H113,"OCCUPIED",'Master Stock'!$K$2:K113,""),"")</f>
        <v/>
      </c>
      <c r="V113" s="149">
        <f>IF(AND('Master Stock'!D113&lt;&gt;"",'Master Stock'!H113="OCCUPIED",ISNUMBER('Master Stock'!L113),'Master Stock'!L113&lt;TODAY()-30),SUMPRODUCT(--('Master Stock'!$D$2:$D$1000&lt;&gt;""),--('Master Stock'!$H$2:$H$1000="OCCUPIED"),--ISNUMBER('Master Stock'!$L$2:$L$1000),--('Master Stock'!$L$2:$L$1000&lt;TODAY()-30),--('Master Stock'!$L$2:$L$1000&lt;'Master Stock'!L113))+COUNTIFS('Master Stock'!$L$2:L113,'Master Stock'!L113,'Master Stock'!$D$2:D113,"&lt;&gt;",'Master Stock'!$H$2:H113,"OCCUPIED"),"")</f>
        <v/>
      </c>
      <c r="W113" s="149" t="n"/>
      <c r="X113" s="149" t="n"/>
      <c r="Y113" s="149" t="n"/>
      <c r="Z113" s="149" t="n"/>
    </row>
    <row r="114" ht="15.75" customHeight="1" s="236">
      <c r="A114" s="148" t="n"/>
      <c r="B114" s="148" t="n"/>
      <c r="C114" s="124" t="n"/>
      <c r="D114" s="148" t="n"/>
      <c r="E114" s="148" t="n"/>
      <c r="F114" s="148" t="n"/>
      <c r="G114" s="124" t="n"/>
      <c r="H114" s="148" t="n"/>
      <c r="I114" s="148" t="n"/>
      <c r="J114" s="148" t="n"/>
      <c r="K114" s="148" t="n"/>
      <c r="L114" s="148" t="n"/>
      <c r="M114" s="148" t="n"/>
      <c r="N114" s="148" t="n"/>
      <c r="O114" s="148" t="n"/>
      <c r="P114" s="148" t="n"/>
      <c r="Q114" s="148" t="n"/>
      <c r="R114" s="148" t="n"/>
      <c r="S114" s="148" t="n"/>
      <c r="T114" s="148" t="n"/>
      <c r="U114" s="149">
        <f>IF(AND('Master Stock'!D114&lt;&gt;"",'Master Stock'!H114="OCCUPIED",ISNUMBER('Master Stock'!J114),'Master Stock'!K114=""),SUMPRODUCT(--('Master Stock'!$D$2:$D$1000&lt;&gt;""),--('Master Stock'!$H$2:$H$1000="OCCUPIED"),--ISNUMBER('Master Stock'!$J$2:$J$1000),--('Master Stock'!$K$2:$K$1000=""),--('Master Stock'!$J$2:$J$1000&lt;'Master Stock'!J114))+COUNTIFS('Master Stock'!$J$2:J114,'Master Stock'!J114,'Master Stock'!$D$2:D114,"&lt;&gt;",'Master Stock'!$H$2:H114,"OCCUPIED",'Master Stock'!$K$2:K114,""),"")</f>
        <v/>
      </c>
      <c r="V114" s="149">
        <f>IF(AND('Master Stock'!D114&lt;&gt;"",'Master Stock'!H114="OCCUPIED",ISNUMBER('Master Stock'!L114),'Master Stock'!L114&lt;TODAY()-30),SUMPRODUCT(--('Master Stock'!$D$2:$D$1000&lt;&gt;""),--('Master Stock'!$H$2:$H$1000="OCCUPIED"),--ISNUMBER('Master Stock'!$L$2:$L$1000),--('Master Stock'!$L$2:$L$1000&lt;TODAY()-30),--('Master Stock'!$L$2:$L$1000&lt;'Master Stock'!L114))+COUNTIFS('Master Stock'!$L$2:L114,'Master Stock'!L114,'Master Stock'!$D$2:D114,"&lt;&gt;",'Master Stock'!$H$2:H114,"OCCUPIED"),"")</f>
        <v/>
      </c>
      <c r="W114" s="149" t="n"/>
      <c r="X114" s="149" t="n"/>
      <c r="Y114" s="149" t="n"/>
      <c r="Z114" s="149" t="n"/>
    </row>
    <row r="115" ht="15.75" customHeight="1" s="236">
      <c r="A115" s="148" t="n"/>
      <c r="B115" s="148" t="n"/>
      <c r="C115" s="124" t="n"/>
      <c r="D115" s="148" t="n"/>
      <c r="E115" s="148" t="n"/>
      <c r="F115" s="148" t="n"/>
      <c r="G115" s="124" t="n"/>
      <c r="H115" s="148" t="n"/>
      <c r="I115" s="148" t="n"/>
      <c r="J115" s="148" t="n"/>
      <c r="K115" s="148" t="n"/>
      <c r="L115" s="148" t="n"/>
      <c r="M115" s="148" t="n"/>
      <c r="N115" s="148" t="n"/>
      <c r="O115" s="148" t="n"/>
      <c r="P115" s="148" t="n"/>
      <c r="Q115" s="148" t="n"/>
      <c r="R115" s="148" t="n"/>
      <c r="S115" s="148" t="n"/>
      <c r="T115" s="148" t="n"/>
      <c r="U115" s="149">
        <f>IF(AND('Master Stock'!D115&lt;&gt;"",'Master Stock'!H115="OCCUPIED",ISNUMBER('Master Stock'!J115),'Master Stock'!K115=""),SUMPRODUCT(--('Master Stock'!$D$2:$D$1000&lt;&gt;""),--('Master Stock'!$H$2:$H$1000="OCCUPIED"),--ISNUMBER('Master Stock'!$J$2:$J$1000),--('Master Stock'!$K$2:$K$1000=""),--('Master Stock'!$J$2:$J$1000&lt;'Master Stock'!J115))+COUNTIFS('Master Stock'!$J$2:J115,'Master Stock'!J115,'Master Stock'!$D$2:D115,"&lt;&gt;",'Master Stock'!$H$2:H115,"OCCUPIED",'Master Stock'!$K$2:K115,""),"")</f>
        <v/>
      </c>
      <c r="V115" s="149">
        <f>IF(AND('Master Stock'!D115&lt;&gt;"",'Master Stock'!H115="OCCUPIED",ISNUMBER('Master Stock'!L115),'Master Stock'!L115&lt;TODAY()-30),SUMPRODUCT(--('Master Stock'!$D$2:$D$1000&lt;&gt;""),--('Master Stock'!$H$2:$H$1000="OCCUPIED"),--ISNUMBER('Master Stock'!$L$2:$L$1000),--('Master Stock'!$L$2:$L$1000&lt;TODAY()-30),--('Master Stock'!$L$2:$L$1000&lt;'Master Stock'!L115))+COUNTIFS('Master Stock'!$L$2:L115,'Master Stock'!L115,'Master Stock'!$D$2:D115,"&lt;&gt;",'Master Stock'!$H$2:H115,"OCCUPIED"),"")</f>
        <v/>
      </c>
      <c r="W115" s="149" t="n"/>
      <c r="X115" s="149" t="n"/>
      <c r="Y115" s="149" t="n"/>
      <c r="Z115" s="149" t="n"/>
    </row>
    <row r="116" ht="15.75" customHeight="1" s="236">
      <c r="A116" s="148" t="n"/>
      <c r="B116" s="148" t="n"/>
      <c r="C116" s="124" t="n"/>
      <c r="D116" s="148" t="n"/>
      <c r="E116" s="148" t="n"/>
      <c r="F116" s="148" t="n"/>
      <c r="G116" s="124" t="n"/>
      <c r="H116" s="148" t="n"/>
      <c r="I116" s="148" t="n"/>
      <c r="J116" s="148" t="n"/>
      <c r="K116" s="148" t="n"/>
      <c r="L116" s="148" t="n"/>
      <c r="M116" s="148" t="n"/>
      <c r="N116" s="148" t="n"/>
      <c r="O116" s="148" t="n"/>
      <c r="P116" s="148" t="n"/>
      <c r="Q116" s="148" t="n"/>
      <c r="R116" s="148" t="n"/>
      <c r="S116" s="148" t="n"/>
      <c r="T116" s="148" t="n"/>
      <c r="U116" s="149">
        <f>IF(AND('Master Stock'!D116&lt;&gt;"",'Master Stock'!H116="OCCUPIED",ISNUMBER('Master Stock'!J116),'Master Stock'!K116=""),SUMPRODUCT(--('Master Stock'!$D$2:$D$1000&lt;&gt;""),--('Master Stock'!$H$2:$H$1000="OCCUPIED"),--ISNUMBER('Master Stock'!$J$2:$J$1000),--('Master Stock'!$K$2:$K$1000=""),--('Master Stock'!$J$2:$J$1000&lt;'Master Stock'!J116))+COUNTIFS('Master Stock'!$J$2:J116,'Master Stock'!J116,'Master Stock'!$D$2:D116,"&lt;&gt;",'Master Stock'!$H$2:H116,"OCCUPIED",'Master Stock'!$K$2:K116,""),"")</f>
        <v/>
      </c>
      <c r="V116" s="149">
        <f>IF(AND('Master Stock'!D116&lt;&gt;"",'Master Stock'!H116="OCCUPIED",ISNUMBER('Master Stock'!L116),'Master Stock'!L116&lt;TODAY()-30),SUMPRODUCT(--('Master Stock'!$D$2:$D$1000&lt;&gt;""),--('Master Stock'!$H$2:$H$1000="OCCUPIED"),--ISNUMBER('Master Stock'!$L$2:$L$1000),--('Master Stock'!$L$2:$L$1000&lt;TODAY()-30),--('Master Stock'!$L$2:$L$1000&lt;'Master Stock'!L116))+COUNTIFS('Master Stock'!$L$2:L116,'Master Stock'!L116,'Master Stock'!$D$2:D116,"&lt;&gt;",'Master Stock'!$H$2:H116,"OCCUPIED"),"")</f>
        <v/>
      </c>
      <c r="W116" s="149" t="n"/>
      <c r="X116" s="149" t="n"/>
      <c r="Y116" s="149" t="n"/>
      <c r="Z116" s="149" t="n"/>
    </row>
    <row r="117" ht="15.75" customHeight="1" s="236">
      <c r="A117" s="148" t="n"/>
      <c r="B117" s="148" t="n"/>
      <c r="C117" s="124" t="n"/>
      <c r="D117" s="148" t="n"/>
      <c r="E117" s="148" t="n"/>
      <c r="F117" s="148" t="n"/>
      <c r="G117" s="124" t="n"/>
      <c r="H117" s="148" t="n"/>
      <c r="I117" s="148" t="n"/>
      <c r="J117" s="148" t="n"/>
      <c r="K117" s="148" t="n"/>
      <c r="L117" s="148" t="n"/>
      <c r="M117" s="148" t="n"/>
      <c r="N117" s="148" t="n"/>
      <c r="O117" s="148" t="n"/>
      <c r="P117" s="148" t="n"/>
      <c r="Q117" s="148" t="n"/>
      <c r="R117" s="148" t="n"/>
      <c r="S117" s="148" t="n"/>
      <c r="T117" s="148" t="n"/>
      <c r="U117" s="149">
        <f>IF(AND('Master Stock'!D117&lt;&gt;"",'Master Stock'!H117="OCCUPIED",ISNUMBER('Master Stock'!J117),'Master Stock'!K117=""),SUMPRODUCT(--('Master Stock'!$D$2:$D$1000&lt;&gt;""),--('Master Stock'!$H$2:$H$1000="OCCUPIED"),--ISNUMBER('Master Stock'!$J$2:$J$1000),--('Master Stock'!$K$2:$K$1000=""),--('Master Stock'!$J$2:$J$1000&lt;'Master Stock'!J117))+COUNTIFS('Master Stock'!$J$2:J117,'Master Stock'!J117,'Master Stock'!$D$2:D117,"&lt;&gt;",'Master Stock'!$H$2:H117,"OCCUPIED",'Master Stock'!$K$2:K117,""),"")</f>
        <v/>
      </c>
      <c r="V117" s="149">
        <f>IF(AND('Master Stock'!D117&lt;&gt;"",'Master Stock'!H117="OCCUPIED",ISNUMBER('Master Stock'!L117),'Master Stock'!L117&lt;TODAY()-30),SUMPRODUCT(--('Master Stock'!$D$2:$D$1000&lt;&gt;""),--('Master Stock'!$H$2:$H$1000="OCCUPIED"),--ISNUMBER('Master Stock'!$L$2:$L$1000),--('Master Stock'!$L$2:$L$1000&lt;TODAY()-30),--('Master Stock'!$L$2:$L$1000&lt;'Master Stock'!L117))+COUNTIFS('Master Stock'!$L$2:L117,'Master Stock'!L117,'Master Stock'!$D$2:D117,"&lt;&gt;",'Master Stock'!$H$2:H117,"OCCUPIED"),"")</f>
        <v/>
      </c>
      <c r="W117" s="149" t="n"/>
      <c r="X117" s="149" t="n"/>
      <c r="Y117" s="149" t="n"/>
      <c r="Z117" s="149" t="n"/>
    </row>
    <row r="118" ht="15.75" customHeight="1" s="236">
      <c r="A118" s="148" t="n"/>
      <c r="B118" s="148" t="n"/>
      <c r="C118" s="124" t="n"/>
      <c r="D118" s="148" t="n"/>
      <c r="E118" s="148" t="n"/>
      <c r="F118" s="148" t="n"/>
      <c r="G118" s="124" t="n"/>
      <c r="H118" s="148" t="n"/>
      <c r="I118" s="148" t="n"/>
      <c r="J118" s="148" t="n"/>
      <c r="K118" s="148" t="n"/>
      <c r="L118" s="148" t="n"/>
      <c r="M118" s="148" t="n"/>
      <c r="N118" s="148" t="n"/>
      <c r="O118" s="148" t="n"/>
      <c r="P118" s="148" t="n"/>
      <c r="Q118" s="148" t="n"/>
      <c r="R118" s="148" t="n"/>
      <c r="S118" s="148" t="n"/>
      <c r="T118" s="148" t="n"/>
      <c r="U118" s="149">
        <f>IF(AND('Master Stock'!D118&lt;&gt;"",'Master Stock'!H118="OCCUPIED",ISNUMBER('Master Stock'!J118),'Master Stock'!K118=""),SUMPRODUCT(--('Master Stock'!$D$2:$D$1000&lt;&gt;""),--('Master Stock'!$H$2:$H$1000="OCCUPIED"),--ISNUMBER('Master Stock'!$J$2:$J$1000),--('Master Stock'!$K$2:$K$1000=""),--('Master Stock'!$J$2:$J$1000&lt;'Master Stock'!J118))+COUNTIFS('Master Stock'!$J$2:J118,'Master Stock'!J118,'Master Stock'!$D$2:D118,"&lt;&gt;",'Master Stock'!$H$2:H118,"OCCUPIED",'Master Stock'!$K$2:K118,""),"")</f>
        <v/>
      </c>
      <c r="V118" s="149">
        <f>IF(AND('Master Stock'!D118&lt;&gt;"",'Master Stock'!H118="OCCUPIED",ISNUMBER('Master Stock'!L118),'Master Stock'!L118&lt;TODAY()-30),SUMPRODUCT(--('Master Stock'!$D$2:$D$1000&lt;&gt;""),--('Master Stock'!$H$2:$H$1000="OCCUPIED"),--ISNUMBER('Master Stock'!$L$2:$L$1000),--('Master Stock'!$L$2:$L$1000&lt;TODAY()-30),--('Master Stock'!$L$2:$L$1000&lt;'Master Stock'!L118))+COUNTIFS('Master Stock'!$L$2:L118,'Master Stock'!L118,'Master Stock'!$D$2:D118,"&lt;&gt;",'Master Stock'!$H$2:H118,"OCCUPIED"),"")</f>
        <v/>
      </c>
      <c r="W118" s="149" t="n"/>
      <c r="X118" s="149" t="n"/>
      <c r="Y118" s="149" t="n"/>
      <c r="Z118" s="149" t="n"/>
    </row>
    <row r="119" ht="15.75" customHeight="1" s="236">
      <c r="A119" s="148" t="n"/>
      <c r="B119" s="148" t="n"/>
      <c r="C119" s="124" t="n"/>
      <c r="D119" s="148" t="n"/>
      <c r="E119" s="148" t="n"/>
      <c r="F119" s="148" t="n"/>
      <c r="G119" s="124" t="n"/>
      <c r="H119" s="148" t="n"/>
      <c r="I119" s="148" t="n"/>
      <c r="J119" s="148" t="n"/>
      <c r="K119" s="148" t="n"/>
      <c r="L119" s="148" t="n"/>
      <c r="M119" s="148" t="n"/>
      <c r="N119" s="148" t="n"/>
      <c r="O119" s="148" t="n"/>
      <c r="P119" s="148" t="n"/>
      <c r="Q119" s="148" t="n"/>
      <c r="R119" s="148" t="n"/>
      <c r="S119" s="148" t="n"/>
      <c r="T119" s="148" t="n"/>
      <c r="U119" s="149">
        <f>IF(AND('Master Stock'!D119&lt;&gt;"",'Master Stock'!H119="OCCUPIED",ISNUMBER('Master Stock'!J119),'Master Stock'!K119=""),SUMPRODUCT(--('Master Stock'!$D$2:$D$1000&lt;&gt;""),--('Master Stock'!$H$2:$H$1000="OCCUPIED"),--ISNUMBER('Master Stock'!$J$2:$J$1000),--('Master Stock'!$K$2:$K$1000=""),--('Master Stock'!$J$2:$J$1000&lt;'Master Stock'!J119))+COUNTIFS('Master Stock'!$J$2:J119,'Master Stock'!J119,'Master Stock'!$D$2:D119,"&lt;&gt;",'Master Stock'!$H$2:H119,"OCCUPIED",'Master Stock'!$K$2:K119,""),"")</f>
        <v/>
      </c>
      <c r="V119" s="149">
        <f>IF(AND('Master Stock'!D119&lt;&gt;"",'Master Stock'!H119="OCCUPIED",ISNUMBER('Master Stock'!L119),'Master Stock'!L119&lt;TODAY()-30),SUMPRODUCT(--('Master Stock'!$D$2:$D$1000&lt;&gt;""),--('Master Stock'!$H$2:$H$1000="OCCUPIED"),--ISNUMBER('Master Stock'!$L$2:$L$1000),--('Master Stock'!$L$2:$L$1000&lt;TODAY()-30),--('Master Stock'!$L$2:$L$1000&lt;'Master Stock'!L119))+COUNTIFS('Master Stock'!$L$2:L119,'Master Stock'!L119,'Master Stock'!$D$2:D119,"&lt;&gt;",'Master Stock'!$H$2:H119,"OCCUPIED"),"")</f>
        <v/>
      </c>
      <c r="W119" s="149" t="n"/>
      <c r="X119" s="149" t="n"/>
      <c r="Y119" s="149" t="n"/>
      <c r="Z119" s="149" t="n"/>
    </row>
    <row r="120" ht="15.75" customHeight="1" s="236">
      <c r="A120" s="148" t="n"/>
      <c r="B120" s="148" t="n"/>
      <c r="C120" s="124" t="n"/>
      <c r="D120" s="148" t="n"/>
      <c r="E120" s="148" t="n"/>
      <c r="F120" s="148" t="n"/>
      <c r="G120" s="124" t="n"/>
      <c r="H120" s="148" t="n"/>
      <c r="I120" s="148" t="n"/>
      <c r="J120" s="148" t="n"/>
      <c r="K120" s="148" t="n"/>
      <c r="L120" s="148" t="n"/>
      <c r="M120" s="148" t="n"/>
      <c r="N120" s="148" t="n"/>
      <c r="O120" s="148" t="n"/>
      <c r="P120" s="148" t="n"/>
      <c r="Q120" s="148" t="n"/>
      <c r="R120" s="148" t="n"/>
      <c r="S120" s="148" t="n"/>
      <c r="T120" s="148" t="n"/>
      <c r="U120" s="149">
        <f>IF(AND('Master Stock'!D120&lt;&gt;"",'Master Stock'!H120="OCCUPIED",ISNUMBER('Master Stock'!J120),'Master Stock'!K120=""),SUMPRODUCT(--('Master Stock'!$D$2:$D$1000&lt;&gt;""),--('Master Stock'!$H$2:$H$1000="OCCUPIED"),--ISNUMBER('Master Stock'!$J$2:$J$1000),--('Master Stock'!$K$2:$K$1000=""),--('Master Stock'!$J$2:$J$1000&lt;'Master Stock'!J120))+COUNTIFS('Master Stock'!$J$2:J120,'Master Stock'!J120,'Master Stock'!$D$2:D120,"&lt;&gt;",'Master Stock'!$H$2:H120,"OCCUPIED",'Master Stock'!$K$2:K120,""),"")</f>
        <v/>
      </c>
      <c r="V120" s="149">
        <f>IF(AND('Master Stock'!D120&lt;&gt;"",'Master Stock'!H120="OCCUPIED",ISNUMBER('Master Stock'!L120),'Master Stock'!L120&lt;TODAY()-30),SUMPRODUCT(--('Master Stock'!$D$2:$D$1000&lt;&gt;""),--('Master Stock'!$H$2:$H$1000="OCCUPIED"),--ISNUMBER('Master Stock'!$L$2:$L$1000),--('Master Stock'!$L$2:$L$1000&lt;TODAY()-30),--('Master Stock'!$L$2:$L$1000&lt;'Master Stock'!L120))+COUNTIFS('Master Stock'!$L$2:L120,'Master Stock'!L120,'Master Stock'!$D$2:D120,"&lt;&gt;",'Master Stock'!$H$2:H120,"OCCUPIED"),"")</f>
        <v/>
      </c>
      <c r="W120" s="149" t="n"/>
      <c r="X120" s="149" t="n"/>
      <c r="Y120" s="149" t="n"/>
      <c r="Z120" s="149" t="n"/>
    </row>
    <row r="121" ht="15.75" customHeight="1" s="236">
      <c r="A121" s="148" t="n"/>
      <c r="B121" s="148" t="n"/>
      <c r="C121" s="124" t="n"/>
      <c r="D121" s="148" t="n"/>
      <c r="E121" s="148" t="n"/>
      <c r="F121" s="148" t="n"/>
      <c r="G121" s="124" t="n"/>
      <c r="H121" s="148" t="n"/>
      <c r="I121" s="148" t="n"/>
      <c r="J121" s="148" t="n"/>
      <c r="K121" s="148" t="n"/>
      <c r="L121" s="148" t="n"/>
      <c r="M121" s="148" t="n"/>
      <c r="N121" s="148" t="n"/>
      <c r="O121" s="148" t="n"/>
      <c r="P121" s="148" t="n"/>
      <c r="Q121" s="148" t="n"/>
      <c r="R121" s="148" t="n"/>
      <c r="S121" s="148" t="n"/>
      <c r="T121" s="148" t="n"/>
      <c r="U121" s="149">
        <f>IF(AND('Master Stock'!D121&lt;&gt;"",'Master Stock'!H121="OCCUPIED",ISNUMBER('Master Stock'!J121),'Master Stock'!K121=""),SUMPRODUCT(--('Master Stock'!$D$2:$D$1000&lt;&gt;""),--('Master Stock'!$H$2:$H$1000="OCCUPIED"),--ISNUMBER('Master Stock'!$J$2:$J$1000),--('Master Stock'!$K$2:$K$1000=""),--('Master Stock'!$J$2:$J$1000&lt;'Master Stock'!J121))+COUNTIFS('Master Stock'!$J$2:J121,'Master Stock'!J121,'Master Stock'!$D$2:D121,"&lt;&gt;",'Master Stock'!$H$2:H121,"OCCUPIED",'Master Stock'!$K$2:K121,""),"")</f>
        <v/>
      </c>
      <c r="V121" s="149">
        <f>IF(AND('Master Stock'!D121&lt;&gt;"",'Master Stock'!H121="OCCUPIED",ISNUMBER('Master Stock'!L121),'Master Stock'!L121&lt;TODAY()-30),SUMPRODUCT(--('Master Stock'!$D$2:$D$1000&lt;&gt;""),--('Master Stock'!$H$2:$H$1000="OCCUPIED"),--ISNUMBER('Master Stock'!$L$2:$L$1000),--('Master Stock'!$L$2:$L$1000&lt;TODAY()-30),--('Master Stock'!$L$2:$L$1000&lt;'Master Stock'!L121))+COUNTIFS('Master Stock'!$L$2:L121,'Master Stock'!L121,'Master Stock'!$D$2:D121,"&lt;&gt;",'Master Stock'!$H$2:H121,"OCCUPIED"),"")</f>
        <v/>
      </c>
      <c r="W121" s="149" t="n"/>
      <c r="X121" s="149" t="n"/>
      <c r="Y121" s="149" t="n"/>
      <c r="Z121" s="149" t="n"/>
    </row>
    <row r="122" ht="15.75" customHeight="1" s="236">
      <c r="A122" s="148" t="n"/>
      <c r="B122" s="148" t="n"/>
      <c r="C122" s="124" t="n"/>
      <c r="D122" s="148" t="n"/>
      <c r="E122" s="148" t="n"/>
      <c r="F122" s="148" t="n"/>
      <c r="G122" s="124" t="n"/>
      <c r="H122" s="148" t="n"/>
      <c r="I122" s="148" t="n"/>
      <c r="J122" s="148" t="n"/>
      <c r="K122" s="148" t="n"/>
      <c r="L122" s="148" t="n"/>
      <c r="M122" s="148" t="n"/>
      <c r="N122" s="148" t="n"/>
      <c r="O122" s="148" t="n"/>
      <c r="P122" s="148" t="n"/>
      <c r="Q122" s="148" t="n"/>
      <c r="R122" s="148" t="n"/>
      <c r="S122" s="148" t="n"/>
      <c r="T122" s="148" t="n"/>
      <c r="U122" s="149">
        <f>IF(AND('Master Stock'!D122&lt;&gt;"",'Master Stock'!H122="OCCUPIED",ISNUMBER('Master Stock'!J122),'Master Stock'!K122=""),SUMPRODUCT(--('Master Stock'!$D$2:$D$1000&lt;&gt;""),--('Master Stock'!$H$2:$H$1000="OCCUPIED"),--ISNUMBER('Master Stock'!$J$2:$J$1000),--('Master Stock'!$K$2:$K$1000=""),--('Master Stock'!$J$2:$J$1000&lt;'Master Stock'!J122))+COUNTIFS('Master Stock'!$J$2:J122,'Master Stock'!J122,'Master Stock'!$D$2:D122,"&lt;&gt;",'Master Stock'!$H$2:H122,"OCCUPIED",'Master Stock'!$K$2:K122,""),"")</f>
        <v/>
      </c>
      <c r="V122" s="149">
        <f>IF(AND('Master Stock'!D122&lt;&gt;"",'Master Stock'!H122="OCCUPIED",ISNUMBER('Master Stock'!L122),'Master Stock'!L122&lt;TODAY()-30),SUMPRODUCT(--('Master Stock'!$D$2:$D$1000&lt;&gt;""),--('Master Stock'!$H$2:$H$1000="OCCUPIED"),--ISNUMBER('Master Stock'!$L$2:$L$1000),--('Master Stock'!$L$2:$L$1000&lt;TODAY()-30),--('Master Stock'!$L$2:$L$1000&lt;'Master Stock'!L122))+COUNTIFS('Master Stock'!$L$2:L122,'Master Stock'!L122,'Master Stock'!$D$2:D122,"&lt;&gt;",'Master Stock'!$H$2:H122,"OCCUPIED"),"")</f>
        <v/>
      </c>
      <c r="W122" s="149" t="n"/>
      <c r="X122" s="149" t="n"/>
      <c r="Y122" s="149" t="n"/>
      <c r="Z122" s="149" t="n"/>
    </row>
    <row r="123" ht="15.75" customHeight="1" s="236">
      <c r="A123" s="148" t="n"/>
      <c r="B123" s="148" t="n"/>
      <c r="C123" s="124" t="n"/>
      <c r="D123" s="148" t="n"/>
      <c r="E123" s="148" t="n"/>
      <c r="F123" s="148" t="n"/>
      <c r="G123" s="124" t="n"/>
      <c r="H123" s="148" t="n"/>
      <c r="I123" s="148" t="n"/>
      <c r="J123" s="148" t="n"/>
      <c r="K123" s="148" t="n"/>
      <c r="L123" s="148" t="n"/>
      <c r="M123" s="148" t="n"/>
      <c r="N123" s="148" t="n"/>
      <c r="O123" s="148" t="n"/>
      <c r="P123" s="148" t="n"/>
      <c r="Q123" s="148" t="n"/>
      <c r="R123" s="148" t="n"/>
      <c r="S123" s="148" t="n"/>
      <c r="T123" s="148" t="n"/>
      <c r="U123" s="149">
        <f>IF(AND('Master Stock'!D123&lt;&gt;"",'Master Stock'!H123="OCCUPIED",ISNUMBER('Master Stock'!J123),'Master Stock'!K123=""),SUMPRODUCT(--('Master Stock'!$D$2:$D$1000&lt;&gt;""),--('Master Stock'!$H$2:$H$1000="OCCUPIED"),--ISNUMBER('Master Stock'!$J$2:$J$1000),--('Master Stock'!$K$2:$K$1000=""),--('Master Stock'!$J$2:$J$1000&lt;'Master Stock'!J123))+COUNTIFS('Master Stock'!$J$2:J123,'Master Stock'!J123,'Master Stock'!$D$2:D123,"&lt;&gt;",'Master Stock'!$H$2:H123,"OCCUPIED",'Master Stock'!$K$2:K123,""),"")</f>
        <v/>
      </c>
      <c r="V123" s="149">
        <f>IF(AND('Master Stock'!D123&lt;&gt;"",'Master Stock'!H123="OCCUPIED",ISNUMBER('Master Stock'!L123),'Master Stock'!L123&lt;TODAY()-30),SUMPRODUCT(--('Master Stock'!$D$2:$D$1000&lt;&gt;""),--('Master Stock'!$H$2:$H$1000="OCCUPIED"),--ISNUMBER('Master Stock'!$L$2:$L$1000),--('Master Stock'!$L$2:$L$1000&lt;TODAY()-30),--('Master Stock'!$L$2:$L$1000&lt;'Master Stock'!L123))+COUNTIFS('Master Stock'!$L$2:L123,'Master Stock'!L123,'Master Stock'!$D$2:D123,"&lt;&gt;",'Master Stock'!$H$2:H123,"OCCUPIED"),"")</f>
        <v/>
      </c>
      <c r="W123" s="149" t="n"/>
      <c r="X123" s="149" t="n"/>
      <c r="Y123" s="149" t="n"/>
      <c r="Z123" s="149" t="n"/>
    </row>
    <row r="124" ht="15.75" customHeight="1" s="236">
      <c r="A124" s="148" t="n"/>
      <c r="B124" s="148" t="n"/>
      <c r="C124" s="124" t="n"/>
      <c r="D124" s="148" t="n"/>
      <c r="E124" s="148" t="n"/>
      <c r="F124" s="148" t="n"/>
      <c r="G124" s="124" t="n"/>
      <c r="H124" s="148" t="n"/>
      <c r="I124" s="148" t="n"/>
      <c r="J124" s="148" t="n"/>
      <c r="K124" s="148" t="n"/>
      <c r="L124" s="148" t="n"/>
      <c r="M124" s="148" t="n"/>
      <c r="N124" s="148" t="n"/>
      <c r="O124" s="148" t="n"/>
      <c r="P124" s="148" t="n"/>
      <c r="Q124" s="148" t="n"/>
      <c r="R124" s="148" t="n"/>
      <c r="S124" s="148" t="n"/>
      <c r="T124" s="148" t="n"/>
      <c r="U124" s="149">
        <f>IF(AND('Master Stock'!D124&lt;&gt;"",'Master Stock'!H124="OCCUPIED",ISNUMBER('Master Stock'!J124),'Master Stock'!K124=""),SUMPRODUCT(--('Master Stock'!$D$2:$D$1000&lt;&gt;""),--('Master Stock'!$H$2:$H$1000="OCCUPIED"),--ISNUMBER('Master Stock'!$J$2:$J$1000),--('Master Stock'!$K$2:$K$1000=""),--('Master Stock'!$J$2:$J$1000&lt;'Master Stock'!J124))+COUNTIFS('Master Stock'!$J$2:J124,'Master Stock'!J124,'Master Stock'!$D$2:D124,"&lt;&gt;",'Master Stock'!$H$2:H124,"OCCUPIED",'Master Stock'!$K$2:K124,""),"")</f>
        <v/>
      </c>
      <c r="V124" s="149">
        <f>IF(AND('Master Stock'!D124&lt;&gt;"",'Master Stock'!H124="OCCUPIED",ISNUMBER('Master Stock'!L124),'Master Stock'!L124&lt;TODAY()-30),SUMPRODUCT(--('Master Stock'!$D$2:$D$1000&lt;&gt;""),--('Master Stock'!$H$2:$H$1000="OCCUPIED"),--ISNUMBER('Master Stock'!$L$2:$L$1000),--('Master Stock'!$L$2:$L$1000&lt;TODAY()-30),--('Master Stock'!$L$2:$L$1000&lt;'Master Stock'!L124))+COUNTIFS('Master Stock'!$L$2:L124,'Master Stock'!L124,'Master Stock'!$D$2:D124,"&lt;&gt;",'Master Stock'!$H$2:H124,"OCCUPIED"),"")</f>
        <v/>
      </c>
      <c r="W124" s="149" t="n"/>
      <c r="X124" s="149" t="n"/>
      <c r="Y124" s="149" t="n"/>
      <c r="Z124" s="149" t="n"/>
    </row>
    <row r="125" ht="15.75" customHeight="1" s="236">
      <c r="A125" s="148" t="n"/>
      <c r="B125" s="148" t="n"/>
      <c r="C125" s="124" t="n"/>
      <c r="D125" s="148" t="n"/>
      <c r="E125" s="148" t="n"/>
      <c r="F125" s="148" t="n"/>
      <c r="G125" s="124" t="n"/>
      <c r="H125" s="148" t="n"/>
      <c r="I125" s="148" t="n"/>
      <c r="J125" s="148" t="n"/>
      <c r="K125" s="148" t="n"/>
      <c r="L125" s="148" t="n"/>
      <c r="M125" s="148" t="n"/>
      <c r="N125" s="148" t="n"/>
      <c r="O125" s="148" t="n"/>
      <c r="P125" s="148" t="n"/>
      <c r="Q125" s="148" t="n"/>
      <c r="R125" s="148" t="n"/>
      <c r="S125" s="148" t="n"/>
      <c r="T125" s="148" t="n"/>
      <c r="U125" s="149">
        <f>IF(AND('Master Stock'!D125&lt;&gt;"",'Master Stock'!H125="OCCUPIED",ISNUMBER('Master Stock'!J125),'Master Stock'!K125=""),SUMPRODUCT(--('Master Stock'!$D$2:$D$1000&lt;&gt;""),--('Master Stock'!$H$2:$H$1000="OCCUPIED"),--ISNUMBER('Master Stock'!$J$2:$J$1000),--('Master Stock'!$K$2:$K$1000=""),--('Master Stock'!$J$2:$J$1000&lt;'Master Stock'!J125))+COUNTIFS('Master Stock'!$J$2:J125,'Master Stock'!J125,'Master Stock'!$D$2:D125,"&lt;&gt;",'Master Stock'!$H$2:H125,"OCCUPIED",'Master Stock'!$K$2:K125,""),"")</f>
        <v/>
      </c>
      <c r="V125" s="149">
        <f>IF(AND('Master Stock'!D125&lt;&gt;"",'Master Stock'!H125="OCCUPIED",ISNUMBER('Master Stock'!L125),'Master Stock'!L125&lt;TODAY()-30),SUMPRODUCT(--('Master Stock'!$D$2:$D$1000&lt;&gt;""),--('Master Stock'!$H$2:$H$1000="OCCUPIED"),--ISNUMBER('Master Stock'!$L$2:$L$1000),--('Master Stock'!$L$2:$L$1000&lt;TODAY()-30),--('Master Stock'!$L$2:$L$1000&lt;'Master Stock'!L125))+COUNTIFS('Master Stock'!$L$2:L125,'Master Stock'!L125,'Master Stock'!$D$2:D125,"&lt;&gt;",'Master Stock'!$H$2:H125,"OCCUPIED"),"")</f>
        <v/>
      </c>
      <c r="W125" s="149" t="n"/>
      <c r="X125" s="149" t="n"/>
      <c r="Y125" s="149" t="n"/>
      <c r="Z125" s="149" t="n"/>
    </row>
    <row r="126" ht="15.75" customHeight="1" s="236">
      <c r="A126" s="148" t="n"/>
      <c r="B126" s="148" t="n"/>
      <c r="C126" s="124" t="n"/>
      <c r="D126" s="148" t="n"/>
      <c r="E126" s="148" t="n"/>
      <c r="F126" s="148" t="n"/>
      <c r="G126" s="124" t="n"/>
      <c r="H126" s="148" t="n"/>
      <c r="I126" s="148" t="n"/>
      <c r="J126" s="148" t="n"/>
      <c r="K126" s="148" t="n"/>
      <c r="L126" s="148" t="n"/>
      <c r="M126" s="148" t="n"/>
      <c r="N126" s="148" t="n"/>
      <c r="O126" s="148" t="n"/>
      <c r="P126" s="148" t="n"/>
      <c r="Q126" s="148" t="n"/>
      <c r="R126" s="148" t="n"/>
      <c r="S126" s="148" t="n"/>
      <c r="T126" s="148" t="n"/>
      <c r="U126" s="149">
        <f>IF(AND('Master Stock'!D126&lt;&gt;"",'Master Stock'!H126="OCCUPIED",ISNUMBER('Master Stock'!J126),'Master Stock'!K126=""),SUMPRODUCT(--('Master Stock'!$D$2:$D$1000&lt;&gt;""),--('Master Stock'!$H$2:$H$1000="OCCUPIED"),--ISNUMBER('Master Stock'!$J$2:$J$1000),--('Master Stock'!$K$2:$K$1000=""),--('Master Stock'!$J$2:$J$1000&lt;'Master Stock'!J126))+COUNTIFS('Master Stock'!$J$2:J126,'Master Stock'!J126,'Master Stock'!$D$2:D126,"&lt;&gt;",'Master Stock'!$H$2:H126,"OCCUPIED",'Master Stock'!$K$2:K126,""),"")</f>
        <v/>
      </c>
      <c r="V126" s="149">
        <f>IF(AND('Master Stock'!D126&lt;&gt;"",'Master Stock'!H126="OCCUPIED",ISNUMBER('Master Stock'!L126),'Master Stock'!L126&lt;TODAY()-30),SUMPRODUCT(--('Master Stock'!$D$2:$D$1000&lt;&gt;""),--('Master Stock'!$H$2:$H$1000="OCCUPIED"),--ISNUMBER('Master Stock'!$L$2:$L$1000),--('Master Stock'!$L$2:$L$1000&lt;TODAY()-30),--('Master Stock'!$L$2:$L$1000&lt;'Master Stock'!L126))+COUNTIFS('Master Stock'!$L$2:L126,'Master Stock'!L126,'Master Stock'!$D$2:D126,"&lt;&gt;",'Master Stock'!$H$2:H126,"OCCUPIED"),"")</f>
        <v/>
      </c>
      <c r="W126" s="149" t="n"/>
      <c r="X126" s="149" t="n"/>
      <c r="Y126" s="149" t="n"/>
      <c r="Z126" s="149" t="n"/>
    </row>
    <row r="127" ht="15.75" customHeight="1" s="236">
      <c r="A127" s="148" t="n"/>
      <c r="B127" s="148" t="n"/>
      <c r="C127" s="124" t="n"/>
      <c r="D127" s="148" t="n"/>
      <c r="E127" s="148" t="n"/>
      <c r="F127" s="148" t="n"/>
      <c r="G127" s="124" t="n"/>
      <c r="H127" s="148" t="n"/>
      <c r="I127" s="148" t="n"/>
      <c r="J127" s="148" t="n"/>
      <c r="K127" s="148" t="n"/>
      <c r="L127" s="148" t="n"/>
      <c r="M127" s="148" t="n"/>
      <c r="N127" s="148" t="n"/>
      <c r="O127" s="148" t="n"/>
      <c r="P127" s="148" t="n"/>
      <c r="Q127" s="148" t="n"/>
      <c r="R127" s="148" t="n"/>
      <c r="S127" s="148" t="n"/>
      <c r="T127" s="148" t="n"/>
      <c r="U127" s="149">
        <f>IF(AND('Master Stock'!D127&lt;&gt;"",'Master Stock'!H127="OCCUPIED",ISNUMBER('Master Stock'!J127),'Master Stock'!K127=""),SUMPRODUCT(--('Master Stock'!$D$2:$D$1000&lt;&gt;""),--('Master Stock'!$H$2:$H$1000="OCCUPIED"),--ISNUMBER('Master Stock'!$J$2:$J$1000),--('Master Stock'!$K$2:$K$1000=""),--('Master Stock'!$J$2:$J$1000&lt;'Master Stock'!J127))+COUNTIFS('Master Stock'!$J$2:J127,'Master Stock'!J127,'Master Stock'!$D$2:D127,"&lt;&gt;",'Master Stock'!$H$2:H127,"OCCUPIED",'Master Stock'!$K$2:K127,""),"")</f>
        <v/>
      </c>
      <c r="V127" s="149">
        <f>IF(AND('Master Stock'!D127&lt;&gt;"",'Master Stock'!H127="OCCUPIED",ISNUMBER('Master Stock'!L127),'Master Stock'!L127&lt;TODAY()-30),SUMPRODUCT(--('Master Stock'!$D$2:$D$1000&lt;&gt;""),--('Master Stock'!$H$2:$H$1000="OCCUPIED"),--ISNUMBER('Master Stock'!$L$2:$L$1000),--('Master Stock'!$L$2:$L$1000&lt;TODAY()-30),--('Master Stock'!$L$2:$L$1000&lt;'Master Stock'!L127))+COUNTIFS('Master Stock'!$L$2:L127,'Master Stock'!L127,'Master Stock'!$D$2:D127,"&lt;&gt;",'Master Stock'!$H$2:H127,"OCCUPIED"),"")</f>
        <v/>
      </c>
      <c r="W127" s="149" t="n"/>
      <c r="X127" s="149" t="n"/>
      <c r="Y127" s="149" t="n"/>
      <c r="Z127" s="149" t="n"/>
    </row>
    <row r="128" ht="15.75" customHeight="1" s="236">
      <c r="A128" s="148" t="n"/>
      <c r="B128" s="148" t="n"/>
      <c r="C128" s="124" t="n"/>
      <c r="D128" s="148" t="n"/>
      <c r="E128" s="148" t="n"/>
      <c r="F128" s="148" t="n"/>
      <c r="G128" s="124" t="n"/>
      <c r="H128" s="148" t="n"/>
      <c r="I128" s="148" t="n"/>
      <c r="J128" s="148" t="n"/>
      <c r="K128" s="148" t="n"/>
      <c r="L128" s="148" t="n"/>
      <c r="M128" s="148" t="n"/>
      <c r="N128" s="148" t="n"/>
      <c r="O128" s="148" t="n"/>
      <c r="P128" s="148" t="n"/>
      <c r="Q128" s="148" t="n"/>
      <c r="R128" s="148" t="n"/>
      <c r="S128" s="148" t="n"/>
      <c r="T128" s="148" t="n"/>
      <c r="U128" s="149">
        <f>IF(AND('Master Stock'!D128&lt;&gt;"",'Master Stock'!H128="OCCUPIED",ISNUMBER('Master Stock'!J128),'Master Stock'!K128=""),SUMPRODUCT(--('Master Stock'!$D$2:$D$1000&lt;&gt;""),--('Master Stock'!$H$2:$H$1000="OCCUPIED"),--ISNUMBER('Master Stock'!$J$2:$J$1000),--('Master Stock'!$K$2:$K$1000=""),--('Master Stock'!$J$2:$J$1000&lt;'Master Stock'!J128))+COUNTIFS('Master Stock'!$J$2:J128,'Master Stock'!J128,'Master Stock'!$D$2:D128,"&lt;&gt;",'Master Stock'!$H$2:H128,"OCCUPIED",'Master Stock'!$K$2:K128,""),"")</f>
        <v/>
      </c>
      <c r="V128" s="149">
        <f>IF(AND('Master Stock'!D128&lt;&gt;"",'Master Stock'!H128="OCCUPIED",ISNUMBER('Master Stock'!L128),'Master Stock'!L128&lt;TODAY()-30),SUMPRODUCT(--('Master Stock'!$D$2:$D$1000&lt;&gt;""),--('Master Stock'!$H$2:$H$1000="OCCUPIED"),--ISNUMBER('Master Stock'!$L$2:$L$1000),--('Master Stock'!$L$2:$L$1000&lt;TODAY()-30),--('Master Stock'!$L$2:$L$1000&lt;'Master Stock'!L128))+COUNTIFS('Master Stock'!$L$2:L128,'Master Stock'!L128,'Master Stock'!$D$2:D128,"&lt;&gt;",'Master Stock'!$H$2:H128,"OCCUPIED"),"")</f>
        <v/>
      </c>
      <c r="W128" s="149" t="n"/>
      <c r="X128" s="149" t="n"/>
      <c r="Y128" s="149" t="n"/>
      <c r="Z128" s="149" t="n"/>
    </row>
    <row r="129" ht="15.75" customHeight="1" s="236">
      <c r="A129" s="148" t="n"/>
      <c r="B129" s="148" t="n"/>
      <c r="C129" s="124" t="n"/>
      <c r="D129" s="148" t="n"/>
      <c r="E129" s="148" t="n"/>
      <c r="F129" s="148" t="n"/>
      <c r="G129" s="124" t="n"/>
      <c r="H129" s="148" t="n"/>
      <c r="I129" s="148" t="n"/>
      <c r="J129" s="148" t="n"/>
      <c r="K129" s="148" t="n"/>
      <c r="L129" s="148" t="n"/>
      <c r="M129" s="148" t="n"/>
      <c r="N129" s="148" t="n"/>
      <c r="O129" s="148" t="n"/>
      <c r="P129" s="148" t="n"/>
      <c r="Q129" s="148" t="n"/>
      <c r="R129" s="148" t="n"/>
      <c r="S129" s="148" t="n"/>
      <c r="T129" s="148" t="n"/>
      <c r="U129" s="149">
        <f>IF(AND('Master Stock'!D129&lt;&gt;"",'Master Stock'!H129="OCCUPIED",ISNUMBER('Master Stock'!J129),'Master Stock'!K129=""),SUMPRODUCT(--('Master Stock'!$D$2:$D$1000&lt;&gt;""),--('Master Stock'!$H$2:$H$1000="OCCUPIED"),--ISNUMBER('Master Stock'!$J$2:$J$1000),--('Master Stock'!$K$2:$K$1000=""),--('Master Stock'!$J$2:$J$1000&lt;'Master Stock'!J129))+COUNTIFS('Master Stock'!$J$2:J129,'Master Stock'!J129,'Master Stock'!$D$2:D129,"&lt;&gt;",'Master Stock'!$H$2:H129,"OCCUPIED",'Master Stock'!$K$2:K129,""),"")</f>
        <v/>
      </c>
      <c r="V129" s="149">
        <f>IF(AND('Master Stock'!D129&lt;&gt;"",'Master Stock'!H129="OCCUPIED",ISNUMBER('Master Stock'!L129),'Master Stock'!L129&lt;TODAY()-30),SUMPRODUCT(--('Master Stock'!$D$2:$D$1000&lt;&gt;""),--('Master Stock'!$H$2:$H$1000="OCCUPIED"),--ISNUMBER('Master Stock'!$L$2:$L$1000),--('Master Stock'!$L$2:$L$1000&lt;TODAY()-30),--('Master Stock'!$L$2:$L$1000&lt;'Master Stock'!L129))+COUNTIFS('Master Stock'!$L$2:L129,'Master Stock'!L129,'Master Stock'!$D$2:D129,"&lt;&gt;",'Master Stock'!$H$2:H129,"OCCUPIED"),"")</f>
        <v/>
      </c>
      <c r="W129" s="149" t="n"/>
      <c r="X129" s="149" t="n"/>
      <c r="Y129" s="149" t="n"/>
      <c r="Z129" s="149" t="n"/>
    </row>
    <row r="130" ht="15.75" customHeight="1" s="236">
      <c r="A130" s="148" t="n"/>
      <c r="B130" s="148" t="n"/>
      <c r="C130" s="124" t="n"/>
      <c r="D130" s="148" t="n"/>
      <c r="E130" s="148" t="n"/>
      <c r="F130" s="148" t="n"/>
      <c r="G130" s="124" t="n"/>
      <c r="H130" s="148" t="n"/>
      <c r="I130" s="148" t="n"/>
      <c r="J130" s="148" t="n"/>
      <c r="K130" s="148" t="n"/>
      <c r="L130" s="148" t="n"/>
      <c r="M130" s="148" t="n"/>
      <c r="N130" s="148" t="n"/>
      <c r="O130" s="148" t="n"/>
      <c r="P130" s="148" t="n"/>
      <c r="Q130" s="148" t="n"/>
      <c r="R130" s="148" t="n"/>
      <c r="S130" s="148" t="n"/>
      <c r="T130" s="148" t="n"/>
      <c r="U130" s="149">
        <f>IF(AND('Master Stock'!D130&lt;&gt;"",'Master Stock'!H130="OCCUPIED",ISNUMBER('Master Stock'!J130),'Master Stock'!K130=""),SUMPRODUCT(--('Master Stock'!$D$2:$D$1000&lt;&gt;""),--('Master Stock'!$H$2:$H$1000="OCCUPIED"),--ISNUMBER('Master Stock'!$J$2:$J$1000),--('Master Stock'!$K$2:$K$1000=""),--('Master Stock'!$J$2:$J$1000&lt;'Master Stock'!J130))+COUNTIFS('Master Stock'!$J$2:J130,'Master Stock'!J130,'Master Stock'!$D$2:D130,"&lt;&gt;",'Master Stock'!$H$2:H130,"OCCUPIED",'Master Stock'!$K$2:K130,""),"")</f>
        <v/>
      </c>
      <c r="V130" s="149">
        <f>IF(AND('Master Stock'!D130&lt;&gt;"",'Master Stock'!H130="OCCUPIED",ISNUMBER('Master Stock'!L130),'Master Stock'!L130&lt;TODAY()-30),SUMPRODUCT(--('Master Stock'!$D$2:$D$1000&lt;&gt;""),--('Master Stock'!$H$2:$H$1000="OCCUPIED"),--ISNUMBER('Master Stock'!$L$2:$L$1000),--('Master Stock'!$L$2:$L$1000&lt;TODAY()-30),--('Master Stock'!$L$2:$L$1000&lt;'Master Stock'!L130))+COUNTIFS('Master Stock'!$L$2:L130,'Master Stock'!L130,'Master Stock'!$D$2:D130,"&lt;&gt;",'Master Stock'!$H$2:H130,"OCCUPIED"),"")</f>
        <v/>
      </c>
      <c r="W130" s="149" t="n"/>
      <c r="X130" s="149" t="n"/>
      <c r="Y130" s="149" t="n"/>
      <c r="Z130" s="149" t="n"/>
    </row>
    <row r="131" ht="15.75" customHeight="1" s="236">
      <c r="A131" s="148" t="n"/>
      <c r="B131" s="148" t="n"/>
      <c r="C131" s="124" t="n"/>
      <c r="D131" s="148" t="n"/>
      <c r="E131" s="148" t="n"/>
      <c r="F131" s="148" t="n"/>
      <c r="G131" s="124" t="n"/>
      <c r="H131" s="148" t="n"/>
      <c r="I131" s="148" t="n"/>
      <c r="J131" s="148" t="n"/>
      <c r="K131" s="148" t="n"/>
      <c r="L131" s="148" t="n"/>
      <c r="M131" s="148" t="n"/>
      <c r="N131" s="148" t="n"/>
      <c r="O131" s="148" t="n"/>
      <c r="P131" s="148" t="n"/>
      <c r="Q131" s="148" t="n"/>
      <c r="R131" s="148" t="n"/>
      <c r="S131" s="148" t="n"/>
      <c r="T131" s="148" t="n"/>
      <c r="U131" s="149">
        <f>IF(AND('Master Stock'!D131&lt;&gt;"",'Master Stock'!H131="OCCUPIED",ISNUMBER('Master Stock'!J131),'Master Stock'!K131=""),SUMPRODUCT(--('Master Stock'!$D$2:$D$1000&lt;&gt;""),--('Master Stock'!$H$2:$H$1000="OCCUPIED"),--ISNUMBER('Master Stock'!$J$2:$J$1000),--('Master Stock'!$K$2:$K$1000=""),--('Master Stock'!$J$2:$J$1000&lt;'Master Stock'!J131))+COUNTIFS('Master Stock'!$J$2:J131,'Master Stock'!J131,'Master Stock'!$D$2:D131,"&lt;&gt;",'Master Stock'!$H$2:H131,"OCCUPIED",'Master Stock'!$K$2:K131,""),"")</f>
        <v/>
      </c>
      <c r="V131" s="149">
        <f>IF(AND('Master Stock'!D131&lt;&gt;"",'Master Stock'!H131="OCCUPIED",ISNUMBER('Master Stock'!L131),'Master Stock'!L131&lt;TODAY()-30),SUMPRODUCT(--('Master Stock'!$D$2:$D$1000&lt;&gt;""),--('Master Stock'!$H$2:$H$1000="OCCUPIED"),--ISNUMBER('Master Stock'!$L$2:$L$1000),--('Master Stock'!$L$2:$L$1000&lt;TODAY()-30),--('Master Stock'!$L$2:$L$1000&lt;'Master Stock'!L131))+COUNTIFS('Master Stock'!$L$2:L131,'Master Stock'!L131,'Master Stock'!$D$2:D131,"&lt;&gt;",'Master Stock'!$H$2:H131,"OCCUPIED"),"")</f>
        <v/>
      </c>
      <c r="W131" s="149" t="n"/>
      <c r="X131" s="149" t="n"/>
      <c r="Y131" s="149" t="n"/>
      <c r="Z131" s="149" t="n"/>
    </row>
    <row r="132" ht="15.75" customHeight="1" s="236">
      <c r="A132" s="148" t="n"/>
      <c r="B132" s="148" t="n"/>
      <c r="C132" s="124" t="n"/>
      <c r="D132" s="148" t="n"/>
      <c r="E132" s="148" t="n"/>
      <c r="F132" s="148" t="n"/>
      <c r="G132" s="124" t="n"/>
      <c r="H132" s="148" t="n"/>
      <c r="I132" s="148" t="n"/>
      <c r="J132" s="148" t="n"/>
      <c r="K132" s="148" t="n"/>
      <c r="L132" s="148" t="n"/>
      <c r="M132" s="148" t="n"/>
      <c r="N132" s="148" t="n"/>
      <c r="O132" s="148" t="n"/>
      <c r="P132" s="148" t="n"/>
      <c r="Q132" s="148" t="n"/>
      <c r="R132" s="148" t="n"/>
      <c r="S132" s="148" t="n"/>
      <c r="T132" s="148" t="n"/>
      <c r="U132" s="149">
        <f>IF(AND('Master Stock'!D132&lt;&gt;"",'Master Stock'!H132="OCCUPIED",ISNUMBER('Master Stock'!J132),'Master Stock'!K132=""),SUMPRODUCT(--('Master Stock'!$D$2:$D$1000&lt;&gt;""),--('Master Stock'!$H$2:$H$1000="OCCUPIED"),--ISNUMBER('Master Stock'!$J$2:$J$1000),--('Master Stock'!$K$2:$K$1000=""),--('Master Stock'!$J$2:$J$1000&lt;'Master Stock'!J132))+COUNTIFS('Master Stock'!$J$2:J132,'Master Stock'!J132,'Master Stock'!$D$2:D132,"&lt;&gt;",'Master Stock'!$H$2:H132,"OCCUPIED",'Master Stock'!$K$2:K132,""),"")</f>
        <v/>
      </c>
      <c r="V132" s="149">
        <f>IF(AND('Master Stock'!D132&lt;&gt;"",'Master Stock'!H132="OCCUPIED",ISNUMBER('Master Stock'!L132),'Master Stock'!L132&lt;TODAY()-30),SUMPRODUCT(--('Master Stock'!$D$2:$D$1000&lt;&gt;""),--('Master Stock'!$H$2:$H$1000="OCCUPIED"),--ISNUMBER('Master Stock'!$L$2:$L$1000),--('Master Stock'!$L$2:$L$1000&lt;TODAY()-30),--('Master Stock'!$L$2:$L$1000&lt;'Master Stock'!L132))+COUNTIFS('Master Stock'!$L$2:L132,'Master Stock'!L132,'Master Stock'!$D$2:D132,"&lt;&gt;",'Master Stock'!$H$2:H132,"OCCUPIED"),"")</f>
        <v/>
      </c>
      <c r="W132" s="149" t="n"/>
      <c r="X132" s="149" t="n"/>
      <c r="Y132" s="149" t="n"/>
      <c r="Z132" s="149" t="n"/>
    </row>
    <row r="133" ht="15.75" customHeight="1" s="236">
      <c r="A133" s="148" t="n"/>
      <c r="B133" s="148" t="n"/>
      <c r="C133" s="124" t="n"/>
      <c r="D133" s="148" t="n"/>
      <c r="E133" s="148" t="n"/>
      <c r="F133" s="148" t="n"/>
      <c r="G133" s="124" t="n"/>
      <c r="H133" s="148" t="n"/>
      <c r="I133" s="148" t="n"/>
      <c r="J133" s="148" t="n"/>
      <c r="K133" s="148" t="n"/>
      <c r="L133" s="148" t="n"/>
      <c r="M133" s="148" t="n"/>
      <c r="N133" s="148" t="n"/>
      <c r="O133" s="148" t="n"/>
      <c r="P133" s="148" t="n"/>
      <c r="Q133" s="148" t="n"/>
      <c r="R133" s="148" t="n"/>
      <c r="S133" s="148" t="n"/>
      <c r="T133" s="148" t="n"/>
      <c r="U133" s="149">
        <f>IF(AND('Master Stock'!D133&lt;&gt;"",'Master Stock'!H133="OCCUPIED",ISNUMBER('Master Stock'!J133),'Master Stock'!K133=""),SUMPRODUCT(--('Master Stock'!$D$2:$D$1000&lt;&gt;""),--('Master Stock'!$H$2:$H$1000="OCCUPIED"),--ISNUMBER('Master Stock'!$J$2:$J$1000),--('Master Stock'!$K$2:$K$1000=""),--('Master Stock'!$J$2:$J$1000&lt;'Master Stock'!J133))+COUNTIFS('Master Stock'!$J$2:J133,'Master Stock'!J133,'Master Stock'!$D$2:D133,"&lt;&gt;",'Master Stock'!$H$2:H133,"OCCUPIED",'Master Stock'!$K$2:K133,""),"")</f>
        <v/>
      </c>
      <c r="V133" s="149">
        <f>IF(AND('Master Stock'!D133&lt;&gt;"",'Master Stock'!H133="OCCUPIED",ISNUMBER('Master Stock'!L133),'Master Stock'!L133&lt;TODAY()-30),SUMPRODUCT(--('Master Stock'!$D$2:$D$1000&lt;&gt;""),--('Master Stock'!$H$2:$H$1000="OCCUPIED"),--ISNUMBER('Master Stock'!$L$2:$L$1000),--('Master Stock'!$L$2:$L$1000&lt;TODAY()-30),--('Master Stock'!$L$2:$L$1000&lt;'Master Stock'!L133))+COUNTIFS('Master Stock'!$L$2:L133,'Master Stock'!L133,'Master Stock'!$D$2:D133,"&lt;&gt;",'Master Stock'!$H$2:H133,"OCCUPIED"),"")</f>
        <v/>
      </c>
      <c r="W133" s="149" t="n"/>
      <c r="X133" s="149" t="n"/>
      <c r="Y133" s="149" t="n"/>
      <c r="Z133" s="149" t="n"/>
    </row>
    <row r="134" ht="15.75" customHeight="1" s="236">
      <c r="A134" s="148" t="n"/>
      <c r="B134" s="148" t="n"/>
      <c r="C134" s="124" t="n"/>
      <c r="D134" s="148" t="n"/>
      <c r="E134" s="148" t="n"/>
      <c r="F134" s="148" t="n"/>
      <c r="G134" s="124" t="n"/>
      <c r="H134" s="148" t="n"/>
      <c r="I134" s="148" t="n"/>
      <c r="J134" s="148" t="n"/>
      <c r="K134" s="148" t="n"/>
      <c r="L134" s="148" t="n"/>
      <c r="M134" s="148" t="n"/>
      <c r="N134" s="148" t="n"/>
      <c r="O134" s="148" t="n"/>
      <c r="P134" s="148" t="n"/>
      <c r="Q134" s="148" t="n"/>
      <c r="R134" s="148" t="n"/>
      <c r="S134" s="148" t="n"/>
      <c r="T134" s="148" t="n"/>
      <c r="U134" s="149">
        <f>IF(AND('Master Stock'!D134&lt;&gt;"",'Master Stock'!H134="OCCUPIED",ISNUMBER('Master Stock'!J134),'Master Stock'!K134=""),SUMPRODUCT(--('Master Stock'!$D$2:$D$1000&lt;&gt;""),--('Master Stock'!$H$2:$H$1000="OCCUPIED"),--ISNUMBER('Master Stock'!$J$2:$J$1000),--('Master Stock'!$K$2:$K$1000=""),--('Master Stock'!$J$2:$J$1000&lt;'Master Stock'!J134))+COUNTIFS('Master Stock'!$J$2:J134,'Master Stock'!J134,'Master Stock'!$D$2:D134,"&lt;&gt;",'Master Stock'!$H$2:H134,"OCCUPIED",'Master Stock'!$K$2:K134,""),"")</f>
        <v/>
      </c>
      <c r="V134" s="149">
        <f>IF(AND('Master Stock'!D134&lt;&gt;"",'Master Stock'!H134="OCCUPIED",ISNUMBER('Master Stock'!L134),'Master Stock'!L134&lt;TODAY()-30),SUMPRODUCT(--('Master Stock'!$D$2:$D$1000&lt;&gt;""),--('Master Stock'!$H$2:$H$1000="OCCUPIED"),--ISNUMBER('Master Stock'!$L$2:$L$1000),--('Master Stock'!$L$2:$L$1000&lt;TODAY()-30),--('Master Stock'!$L$2:$L$1000&lt;'Master Stock'!L134))+COUNTIFS('Master Stock'!$L$2:L134,'Master Stock'!L134,'Master Stock'!$D$2:D134,"&lt;&gt;",'Master Stock'!$H$2:H134,"OCCUPIED"),"")</f>
        <v/>
      </c>
      <c r="W134" s="149" t="n"/>
      <c r="X134" s="149" t="n"/>
      <c r="Y134" s="149" t="n"/>
      <c r="Z134" s="149" t="n"/>
    </row>
    <row r="135" ht="15.75" customHeight="1" s="236">
      <c r="A135" s="148" t="n"/>
      <c r="B135" s="148" t="n"/>
      <c r="C135" s="124" t="n"/>
      <c r="D135" s="148" t="n"/>
      <c r="E135" s="148" t="n"/>
      <c r="F135" s="148" t="n"/>
      <c r="G135" s="124" t="n"/>
      <c r="H135" s="148" t="n"/>
      <c r="I135" s="148" t="n"/>
      <c r="J135" s="148" t="n"/>
      <c r="K135" s="148" t="n"/>
      <c r="L135" s="148" t="n"/>
      <c r="M135" s="148" t="n"/>
      <c r="N135" s="148" t="n"/>
      <c r="O135" s="148" t="n"/>
      <c r="P135" s="148" t="n"/>
      <c r="Q135" s="148" t="n"/>
      <c r="R135" s="148" t="n"/>
      <c r="S135" s="148" t="n"/>
      <c r="T135" s="148" t="n"/>
      <c r="U135" s="149">
        <f>IF(AND('Master Stock'!D135&lt;&gt;"",'Master Stock'!H135="OCCUPIED",ISNUMBER('Master Stock'!J135),'Master Stock'!K135=""),SUMPRODUCT(--('Master Stock'!$D$2:$D$1000&lt;&gt;""),--('Master Stock'!$H$2:$H$1000="OCCUPIED"),--ISNUMBER('Master Stock'!$J$2:$J$1000),--('Master Stock'!$K$2:$K$1000=""),--('Master Stock'!$J$2:$J$1000&lt;'Master Stock'!J135))+COUNTIFS('Master Stock'!$J$2:J135,'Master Stock'!J135,'Master Stock'!$D$2:D135,"&lt;&gt;",'Master Stock'!$H$2:H135,"OCCUPIED",'Master Stock'!$K$2:K135,""),"")</f>
        <v/>
      </c>
      <c r="V135" s="149">
        <f>IF(AND('Master Stock'!D135&lt;&gt;"",'Master Stock'!H135="OCCUPIED",ISNUMBER('Master Stock'!L135),'Master Stock'!L135&lt;TODAY()-30),SUMPRODUCT(--('Master Stock'!$D$2:$D$1000&lt;&gt;""),--('Master Stock'!$H$2:$H$1000="OCCUPIED"),--ISNUMBER('Master Stock'!$L$2:$L$1000),--('Master Stock'!$L$2:$L$1000&lt;TODAY()-30),--('Master Stock'!$L$2:$L$1000&lt;'Master Stock'!L135))+COUNTIFS('Master Stock'!$L$2:L135,'Master Stock'!L135,'Master Stock'!$D$2:D135,"&lt;&gt;",'Master Stock'!$H$2:H135,"OCCUPIED"),"")</f>
        <v/>
      </c>
      <c r="W135" s="149" t="n"/>
      <c r="X135" s="149" t="n"/>
      <c r="Y135" s="149" t="n"/>
      <c r="Z135" s="149" t="n"/>
    </row>
    <row r="136" ht="15.75" customHeight="1" s="236">
      <c r="A136" s="148" t="n"/>
      <c r="B136" s="148" t="n"/>
      <c r="C136" s="124" t="n"/>
      <c r="D136" s="148" t="n"/>
      <c r="E136" s="148" t="n"/>
      <c r="F136" s="148" t="n"/>
      <c r="G136" s="124" t="n"/>
      <c r="H136" s="148" t="n"/>
      <c r="I136" s="148" t="n"/>
      <c r="J136" s="148" t="n"/>
      <c r="K136" s="148" t="n"/>
      <c r="L136" s="148" t="n"/>
      <c r="M136" s="148" t="n"/>
      <c r="N136" s="148" t="n"/>
      <c r="O136" s="148" t="n"/>
      <c r="P136" s="148" t="n"/>
      <c r="Q136" s="148" t="n"/>
      <c r="R136" s="148" t="n"/>
      <c r="S136" s="148" t="n"/>
      <c r="T136" s="148" t="n"/>
      <c r="U136" s="149">
        <f>IF(AND('Master Stock'!D136&lt;&gt;"",'Master Stock'!H136="OCCUPIED",ISNUMBER('Master Stock'!J136),'Master Stock'!K136=""),SUMPRODUCT(--('Master Stock'!$D$2:$D$1000&lt;&gt;""),--('Master Stock'!$H$2:$H$1000="OCCUPIED"),--ISNUMBER('Master Stock'!$J$2:$J$1000),--('Master Stock'!$K$2:$K$1000=""),--('Master Stock'!$J$2:$J$1000&lt;'Master Stock'!J136))+COUNTIFS('Master Stock'!$J$2:J136,'Master Stock'!J136,'Master Stock'!$D$2:D136,"&lt;&gt;",'Master Stock'!$H$2:H136,"OCCUPIED",'Master Stock'!$K$2:K136,""),"")</f>
        <v/>
      </c>
      <c r="V136" s="149">
        <f>IF(AND('Master Stock'!D136&lt;&gt;"",'Master Stock'!H136="OCCUPIED",ISNUMBER('Master Stock'!L136),'Master Stock'!L136&lt;TODAY()-30),SUMPRODUCT(--('Master Stock'!$D$2:$D$1000&lt;&gt;""),--('Master Stock'!$H$2:$H$1000="OCCUPIED"),--ISNUMBER('Master Stock'!$L$2:$L$1000),--('Master Stock'!$L$2:$L$1000&lt;TODAY()-30),--('Master Stock'!$L$2:$L$1000&lt;'Master Stock'!L136))+COUNTIFS('Master Stock'!$L$2:L136,'Master Stock'!L136,'Master Stock'!$D$2:D136,"&lt;&gt;",'Master Stock'!$H$2:H136,"OCCUPIED"),"")</f>
        <v/>
      </c>
      <c r="W136" s="149" t="n"/>
      <c r="X136" s="149" t="n"/>
      <c r="Y136" s="149" t="n"/>
      <c r="Z136" s="149" t="n"/>
    </row>
    <row r="137" ht="15.75" customHeight="1" s="236">
      <c r="A137" s="148" t="n"/>
      <c r="B137" s="148" t="n"/>
      <c r="C137" s="124" t="n"/>
      <c r="D137" s="148" t="n"/>
      <c r="E137" s="148" t="n"/>
      <c r="F137" s="148" t="n"/>
      <c r="G137" s="124" t="n"/>
      <c r="H137" s="148" t="n"/>
      <c r="I137" s="148" t="n"/>
      <c r="J137" s="148" t="n"/>
      <c r="K137" s="148" t="n"/>
      <c r="L137" s="148" t="n"/>
      <c r="M137" s="148" t="n"/>
      <c r="N137" s="148" t="n"/>
      <c r="O137" s="148" t="n"/>
      <c r="P137" s="148" t="n"/>
      <c r="Q137" s="148" t="n"/>
      <c r="R137" s="148" t="n"/>
      <c r="S137" s="148" t="n"/>
      <c r="T137" s="148" t="n"/>
      <c r="U137" s="149">
        <f>IF(AND('Master Stock'!D137&lt;&gt;"",'Master Stock'!H137="OCCUPIED",ISNUMBER('Master Stock'!J137),'Master Stock'!K137=""),SUMPRODUCT(--('Master Stock'!$D$2:$D$1000&lt;&gt;""),--('Master Stock'!$H$2:$H$1000="OCCUPIED"),--ISNUMBER('Master Stock'!$J$2:$J$1000),--('Master Stock'!$K$2:$K$1000=""),--('Master Stock'!$J$2:$J$1000&lt;'Master Stock'!J137))+COUNTIFS('Master Stock'!$J$2:J137,'Master Stock'!J137,'Master Stock'!$D$2:D137,"&lt;&gt;",'Master Stock'!$H$2:H137,"OCCUPIED",'Master Stock'!$K$2:K137,""),"")</f>
        <v/>
      </c>
      <c r="V137" s="149">
        <f>IF(AND('Master Stock'!D137&lt;&gt;"",'Master Stock'!H137="OCCUPIED",ISNUMBER('Master Stock'!L137),'Master Stock'!L137&lt;TODAY()-30),SUMPRODUCT(--('Master Stock'!$D$2:$D$1000&lt;&gt;""),--('Master Stock'!$H$2:$H$1000="OCCUPIED"),--ISNUMBER('Master Stock'!$L$2:$L$1000),--('Master Stock'!$L$2:$L$1000&lt;TODAY()-30),--('Master Stock'!$L$2:$L$1000&lt;'Master Stock'!L137))+COUNTIFS('Master Stock'!$L$2:L137,'Master Stock'!L137,'Master Stock'!$D$2:D137,"&lt;&gt;",'Master Stock'!$H$2:H137,"OCCUPIED"),"")</f>
        <v/>
      </c>
      <c r="W137" s="149" t="n"/>
      <c r="X137" s="149" t="n"/>
      <c r="Y137" s="149" t="n"/>
      <c r="Z137" s="149" t="n"/>
    </row>
    <row r="138" ht="15.75" customHeight="1" s="236">
      <c r="A138" s="148" t="n"/>
      <c r="B138" s="148" t="n"/>
      <c r="C138" s="124" t="n"/>
      <c r="D138" s="148" t="n"/>
      <c r="E138" s="148" t="n"/>
      <c r="F138" s="148" t="n"/>
      <c r="G138" s="124" t="n"/>
      <c r="H138" s="148" t="n"/>
      <c r="I138" s="148" t="n"/>
      <c r="J138" s="148" t="n"/>
      <c r="K138" s="148" t="n"/>
      <c r="L138" s="148" t="n"/>
      <c r="M138" s="148" t="n"/>
      <c r="N138" s="148" t="n"/>
      <c r="O138" s="148" t="n"/>
      <c r="P138" s="148" t="n"/>
      <c r="Q138" s="148" t="n"/>
      <c r="R138" s="148" t="n"/>
      <c r="S138" s="148" t="n"/>
      <c r="T138" s="148" t="n"/>
      <c r="U138" s="149">
        <f>IF(AND('Master Stock'!D138&lt;&gt;"",'Master Stock'!H138="OCCUPIED",ISNUMBER('Master Stock'!J138),'Master Stock'!K138=""),SUMPRODUCT(--('Master Stock'!$D$2:$D$1000&lt;&gt;""),--('Master Stock'!$H$2:$H$1000="OCCUPIED"),--ISNUMBER('Master Stock'!$J$2:$J$1000),--('Master Stock'!$K$2:$K$1000=""),--('Master Stock'!$J$2:$J$1000&lt;'Master Stock'!J138))+COUNTIFS('Master Stock'!$J$2:J138,'Master Stock'!J138,'Master Stock'!$D$2:D138,"&lt;&gt;",'Master Stock'!$H$2:H138,"OCCUPIED",'Master Stock'!$K$2:K138,""),"")</f>
        <v/>
      </c>
      <c r="V138" s="149">
        <f>IF(AND('Master Stock'!D138&lt;&gt;"",'Master Stock'!H138="OCCUPIED",ISNUMBER('Master Stock'!L138),'Master Stock'!L138&lt;TODAY()-30),SUMPRODUCT(--('Master Stock'!$D$2:$D$1000&lt;&gt;""),--('Master Stock'!$H$2:$H$1000="OCCUPIED"),--ISNUMBER('Master Stock'!$L$2:$L$1000),--('Master Stock'!$L$2:$L$1000&lt;TODAY()-30),--('Master Stock'!$L$2:$L$1000&lt;'Master Stock'!L138))+COUNTIFS('Master Stock'!$L$2:L138,'Master Stock'!L138,'Master Stock'!$D$2:D138,"&lt;&gt;",'Master Stock'!$H$2:H138,"OCCUPIED"),"")</f>
        <v/>
      </c>
      <c r="W138" s="149" t="n"/>
      <c r="X138" s="149" t="n"/>
      <c r="Y138" s="149" t="n"/>
      <c r="Z138" s="149" t="n"/>
    </row>
    <row r="139" ht="15.75" customHeight="1" s="236">
      <c r="A139" s="148" t="n"/>
      <c r="B139" s="148" t="n"/>
      <c r="C139" s="124" t="n"/>
      <c r="D139" s="148" t="n"/>
      <c r="E139" s="148" t="n"/>
      <c r="F139" s="148" t="n"/>
      <c r="G139" s="124" t="n"/>
      <c r="H139" s="148" t="n"/>
      <c r="I139" s="148" t="n"/>
      <c r="J139" s="148" t="n"/>
      <c r="K139" s="148" t="n"/>
      <c r="L139" s="148" t="n"/>
      <c r="M139" s="148" t="n"/>
      <c r="N139" s="148" t="n"/>
      <c r="O139" s="148" t="n"/>
      <c r="P139" s="148" t="n"/>
      <c r="Q139" s="148" t="n"/>
      <c r="R139" s="148" t="n"/>
      <c r="S139" s="148" t="n"/>
      <c r="T139" s="148" t="n"/>
      <c r="U139" s="149">
        <f>IF(AND('Master Stock'!D139&lt;&gt;"",'Master Stock'!H139="OCCUPIED",ISNUMBER('Master Stock'!J139),'Master Stock'!K139=""),SUMPRODUCT(--('Master Stock'!$D$2:$D$1000&lt;&gt;""),--('Master Stock'!$H$2:$H$1000="OCCUPIED"),--ISNUMBER('Master Stock'!$J$2:$J$1000),--('Master Stock'!$K$2:$K$1000=""),--('Master Stock'!$J$2:$J$1000&lt;'Master Stock'!J139))+COUNTIFS('Master Stock'!$J$2:J139,'Master Stock'!J139,'Master Stock'!$D$2:D139,"&lt;&gt;",'Master Stock'!$H$2:H139,"OCCUPIED",'Master Stock'!$K$2:K139,""),"")</f>
        <v/>
      </c>
      <c r="V139" s="149">
        <f>IF(AND('Master Stock'!D139&lt;&gt;"",'Master Stock'!H139="OCCUPIED",ISNUMBER('Master Stock'!L139),'Master Stock'!L139&lt;TODAY()-30),SUMPRODUCT(--('Master Stock'!$D$2:$D$1000&lt;&gt;""),--('Master Stock'!$H$2:$H$1000="OCCUPIED"),--ISNUMBER('Master Stock'!$L$2:$L$1000),--('Master Stock'!$L$2:$L$1000&lt;TODAY()-30),--('Master Stock'!$L$2:$L$1000&lt;'Master Stock'!L139))+COUNTIFS('Master Stock'!$L$2:L139,'Master Stock'!L139,'Master Stock'!$D$2:D139,"&lt;&gt;",'Master Stock'!$H$2:H139,"OCCUPIED"),"")</f>
        <v/>
      </c>
      <c r="W139" s="149" t="n"/>
      <c r="X139" s="149" t="n"/>
      <c r="Y139" s="149" t="n"/>
      <c r="Z139" s="149" t="n"/>
    </row>
    <row r="140" ht="15.75" customHeight="1" s="236">
      <c r="A140" s="148" t="n"/>
      <c r="B140" s="148" t="n"/>
      <c r="C140" s="124" t="n"/>
      <c r="D140" s="148" t="n"/>
      <c r="E140" s="148" t="n"/>
      <c r="F140" s="148" t="n"/>
      <c r="G140" s="124" t="n"/>
      <c r="H140" s="148" t="n"/>
      <c r="I140" s="148" t="n"/>
      <c r="J140" s="148" t="n"/>
      <c r="K140" s="148" t="n"/>
      <c r="L140" s="148" t="n"/>
      <c r="M140" s="148" t="n"/>
      <c r="N140" s="148" t="n"/>
      <c r="O140" s="148" t="n"/>
      <c r="P140" s="148" t="n"/>
      <c r="Q140" s="148" t="n"/>
      <c r="R140" s="148" t="n"/>
      <c r="S140" s="148" t="n"/>
      <c r="T140" s="148" t="n"/>
      <c r="U140" s="149">
        <f>IF(AND('Master Stock'!D140&lt;&gt;"",'Master Stock'!H140="OCCUPIED",ISNUMBER('Master Stock'!J140),'Master Stock'!K140=""),SUMPRODUCT(--('Master Stock'!$D$2:$D$1000&lt;&gt;""),--('Master Stock'!$H$2:$H$1000="OCCUPIED"),--ISNUMBER('Master Stock'!$J$2:$J$1000),--('Master Stock'!$K$2:$K$1000=""),--('Master Stock'!$J$2:$J$1000&lt;'Master Stock'!J140))+COUNTIFS('Master Stock'!$J$2:J140,'Master Stock'!J140,'Master Stock'!$D$2:D140,"&lt;&gt;",'Master Stock'!$H$2:H140,"OCCUPIED",'Master Stock'!$K$2:K140,""),"")</f>
        <v/>
      </c>
      <c r="V140" s="149">
        <f>IF(AND('Master Stock'!D140&lt;&gt;"",'Master Stock'!H140="OCCUPIED",ISNUMBER('Master Stock'!L140),'Master Stock'!L140&lt;TODAY()-30),SUMPRODUCT(--('Master Stock'!$D$2:$D$1000&lt;&gt;""),--('Master Stock'!$H$2:$H$1000="OCCUPIED"),--ISNUMBER('Master Stock'!$L$2:$L$1000),--('Master Stock'!$L$2:$L$1000&lt;TODAY()-30),--('Master Stock'!$L$2:$L$1000&lt;'Master Stock'!L140))+COUNTIFS('Master Stock'!$L$2:L140,'Master Stock'!L140,'Master Stock'!$D$2:D140,"&lt;&gt;",'Master Stock'!$H$2:H140,"OCCUPIED"),"")</f>
        <v/>
      </c>
      <c r="W140" s="149" t="n"/>
      <c r="X140" s="149" t="n"/>
      <c r="Y140" s="149" t="n"/>
      <c r="Z140" s="149" t="n"/>
    </row>
    <row r="141" ht="15.75" customHeight="1" s="236">
      <c r="A141" s="148" t="n"/>
      <c r="B141" s="148" t="n"/>
      <c r="C141" s="124" t="n"/>
      <c r="D141" s="148" t="n"/>
      <c r="E141" s="148" t="n"/>
      <c r="F141" s="148" t="n"/>
      <c r="G141" s="124" t="n"/>
      <c r="H141" s="148" t="n"/>
      <c r="I141" s="148" t="n"/>
      <c r="J141" s="148" t="n"/>
      <c r="K141" s="148" t="n"/>
      <c r="L141" s="148" t="n"/>
      <c r="M141" s="148" t="n"/>
      <c r="N141" s="148" t="n"/>
      <c r="O141" s="148" t="n"/>
      <c r="P141" s="148" t="n"/>
      <c r="Q141" s="148" t="n"/>
      <c r="R141" s="148" t="n"/>
      <c r="S141" s="148" t="n"/>
      <c r="T141" s="148" t="n"/>
      <c r="U141" s="149">
        <f>IF(AND('Master Stock'!D141&lt;&gt;"",'Master Stock'!H141="OCCUPIED",ISNUMBER('Master Stock'!J141),'Master Stock'!K141=""),SUMPRODUCT(--('Master Stock'!$D$2:$D$1000&lt;&gt;""),--('Master Stock'!$H$2:$H$1000="OCCUPIED"),--ISNUMBER('Master Stock'!$J$2:$J$1000),--('Master Stock'!$K$2:$K$1000=""),--('Master Stock'!$J$2:$J$1000&lt;'Master Stock'!J141))+COUNTIFS('Master Stock'!$J$2:J141,'Master Stock'!J141,'Master Stock'!$D$2:D141,"&lt;&gt;",'Master Stock'!$H$2:H141,"OCCUPIED",'Master Stock'!$K$2:K141,""),"")</f>
        <v/>
      </c>
      <c r="V141" s="149">
        <f>IF(AND('Master Stock'!D141&lt;&gt;"",'Master Stock'!H141="OCCUPIED",ISNUMBER('Master Stock'!L141),'Master Stock'!L141&lt;TODAY()-30),SUMPRODUCT(--('Master Stock'!$D$2:$D$1000&lt;&gt;""),--('Master Stock'!$H$2:$H$1000="OCCUPIED"),--ISNUMBER('Master Stock'!$L$2:$L$1000),--('Master Stock'!$L$2:$L$1000&lt;TODAY()-30),--('Master Stock'!$L$2:$L$1000&lt;'Master Stock'!L141))+COUNTIFS('Master Stock'!$L$2:L141,'Master Stock'!L141,'Master Stock'!$D$2:D141,"&lt;&gt;",'Master Stock'!$H$2:H141,"OCCUPIED"),"")</f>
        <v/>
      </c>
      <c r="W141" s="149" t="n"/>
      <c r="X141" s="149" t="n"/>
      <c r="Y141" s="149" t="n"/>
      <c r="Z141" s="149" t="n"/>
    </row>
    <row r="142" ht="15.75" customHeight="1" s="236">
      <c r="A142" s="148" t="n"/>
      <c r="B142" s="148" t="n"/>
      <c r="C142" s="124" t="n"/>
      <c r="D142" s="148" t="n"/>
      <c r="E142" s="148" t="n"/>
      <c r="F142" s="148" t="n"/>
      <c r="G142" s="124" t="n"/>
      <c r="H142" s="148" t="n"/>
      <c r="I142" s="148" t="n"/>
      <c r="J142" s="148" t="n"/>
      <c r="K142" s="148" t="n"/>
      <c r="L142" s="148" t="n"/>
      <c r="M142" s="148" t="n"/>
      <c r="N142" s="148" t="n"/>
      <c r="O142" s="148" t="n"/>
      <c r="P142" s="148" t="n"/>
      <c r="Q142" s="148" t="n"/>
      <c r="R142" s="148" t="n"/>
      <c r="S142" s="148" t="n"/>
      <c r="T142" s="148" t="n"/>
      <c r="U142" s="149">
        <f>IF(AND('Master Stock'!D142&lt;&gt;"",'Master Stock'!H142="OCCUPIED",ISNUMBER('Master Stock'!J142),'Master Stock'!K142=""),SUMPRODUCT(--('Master Stock'!$D$2:$D$1000&lt;&gt;""),--('Master Stock'!$H$2:$H$1000="OCCUPIED"),--ISNUMBER('Master Stock'!$J$2:$J$1000),--('Master Stock'!$K$2:$K$1000=""),--('Master Stock'!$J$2:$J$1000&lt;'Master Stock'!J142))+COUNTIFS('Master Stock'!$J$2:J142,'Master Stock'!J142,'Master Stock'!$D$2:D142,"&lt;&gt;",'Master Stock'!$H$2:H142,"OCCUPIED",'Master Stock'!$K$2:K142,""),"")</f>
        <v/>
      </c>
      <c r="V142" s="149">
        <f>IF(AND('Master Stock'!D142&lt;&gt;"",'Master Stock'!H142="OCCUPIED",ISNUMBER('Master Stock'!L142),'Master Stock'!L142&lt;TODAY()-30),SUMPRODUCT(--('Master Stock'!$D$2:$D$1000&lt;&gt;""),--('Master Stock'!$H$2:$H$1000="OCCUPIED"),--ISNUMBER('Master Stock'!$L$2:$L$1000),--('Master Stock'!$L$2:$L$1000&lt;TODAY()-30),--('Master Stock'!$L$2:$L$1000&lt;'Master Stock'!L142))+COUNTIFS('Master Stock'!$L$2:L142,'Master Stock'!L142,'Master Stock'!$D$2:D142,"&lt;&gt;",'Master Stock'!$H$2:H142,"OCCUPIED"),"")</f>
        <v/>
      </c>
      <c r="W142" s="149" t="n"/>
      <c r="X142" s="149" t="n"/>
      <c r="Y142" s="149" t="n"/>
      <c r="Z142" s="149" t="n"/>
    </row>
    <row r="143" ht="15.75" customHeight="1" s="236">
      <c r="A143" s="148" t="n"/>
      <c r="B143" s="148" t="n"/>
      <c r="C143" s="124" t="n"/>
      <c r="D143" s="148" t="n"/>
      <c r="E143" s="148" t="n"/>
      <c r="F143" s="148" t="n"/>
      <c r="G143" s="124" t="n"/>
      <c r="H143" s="148" t="n"/>
      <c r="I143" s="148" t="n"/>
      <c r="J143" s="148" t="n"/>
      <c r="K143" s="148" t="n"/>
      <c r="L143" s="148" t="n"/>
      <c r="M143" s="148" t="n"/>
      <c r="N143" s="148" t="n"/>
      <c r="O143" s="148" t="n"/>
      <c r="P143" s="148" t="n"/>
      <c r="Q143" s="148" t="n"/>
      <c r="R143" s="148" t="n"/>
      <c r="S143" s="148" t="n"/>
      <c r="T143" s="148" t="n"/>
      <c r="U143" s="149">
        <f>IF(AND('Master Stock'!D143&lt;&gt;"",'Master Stock'!H143="OCCUPIED",ISNUMBER('Master Stock'!J143),'Master Stock'!K143=""),SUMPRODUCT(--('Master Stock'!$D$2:$D$1000&lt;&gt;""),--('Master Stock'!$H$2:$H$1000="OCCUPIED"),--ISNUMBER('Master Stock'!$J$2:$J$1000),--('Master Stock'!$K$2:$K$1000=""),--('Master Stock'!$J$2:$J$1000&lt;'Master Stock'!J143))+COUNTIFS('Master Stock'!$J$2:J143,'Master Stock'!J143,'Master Stock'!$D$2:D143,"&lt;&gt;",'Master Stock'!$H$2:H143,"OCCUPIED",'Master Stock'!$K$2:K143,""),"")</f>
        <v/>
      </c>
      <c r="V143" s="149">
        <f>IF(AND('Master Stock'!D143&lt;&gt;"",'Master Stock'!H143="OCCUPIED",ISNUMBER('Master Stock'!L143),'Master Stock'!L143&lt;TODAY()-30),SUMPRODUCT(--('Master Stock'!$D$2:$D$1000&lt;&gt;""),--('Master Stock'!$H$2:$H$1000="OCCUPIED"),--ISNUMBER('Master Stock'!$L$2:$L$1000),--('Master Stock'!$L$2:$L$1000&lt;TODAY()-30),--('Master Stock'!$L$2:$L$1000&lt;'Master Stock'!L143))+COUNTIFS('Master Stock'!$L$2:L143,'Master Stock'!L143,'Master Stock'!$D$2:D143,"&lt;&gt;",'Master Stock'!$H$2:H143,"OCCUPIED"),"")</f>
        <v/>
      </c>
      <c r="W143" s="149" t="n"/>
      <c r="X143" s="149" t="n"/>
      <c r="Y143" s="149" t="n"/>
      <c r="Z143" s="149" t="n"/>
    </row>
    <row r="144" ht="15.75" customHeight="1" s="236">
      <c r="A144" s="148" t="n"/>
      <c r="B144" s="148" t="n"/>
      <c r="C144" s="124" t="n"/>
      <c r="D144" s="148" t="n"/>
      <c r="E144" s="148" t="n"/>
      <c r="F144" s="148" t="n"/>
      <c r="G144" s="124" t="n"/>
      <c r="H144" s="148" t="n"/>
      <c r="I144" s="148" t="n"/>
      <c r="J144" s="148" t="n"/>
      <c r="K144" s="148" t="n"/>
      <c r="L144" s="148" t="n"/>
      <c r="M144" s="148" t="n"/>
      <c r="N144" s="148" t="n"/>
      <c r="O144" s="148" t="n"/>
      <c r="P144" s="148" t="n"/>
      <c r="Q144" s="148" t="n"/>
      <c r="R144" s="148" t="n"/>
      <c r="S144" s="148" t="n"/>
      <c r="T144" s="148" t="n"/>
      <c r="U144" s="149">
        <f>IF(AND('Master Stock'!D144&lt;&gt;"",'Master Stock'!H144="OCCUPIED",ISNUMBER('Master Stock'!J144),'Master Stock'!K144=""),SUMPRODUCT(--('Master Stock'!$D$2:$D$1000&lt;&gt;""),--('Master Stock'!$H$2:$H$1000="OCCUPIED"),--ISNUMBER('Master Stock'!$J$2:$J$1000),--('Master Stock'!$K$2:$K$1000=""),--('Master Stock'!$J$2:$J$1000&lt;'Master Stock'!J144))+COUNTIFS('Master Stock'!$J$2:J144,'Master Stock'!J144,'Master Stock'!$D$2:D144,"&lt;&gt;",'Master Stock'!$H$2:H144,"OCCUPIED",'Master Stock'!$K$2:K144,""),"")</f>
        <v/>
      </c>
      <c r="V144" s="149">
        <f>IF(AND('Master Stock'!D144&lt;&gt;"",'Master Stock'!H144="OCCUPIED",ISNUMBER('Master Stock'!L144),'Master Stock'!L144&lt;TODAY()-30),SUMPRODUCT(--('Master Stock'!$D$2:$D$1000&lt;&gt;""),--('Master Stock'!$H$2:$H$1000="OCCUPIED"),--ISNUMBER('Master Stock'!$L$2:$L$1000),--('Master Stock'!$L$2:$L$1000&lt;TODAY()-30),--('Master Stock'!$L$2:$L$1000&lt;'Master Stock'!L144))+COUNTIFS('Master Stock'!$L$2:L144,'Master Stock'!L144,'Master Stock'!$D$2:D144,"&lt;&gt;",'Master Stock'!$H$2:H144,"OCCUPIED"),"")</f>
        <v/>
      </c>
      <c r="W144" s="149" t="n"/>
      <c r="X144" s="149" t="n"/>
      <c r="Y144" s="149" t="n"/>
      <c r="Z144" s="149" t="n"/>
    </row>
    <row r="145" ht="15.75" customHeight="1" s="236">
      <c r="A145" s="148" t="n"/>
      <c r="B145" s="148" t="n"/>
      <c r="C145" s="124" t="n"/>
      <c r="D145" s="148" t="n"/>
      <c r="E145" s="148" t="n"/>
      <c r="F145" s="148" t="n"/>
      <c r="G145" s="124" t="n"/>
      <c r="H145" s="148" t="n"/>
      <c r="I145" s="148" t="n"/>
      <c r="J145" s="148" t="n"/>
      <c r="K145" s="148" t="n"/>
      <c r="L145" s="148" t="n"/>
      <c r="M145" s="148" t="n"/>
      <c r="N145" s="148" t="n"/>
      <c r="O145" s="148" t="n"/>
      <c r="P145" s="148" t="n"/>
      <c r="Q145" s="148" t="n"/>
      <c r="R145" s="148" t="n"/>
      <c r="S145" s="148" t="n"/>
      <c r="T145" s="148" t="n"/>
      <c r="U145" s="149">
        <f>IF(AND('Master Stock'!D145&lt;&gt;"",'Master Stock'!H145="OCCUPIED",ISNUMBER('Master Stock'!J145),'Master Stock'!K145=""),SUMPRODUCT(--('Master Stock'!$D$2:$D$1000&lt;&gt;""),--('Master Stock'!$H$2:$H$1000="OCCUPIED"),--ISNUMBER('Master Stock'!$J$2:$J$1000),--('Master Stock'!$K$2:$K$1000=""),--('Master Stock'!$J$2:$J$1000&lt;'Master Stock'!J145))+COUNTIFS('Master Stock'!$J$2:J145,'Master Stock'!J145,'Master Stock'!$D$2:D145,"&lt;&gt;",'Master Stock'!$H$2:H145,"OCCUPIED",'Master Stock'!$K$2:K145,""),"")</f>
        <v/>
      </c>
      <c r="V145" s="149">
        <f>IF(AND('Master Stock'!D145&lt;&gt;"",'Master Stock'!H145="OCCUPIED",ISNUMBER('Master Stock'!L145),'Master Stock'!L145&lt;TODAY()-30),SUMPRODUCT(--('Master Stock'!$D$2:$D$1000&lt;&gt;""),--('Master Stock'!$H$2:$H$1000="OCCUPIED"),--ISNUMBER('Master Stock'!$L$2:$L$1000),--('Master Stock'!$L$2:$L$1000&lt;TODAY()-30),--('Master Stock'!$L$2:$L$1000&lt;'Master Stock'!L145))+COUNTIFS('Master Stock'!$L$2:L145,'Master Stock'!L145,'Master Stock'!$D$2:D145,"&lt;&gt;",'Master Stock'!$H$2:H145,"OCCUPIED"),"")</f>
        <v/>
      </c>
      <c r="W145" s="149" t="n"/>
      <c r="X145" s="149" t="n"/>
      <c r="Y145" s="149" t="n"/>
      <c r="Z145" s="149" t="n"/>
    </row>
    <row r="146" ht="15.75" customHeight="1" s="236">
      <c r="A146" s="148" t="n"/>
      <c r="B146" s="148" t="n"/>
      <c r="C146" s="124" t="n"/>
      <c r="D146" s="148" t="n"/>
      <c r="E146" s="148" t="n"/>
      <c r="F146" s="148" t="n"/>
      <c r="G146" s="124" t="n"/>
      <c r="H146" s="148" t="n"/>
      <c r="I146" s="148" t="n"/>
      <c r="J146" s="148" t="n"/>
      <c r="K146" s="148" t="n"/>
      <c r="L146" s="148" t="n"/>
      <c r="M146" s="148" t="n"/>
      <c r="N146" s="148" t="n"/>
      <c r="O146" s="148" t="n"/>
      <c r="P146" s="148" t="n"/>
      <c r="Q146" s="148" t="n"/>
      <c r="R146" s="148" t="n"/>
      <c r="S146" s="148" t="n"/>
      <c r="T146" s="148" t="n"/>
      <c r="U146" s="149">
        <f>IF(AND('Master Stock'!D146&lt;&gt;"",'Master Stock'!H146="OCCUPIED",ISNUMBER('Master Stock'!J146),'Master Stock'!K146=""),SUMPRODUCT(--('Master Stock'!$D$2:$D$1000&lt;&gt;""),--('Master Stock'!$H$2:$H$1000="OCCUPIED"),--ISNUMBER('Master Stock'!$J$2:$J$1000),--('Master Stock'!$K$2:$K$1000=""),--('Master Stock'!$J$2:$J$1000&lt;'Master Stock'!J146))+COUNTIFS('Master Stock'!$J$2:J146,'Master Stock'!J146,'Master Stock'!$D$2:D146,"&lt;&gt;",'Master Stock'!$H$2:H146,"OCCUPIED",'Master Stock'!$K$2:K146,""),"")</f>
        <v/>
      </c>
      <c r="V146" s="149">
        <f>IF(AND('Master Stock'!D146&lt;&gt;"",'Master Stock'!H146="OCCUPIED",ISNUMBER('Master Stock'!L146),'Master Stock'!L146&lt;TODAY()-30),SUMPRODUCT(--('Master Stock'!$D$2:$D$1000&lt;&gt;""),--('Master Stock'!$H$2:$H$1000="OCCUPIED"),--ISNUMBER('Master Stock'!$L$2:$L$1000),--('Master Stock'!$L$2:$L$1000&lt;TODAY()-30),--('Master Stock'!$L$2:$L$1000&lt;'Master Stock'!L146))+COUNTIFS('Master Stock'!$L$2:L146,'Master Stock'!L146,'Master Stock'!$D$2:D146,"&lt;&gt;",'Master Stock'!$H$2:H146,"OCCUPIED"),"")</f>
        <v/>
      </c>
      <c r="W146" s="149" t="n"/>
      <c r="X146" s="149" t="n"/>
      <c r="Y146" s="149" t="n"/>
      <c r="Z146" s="149" t="n"/>
    </row>
    <row r="147" ht="15.75" customHeight="1" s="236">
      <c r="A147" s="148" t="n"/>
      <c r="B147" s="148" t="n"/>
      <c r="C147" s="124" t="n"/>
      <c r="D147" s="148" t="n"/>
      <c r="E147" s="148" t="n"/>
      <c r="F147" s="148" t="n"/>
      <c r="G147" s="124" t="n"/>
      <c r="H147" s="148" t="n"/>
      <c r="I147" s="148" t="n"/>
      <c r="J147" s="148" t="n"/>
      <c r="K147" s="148" t="n"/>
      <c r="L147" s="148" t="n"/>
      <c r="M147" s="148" t="n"/>
      <c r="N147" s="148" t="n"/>
      <c r="O147" s="148" t="n"/>
      <c r="P147" s="148" t="n"/>
      <c r="Q147" s="148" t="n"/>
      <c r="R147" s="148" t="n"/>
      <c r="S147" s="148" t="n"/>
      <c r="T147" s="148" t="n"/>
      <c r="U147" s="149">
        <f>IF(AND('Master Stock'!D147&lt;&gt;"",'Master Stock'!H147="OCCUPIED",ISNUMBER('Master Stock'!J147),'Master Stock'!K147=""),SUMPRODUCT(--('Master Stock'!$D$2:$D$1000&lt;&gt;""),--('Master Stock'!$H$2:$H$1000="OCCUPIED"),--ISNUMBER('Master Stock'!$J$2:$J$1000),--('Master Stock'!$K$2:$K$1000=""),--('Master Stock'!$J$2:$J$1000&lt;'Master Stock'!J147))+COUNTIFS('Master Stock'!$J$2:J147,'Master Stock'!J147,'Master Stock'!$D$2:D147,"&lt;&gt;",'Master Stock'!$H$2:H147,"OCCUPIED",'Master Stock'!$K$2:K147,""),"")</f>
        <v/>
      </c>
      <c r="V147" s="149">
        <f>IF(AND('Master Stock'!D147&lt;&gt;"",'Master Stock'!H147="OCCUPIED",ISNUMBER('Master Stock'!L147),'Master Stock'!L147&lt;TODAY()-30),SUMPRODUCT(--('Master Stock'!$D$2:$D$1000&lt;&gt;""),--('Master Stock'!$H$2:$H$1000="OCCUPIED"),--ISNUMBER('Master Stock'!$L$2:$L$1000),--('Master Stock'!$L$2:$L$1000&lt;TODAY()-30),--('Master Stock'!$L$2:$L$1000&lt;'Master Stock'!L147))+COUNTIFS('Master Stock'!$L$2:L147,'Master Stock'!L147,'Master Stock'!$D$2:D147,"&lt;&gt;",'Master Stock'!$H$2:H147,"OCCUPIED"),"")</f>
        <v/>
      </c>
      <c r="W147" s="149" t="n"/>
      <c r="X147" s="149" t="n"/>
      <c r="Y147" s="149" t="n"/>
      <c r="Z147" s="149" t="n"/>
    </row>
    <row r="148" ht="15.75" customHeight="1" s="236">
      <c r="A148" s="148" t="n"/>
      <c r="B148" s="148" t="n"/>
      <c r="C148" s="124" t="n"/>
      <c r="D148" s="148" t="n"/>
      <c r="E148" s="148" t="n"/>
      <c r="F148" s="148" t="n"/>
      <c r="G148" s="124" t="n"/>
      <c r="H148" s="148" t="n"/>
      <c r="I148" s="148" t="n"/>
      <c r="J148" s="148" t="n"/>
      <c r="K148" s="148" t="n"/>
      <c r="L148" s="148" t="n"/>
      <c r="M148" s="148" t="n"/>
      <c r="N148" s="148" t="n"/>
      <c r="O148" s="148" t="n"/>
      <c r="P148" s="148" t="n"/>
      <c r="Q148" s="148" t="n"/>
      <c r="R148" s="148" t="n"/>
      <c r="S148" s="148" t="n"/>
      <c r="T148" s="148" t="n"/>
      <c r="U148" s="149">
        <f>IF(AND('Master Stock'!D148&lt;&gt;"",'Master Stock'!H148="OCCUPIED",ISNUMBER('Master Stock'!J148),'Master Stock'!K148=""),SUMPRODUCT(--('Master Stock'!$D$2:$D$1000&lt;&gt;""),--('Master Stock'!$H$2:$H$1000="OCCUPIED"),--ISNUMBER('Master Stock'!$J$2:$J$1000),--('Master Stock'!$K$2:$K$1000=""),--('Master Stock'!$J$2:$J$1000&lt;'Master Stock'!J148))+COUNTIFS('Master Stock'!$J$2:J148,'Master Stock'!J148,'Master Stock'!$D$2:D148,"&lt;&gt;",'Master Stock'!$H$2:H148,"OCCUPIED",'Master Stock'!$K$2:K148,""),"")</f>
        <v/>
      </c>
      <c r="V148" s="149">
        <f>IF(AND('Master Stock'!D148&lt;&gt;"",'Master Stock'!H148="OCCUPIED",ISNUMBER('Master Stock'!L148),'Master Stock'!L148&lt;TODAY()-30),SUMPRODUCT(--('Master Stock'!$D$2:$D$1000&lt;&gt;""),--('Master Stock'!$H$2:$H$1000="OCCUPIED"),--ISNUMBER('Master Stock'!$L$2:$L$1000),--('Master Stock'!$L$2:$L$1000&lt;TODAY()-30),--('Master Stock'!$L$2:$L$1000&lt;'Master Stock'!L148))+COUNTIFS('Master Stock'!$L$2:L148,'Master Stock'!L148,'Master Stock'!$D$2:D148,"&lt;&gt;",'Master Stock'!$H$2:H148,"OCCUPIED"),"")</f>
        <v/>
      </c>
      <c r="W148" s="149" t="n"/>
      <c r="X148" s="149" t="n"/>
      <c r="Y148" s="149" t="n"/>
      <c r="Z148" s="149" t="n"/>
    </row>
    <row r="149" ht="15.75" customHeight="1" s="236">
      <c r="A149" s="148" t="n"/>
      <c r="B149" s="148" t="n"/>
      <c r="C149" s="124" t="n"/>
      <c r="D149" s="148" t="n"/>
      <c r="E149" s="148" t="n"/>
      <c r="F149" s="148" t="n"/>
      <c r="G149" s="124" t="n"/>
      <c r="H149" s="148" t="n"/>
      <c r="I149" s="148" t="n"/>
      <c r="J149" s="148" t="n"/>
      <c r="K149" s="148" t="n"/>
      <c r="L149" s="148" t="n"/>
      <c r="M149" s="148" t="n"/>
      <c r="N149" s="148" t="n"/>
      <c r="O149" s="148" t="n"/>
      <c r="P149" s="148" t="n"/>
      <c r="Q149" s="148" t="n"/>
      <c r="R149" s="148" t="n"/>
      <c r="S149" s="148" t="n"/>
      <c r="T149" s="148" t="n"/>
      <c r="U149" s="149">
        <f>IF(AND('Master Stock'!D149&lt;&gt;"",'Master Stock'!H149="OCCUPIED",ISNUMBER('Master Stock'!J149),'Master Stock'!K149=""),SUMPRODUCT(--('Master Stock'!$D$2:$D$1000&lt;&gt;""),--('Master Stock'!$H$2:$H$1000="OCCUPIED"),--ISNUMBER('Master Stock'!$J$2:$J$1000),--('Master Stock'!$K$2:$K$1000=""),--('Master Stock'!$J$2:$J$1000&lt;'Master Stock'!J149))+COUNTIFS('Master Stock'!$J$2:J149,'Master Stock'!J149,'Master Stock'!$D$2:D149,"&lt;&gt;",'Master Stock'!$H$2:H149,"OCCUPIED",'Master Stock'!$K$2:K149,""),"")</f>
        <v/>
      </c>
      <c r="V149" s="149">
        <f>IF(AND('Master Stock'!D149&lt;&gt;"",'Master Stock'!H149="OCCUPIED",ISNUMBER('Master Stock'!L149),'Master Stock'!L149&lt;TODAY()-30),SUMPRODUCT(--('Master Stock'!$D$2:$D$1000&lt;&gt;""),--('Master Stock'!$H$2:$H$1000="OCCUPIED"),--ISNUMBER('Master Stock'!$L$2:$L$1000),--('Master Stock'!$L$2:$L$1000&lt;TODAY()-30),--('Master Stock'!$L$2:$L$1000&lt;'Master Stock'!L149))+COUNTIFS('Master Stock'!$L$2:L149,'Master Stock'!L149,'Master Stock'!$D$2:D149,"&lt;&gt;",'Master Stock'!$H$2:H149,"OCCUPIED"),"")</f>
        <v/>
      </c>
      <c r="W149" s="149" t="n"/>
      <c r="X149" s="149" t="n"/>
      <c r="Y149" s="149" t="n"/>
      <c r="Z149" s="149" t="n"/>
    </row>
    <row r="150" ht="15.75" customHeight="1" s="236">
      <c r="A150" s="148" t="n"/>
      <c r="B150" s="148" t="n"/>
      <c r="C150" s="124" t="n"/>
      <c r="D150" s="148" t="n"/>
      <c r="E150" s="148" t="n"/>
      <c r="F150" s="148" t="n"/>
      <c r="G150" s="124" t="n"/>
      <c r="H150" s="148" t="n"/>
      <c r="I150" s="148" t="n"/>
      <c r="J150" s="148" t="n"/>
      <c r="K150" s="148" t="n"/>
      <c r="L150" s="148" t="n"/>
      <c r="M150" s="148" t="n"/>
      <c r="N150" s="148" t="n"/>
      <c r="O150" s="148" t="n"/>
      <c r="P150" s="148" t="n"/>
      <c r="Q150" s="148" t="n"/>
      <c r="R150" s="148" t="n"/>
      <c r="S150" s="148" t="n"/>
      <c r="T150" s="148" t="n"/>
      <c r="U150" s="149">
        <f>IF(AND('Master Stock'!D150&lt;&gt;"",'Master Stock'!H150="OCCUPIED",ISNUMBER('Master Stock'!J150),'Master Stock'!K150=""),SUMPRODUCT(--('Master Stock'!$D$2:$D$1000&lt;&gt;""),--('Master Stock'!$H$2:$H$1000="OCCUPIED"),--ISNUMBER('Master Stock'!$J$2:$J$1000),--('Master Stock'!$K$2:$K$1000=""),--('Master Stock'!$J$2:$J$1000&lt;'Master Stock'!J150))+COUNTIFS('Master Stock'!$J$2:J150,'Master Stock'!J150,'Master Stock'!$D$2:D150,"&lt;&gt;",'Master Stock'!$H$2:H150,"OCCUPIED",'Master Stock'!$K$2:K150,""),"")</f>
        <v/>
      </c>
      <c r="V150" s="149">
        <f>IF(AND('Master Stock'!D150&lt;&gt;"",'Master Stock'!H150="OCCUPIED",ISNUMBER('Master Stock'!L150),'Master Stock'!L150&lt;TODAY()-30),SUMPRODUCT(--('Master Stock'!$D$2:$D$1000&lt;&gt;""),--('Master Stock'!$H$2:$H$1000="OCCUPIED"),--ISNUMBER('Master Stock'!$L$2:$L$1000),--('Master Stock'!$L$2:$L$1000&lt;TODAY()-30),--('Master Stock'!$L$2:$L$1000&lt;'Master Stock'!L150))+COUNTIFS('Master Stock'!$L$2:L150,'Master Stock'!L150,'Master Stock'!$D$2:D150,"&lt;&gt;",'Master Stock'!$H$2:H150,"OCCUPIED"),"")</f>
        <v/>
      </c>
      <c r="W150" s="149" t="n"/>
      <c r="X150" s="149" t="n"/>
      <c r="Y150" s="149" t="n"/>
      <c r="Z150" s="149" t="n"/>
    </row>
    <row r="151" ht="15.75" customHeight="1" s="236">
      <c r="A151" s="148" t="n"/>
      <c r="B151" s="148" t="n"/>
      <c r="C151" s="124" t="n"/>
      <c r="D151" s="148" t="n"/>
      <c r="E151" s="148" t="n"/>
      <c r="F151" s="148" t="n"/>
      <c r="G151" s="124" t="n"/>
      <c r="H151" s="148" t="n"/>
      <c r="I151" s="148" t="n"/>
      <c r="J151" s="148" t="n"/>
      <c r="K151" s="148" t="n"/>
      <c r="L151" s="148" t="n"/>
      <c r="M151" s="148" t="n"/>
      <c r="N151" s="148" t="n"/>
      <c r="O151" s="148" t="n"/>
      <c r="P151" s="148" t="n"/>
      <c r="Q151" s="148" t="n"/>
      <c r="R151" s="148" t="n"/>
      <c r="S151" s="148" t="n"/>
      <c r="T151" s="148" t="n"/>
      <c r="U151" s="149">
        <f>IF(AND('Master Stock'!D151&lt;&gt;"",'Master Stock'!H151="OCCUPIED",ISNUMBER('Master Stock'!J151),'Master Stock'!K151=""),SUMPRODUCT(--('Master Stock'!$D$2:$D$1000&lt;&gt;""),--('Master Stock'!$H$2:$H$1000="OCCUPIED"),--ISNUMBER('Master Stock'!$J$2:$J$1000),--('Master Stock'!$K$2:$K$1000=""),--('Master Stock'!$J$2:$J$1000&lt;'Master Stock'!J151))+COUNTIFS('Master Stock'!$J$2:J151,'Master Stock'!J151,'Master Stock'!$D$2:D151,"&lt;&gt;",'Master Stock'!$H$2:H151,"OCCUPIED",'Master Stock'!$K$2:K151,""),"")</f>
        <v/>
      </c>
      <c r="V151" s="149">
        <f>IF(AND('Master Stock'!D151&lt;&gt;"",'Master Stock'!H151="OCCUPIED",ISNUMBER('Master Stock'!L151),'Master Stock'!L151&lt;TODAY()-30),SUMPRODUCT(--('Master Stock'!$D$2:$D$1000&lt;&gt;""),--('Master Stock'!$H$2:$H$1000="OCCUPIED"),--ISNUMBER('Master Stock'!$L$2:$L$1000),--('Master Stock'!$L$2:$L$1000&lt;TODAY()-30),--('Master Stock'!$L$2:$L$1000&lt;'Master Stock'!L151))+COUNTIFS('Master Stock'!$L$2:L151,'Master Stock'!L151,'Master Stock'!$D$2:D151,"&lt;&gt;",'Master Stock'!$H$2:H151,"OCCUPIED"),"")</f>
        <v/>
      </c>
      <c r="W151" s="149" t="n"/>
      <c r="X151" s="149" t="n"/>
      <c r="Y151" s="149" t="n"/>
      <c r="Z151" s="149" t="n"/>
    </row>
    <row r="152" ht="15.75" customHeight="1" s="236">
      <c r="A152" s="148" t="n"/>
      <c r="B152" s="148" t="n"/>
      <c r="C152" s="124" t="n"/>
      <c r="D152" s="148" t="n"/>
      <c r="E152" s="148" t="n"/>
      <c r="F152" s="148" t="n"/>
      <c r="G152" s="124" t="n"/>
      <c r="H152" s="148" t="n"/>
      <c r="I152" s="148" t="n"/>
      <c r="J152" s="148" t="n"/>
      <c r="K152" s="148" t="n"/>
      <c r="L152" s="148" t="n"/>
      <c r="M152" s="148" t="n"/>
      <c r="N152" s="148" t="n"/>
      <c r="O152" s="148" t="n"/>
      <c r="P152" s="148" t="n"/>
      <c r="Q152" s="148" t="n"/>
      <c r="R152" s="148" t="n"/>
      <c r="S152" s="148" t="n"/>
      <c r="T152" s="148" t="n"/>
      <c r="U152" s="149">
        <f>IF(AND('Master Stock'!D152&lt;&gt;"",'Master Stock'!H152="OCCUPIED",ISNUMBER('Master Stock'!J152),'Master Stock'!K152=""),SUMPRODUCT(--('Master Stock'!$D$2:$D$1000&lt;&gt;""),--('Master Stock'!$H$2:$H$1000="OCCUPIED"),--ISNUMBER('Master Stock'!$J$2:$J$1000),--('Master Stock'!$K$2:$K$1000=""),--('Master Stock'!$J$2:$J$1000&lt;'Master Stock'!J152))+COUNTIFS('Master Stock'!$J$2:J152,'Master Stock'!J152,'Master Stock'!$D$2:D152,"&lt;&gt;",'Master Stock'!$H$2:H152,"OCCUPIED",'Master Stock'!$K$2:K152,""),"")</f>
        <v/>
      </c>
      <c r="V152" s="149">
        <f>IF(AND('Master Stock'!D152&lt;&gt;"",'Master Stock'!H152="OCCUPIED",ISNUMBER('Master Stock'!L152),'Master Stock'!L152&lt;TODAY()-30),SUMPRODUCT(--('Master Stock'!$D$2:$D$1000&lt;&gt;""),--('Master Stock'!$H$2:$H$1000="OCCUPIED"),--ISNUMBER('Master Stock'!$L$2:$L$1000),--('Master Stock'!$L$2:$L$1000&lt;TODAY()-30),--('Master Stock'!$L$2:$L$1000&lt;'Master Stock'!L152))+COUNTIFS('Master Stock'!$L$2:L152,'Master Stock'!L152,'Master Stock'!$D$2:D152,"&lt;&gt;",'Master Stock'!$H$2:H152,"OCCUPIED"),"")</f>
        <v/>
      </c>
      <c r="W152" s="149" t="n"/>
      <c r="X152" s="149" t="n"/>
      <c r="Y152" s="149" t="n"/>
      <c r="Z152" s="149" t="n"/>
    </row>
    <row r="153" ht="15.75" customHeight="1" s="236">
      <c r="A153" s="148" t="n"/>
      <c r="B153" s="148" t="n"/>
      <c r="C153" s="124" t="n"/>
      <c r="D153" s="148" t="n"/>
      <c r="E153" s="148" t="n"/>
      <c r="F153" s="148" t="n"/>
      <c r="G153" s="124" t="n"/>
      <c r="H153" s="148" t="n"/>
      <c r="I153" s="148" t="n"/>
      <c r="J153" s="148" t="n"/>
      <c r="K153" s="148" t="n"/>
      <c r="L153" s="148" t="n"/>
      <c r="M153" s="148" t="n"/>
      <c r="N153" s="148" t="n"/>
      <c r="O153" s="148" t="n"/>
      <c r="P153" s="148" t="n"/>
      <c r="Q153" s="148" t="n"/>
      <c r="R153" s="148" t="n"/>
      <c r="S153" s="148" t="n"/>
      <c r="T153" s="148" t="n"/>
      <c r="U153" s="149">
        <f>IF(AND('Master Stock'!D153&lt;&gt;"",'Master Stock'!H153="OCCUPIED",ISNUMBER('Master Stock'!J153),'Master Stock'!K153=""),SUMPRODUCT(--('Master Stock'!$D$2:$D$1000&lt;&gt;""),--('Master Stock'!$H$2:$H$1000="OCCUPIED"),--ISNUMBER('Master Stock'!$J$2:$J$1000),--('Master Stock'!$K$2:$K$1000=""),--('Master Stock'!$J$2:$J$1000&lt;'Master Stock'!J153))+COUNTIFS('Master Stock'!$J$2:J153,'Master Stock'!J153,'Master Stock'!$D$2:D153,"&lt;&gt;",'Master Stock'!$H$2:H153,"OCCUPIED",'Master Stock'!$K$2:K153,""),"")</f>
        <v/>
      </c>
      <c r="V153" s="149">
        <f>IF(AND('Master Stock'!D153&lt;&gt;"",'Master Stock'!H153="OCCUPIED",ISNUMBER('Master Stock'!L153),'Master Stock'!L153&lt;TODAY()-30),SUMPRODUCT(--('Master Stock'!$D$2:$D$1000&lt;&gt;""),--('Master Stock'!$H$2:$H$1000="OCCUPIED"),--ISNUMBER('Master Stock'!$L$2:$L$1000),--('Master Stock'!$L$2:$L$1000&lt;TODAY()-30),--('Master Stock'!$L$2:$L$1000&lt;'Master Stock'!L153))+COUNTIFS('Master Stock'!$L$2:L153,'Master Stock'!L153,'Master Stock'!$D$2:D153,"&lt;&gt;",'Master Stock'!$H$2:H153,"OCCUPIED"),"")</f>
        <v/>
      </c>
      <c r="W153" s="149" t="n"/>
      <c r="X153" s="149" t="n"/>
      <c r="Y153" s="149" t="n"/>
      <c r="Z153" s="149" t="n"/>
    </row>
    <row r="154" ht="15.75" customHeight="1" s="236">
      <c r="A154" s="148" t="n"/>
      <c r="B154" s="148" t="n"/>
      <c r="C154" s="124" t="n"/>
      <c r="D154" s="148" t="n"/>
      <c r="E154" s="148" t="n"/>
      <c r="F154" s="148" t="n"/>
      <c r="G154" s="124" t="n"/>
      <c r="H154" s="148" t="n"/>
      <c r="I154" s="148" t="n"/>
      <c r="J154" s="148" t="n"/>
      <c r="K154" s="148" t="n"/>
      <c r="L154" s="148" t="n"/>
      <c r="M154" s="148" t="n"/>
      <c r="N154" s="148" t="n"/>
      <c r="O154" s="148" t="n"/>
      <c r="P154" s="148" t="n"/>
      <c r="Q154" s="148" t="n"/>
      <c r="R154" s="148" t="n"/>
      <c r="S154" s="148" t="n"/>
      <c r="T154" s="148" t="n"/>
      <c r="U154" s="149">
        <f>IF(AND('Master Stock'!D154&lt;&gt;"",'Master Stock'!H154="OCCUPIED",ISNUMBER('Master Stock'!J154),'Master Stock'!K154=""),SUMPRODUCT(--('Master Stock'!$D$2:$D$1000&lt;&gt;""),--('Master Stock'!$H$2:$H$1000="OCCUPIED"),--ISNUMBER('Master Stock'!$J$2:$J$1000),--('Master Stock'!$K$2:$K$1000=""),--('Master Stock'!$J$2:$J$1000&lt;'Master Stock'!J154))+COUNTIFS('Master Stock'!$J$2:J154,'Master Stock'!J154,'Master Stock'!$D$2:D154,"&lt;&gt;",'Master Stock'!$H$2:H154,"OCCUPIED",'Master Stock'!$K$2:K154,""),"")</f>
        <v/>
      </c>
      <c r="V154" s="149">
        <f>IF(AND('Master Stock'!D154&lt;&gt;"",'Master Stock'!H154="OCCUPIED",ISNUMBER('Master Stock'!L154),'Master Stock'!L154&lt;TODAY()-30),SUMPRODUCT(--('Master Stock'!$D$2:$D$1000&lt;&gt;""),--('Master Stock'!$H$2:$H$1000="OCCUPIED"),--ISNUMBER('Master Stock'!$L$2:$L$1000),--('Master Stock'!$L$2:$L$1000&lt;TODAY()-30),--('Master Stock'!$L$2:$L$1000&lt;'Master Stock'!L154))+COUNTIFS('Master Stock'!$L$2:L154,'Master Stock'!L154,'Master Stock'!$D$2:D154,"&lt;&gt;",'Master Stock'!$H$2:H154,"OCCUPIED"),"")</f>
        <v/>
      </c>
      <c r="W154" s="149" t="n"/>
      <c r="X154" s="149" t="n"/>
      <c r="Y154" s="149" t="n"/>
      <c r="Z154" s="149" t="n"/>
    </row>
    <row r="155" ht="15.75" customHeight="1" s="236">
      <c r="A155" s="148" t="n"/>
      <c r="B155" s="148" t="n"/>
      <c r="C155" s="124" t="n"/>
      <c r="D155" s="148" t="n"/>
      <c r="E155" s="148" t="n"/>
      <c r="F155" s="148" t="n"/>
      <c r="G155" s="124" t="n"/>
      <c r="H155" s="148" t="n"/>
      <c r="I155" s="148" t="n"/>
      <c r="J155" s="148" t="n"/>
      <c r="K155" s="148" t="n"/>
      <c r="L155" s="148" t="n"/>
      <c r="M155" s="148" t="n"/>
      <c r="N155" s="148" t="n"/>
      <c r="O155" s="148" t="n"/>
      <c r="P155" s="148" t="n"/>
      <c r="Q155" s="148" t="n"/>
      <c r="R155" s="148" t="n"/>
      <c r="S155" s="148" t="n"/>
      <c r="T155" s="148" t="n"/>
      <c r="U155" s="149">
        <f>IF(AND('Master Stock'!D155&lt;&gt;"",'Master Stock'!H155="OCCUPIED",ISNUMBER('Master Stock'!J155),'Master Stock'!K155=""),SUMPRODUCT(--('Master Stock'!$D$2:$D$1000&lt;&gt;""),--('Master Stock'!$H$2:$H$1000="OCCUPIED"),--ISNUMBER('Master Stock'!$J$2:$J$1000),--('Master Stock'!$K$2:$K$1000=""),--('Master Stock'!$J$2:$J$1000&lt;'Master Stock'!J155))+COUNTIFS('Master Stock'!$J$2:J155,'Master Stock'!J155,'Master Stock'!$D$2:D155,"&lt;&gt;",'Master Stock'!$H$2:H155,"OCCUPIED",'Master Stock'!$K$2:K155,""),"")</f>
        <v/>
      </c>
      <c r="V155" s="149">
        <f>IF(AND('Master Stock'!D155&lt;&gt;"",'Master Stock'!H155="OCCUPIED",ISNUMBER('Master Stock'!L155),'Master Stock'!L155&lt;TODAY()-30),SUMPRODUCT(--('Master Stock'!$D$2:$D$1000&lt;&gt;""),--('Master Stock'!$H$2:$H$1000="OCCUPIED"),--ISNUMBER('Master Stock'!$L$2:$L$1000),--('Master Stock'!$L$2:$L$1000&lt;TODAY()-30),--('Master Stock'!$L$2:$L$1000&lt;'Master Stock'!L155))+COUNTIFS('Master Stock'!$L$2:L155,'Master Stock'!L155,'Master Stock'!$D$2:D155,"&lt;&gt;",'Master Stock'!$H$2:H155,"OCCUPIED"),"")</f>
        <v/>
      </c>
      <c r="W155" s="149" t="n"/>
      <c r="X155" s="149" t="n"/>
      <c r="Y155" s="149" t="n"/>
      <c r="Z155" s="149" t="n"/>
    </row>
    <row r="156" ht="15.75" customHeight="1" s="236">
      <c r="A156" s="148" t="n"/>
      <c r="B156" s="148" t="n"/>
      <c r="C156" s="124" t="n"/>
      <c r="D156" s="148" t="n"/>
      <c r="E156" s="148" t="n"/>
      <c r="F156" s="148" t="n"/>
      <c r="G156" s="124" t="n"/>
      <c r="H156" s="148" t="n"/>
      <c r="I156" s="148" t="n"/>
      <c r="J156" s="148" t="n"/>
      <c r="K156" s="148" t="n"/>
      <c r="L156" s="148" t="n"/>
      <c r="M156" s="148" t="n"/>
      <c r="N156" s="148" t="n"/>
      <c r="O156" s="148" t="n"/>
      <c r="P156" s="148" t="n"/>
      <c r="Q156" s="148" t="n"/>
      <c r="R156" s="148" t="n"/>
      <c r="S156" s="148" t="n"/>
      <c r="T156" s="148" t="n"/>
      <c r="U156" s="149">
        <f>IF(AND('Master Stock'!D156&lt;&gt;"",'Master Stock'!H156="OCCUPIED",ISNUMBER('Master Stock'!J156),'Master Stock'!K156=""),SUMPRODUCT(--('Master Stock'!$D$2:$D$1000&lt;&gt;""),--('Master Stock'!$H$2:$H$1000="OCCUPIED"),--ISNUMBER('Master Stock'!$J$2:$J$1000),--('Master Stock'!$K$2:$K$1000=""),--('Master Stock'!$J$2:$J$1000&lt;'Master Stock'!J156))+COUNTIFS('Master Stock'!$J$2:J156,'Master Stock'!J156,'Master Stock'!$D$2:D156,"&lt;&gt;",'Master Stock'!$H$2:H156,"OCCUPIED",'Master Stock'!$K$2:K156,""),"")</f>
        <v/>
      </c>
      <c r="V156" s="149">
        <f>IF(AND('Master Stock'!D156&lt;&gt;"",'Master Stock'!H156="OCCUPIED",ISNUMBER('Master Stock'!L156),'Master Stock'!L156&lt;TODAY()-30),SUMPRODUCT(--('Master Stock'!$D$2:$D$1000&lt;&gt;""),--('Master Stock'!$H$2:$H$1000="OCCUPIED"),--ISNUMBER('Master Stock'!$L$2:$L$1000),--('Master Stock'!$L$2:$L$1000&lt;TODAY()-30),--('Master Stock'!$L$2:$L$1000&lt;'Master Stock'!L156))+COUNTIFS('Master Stock'!$L$2:L156,'Master Stock'!L156,'Master Stock'!$D$2:D156,"&lt;&gt;",'Master Stock'!$H$2:H156,"OCCUPIED"),"")</f>
        <v/>
      </c>
      <c r="W156" s="149" t="n"/>
      <c r="X156" s="149" t="n"/>
      <c r="Y156" s="149" t="n"/>
      <c r="Z156" s="149" t="n"/>
    </row>
    <row r="157" ht="15.75" customHeight="1" s="236">
      <c r="A157" s="148" t="n"/>
      <c r="B157" s="148" t="n"/>
      <c r="C157" s="124" t="n"/>
      <c r="D157" s="148" t="n"/>
      <c r="E157" s="148" t="n"/>
      <c r="F157" s="148" t="n"/>
      <c r="G157" s="124" t="n"/>
      <c r="H157" s="148" t="n"/>
      <c r="I157" s="148" t="n"/>
      <c r="J157" s="148" t="n"/>
      <c r="K157" s="148" t="n"/>
      <c r="L157" s="148" t="n"/>
      <c r="M157" s="148" t="n"/>
      <c r="N157" s="148" t="n"/>
      <c r="O157" s="148" t="n"/>
      <c r="P157" s="148" t="n"/>
      <c r="Q157" s="148" t="n"/>
      <c r="R157" s="148" t="n"/>
      <c r="S157" s="148" t="n"/>
      <c r="T157" s="148" t="n"/>
      <c r="U157" s="149">
        <f>IF(AND('Master Stock'!D157&lt;&gt;"",'Master Stock'!H157="OCCUPIED",ISNUMBER('Master Stock'!J157),'Master Stock'!K157=""),SUMPRODUCT(--('Master Stock'!$D$2:$D$1000&lt;&gt;""),--('Master Stock'!$H$2:$H$1000="OCCUPIED"),--ISNUMBER('Master Stock'!$J$2:$J$1000),--('Master Stock'!$K$2:$K$1000=""),--('Master Stock'!$J$2:$J$1000&lt;'Master Stock'!J157))+COUNTIFS('Master Stock'!$J$2:J157,'Master Stock'!J157,'Master Stock'!$D$2:D157,"&lt;&gt;",'Master Stock'!$H$2:H157,"OCCUPIED",'Master Stock'!$K$2:K157,""),"")</f>
        <v/>
      </c>
      <c r="V157" s="149">
        <f>IF(AND('Master Stock'!D157&lt;&gt;"",'Master Stock'!H157="OCCUPIED",ISNUMBER('Master Stock'!L157),'Master Stock'!L157&lt;TODAY()-30),SUMPRODUCT(--('Master Stock'!$D$2:$D$1000&lt;&gt;""),--('Master Stock'!$H$2:$H$1000="OCCUPIED"),--ISNUMBER('Master Stock'!$L$2:$L$1000),--('Master Stock'!$L$2:$L$1000&lt;TODAY()-30),--('Master Stock'!$L$2:$L$1000&lt;'Master Stock'!L157))+COUNTIFS('Master Stock'!$L$2:L157,'Master Stock'!L157,'Master Stock'!$D$2:D157,"&lt;&gt;",'Master Stock'!$H$2:H157,"OCCUPIED"),"")</f>
        <v/>
      </c>
      <c r="W157" s="149" t="n"/>
      <c r="X157" s="149" t="n"/>
      <c r="Y157" s="149" t="n"/>
      <c r="Z157" s="149" t="n"/>
    </row>
    <row r="158" ht="15.75" customHeight="1" s="236">
      <c r="A158" s="148" t="n"/>
      <c r="B158" s="148" t="n"/>
      <c r="C158" s="124" t="n"/>
      <c r="D158" s="148" t="n"/>
      <c r="E158" s="148" t="n"/>
      <c r="F158" s="148" t="n"/>
      <c r="G158" s="124" t="n"/>
      <c r="H158" s="148" t="n"/>
      <c r="I158" s="148" t="n"/>
      <c r="J158" s="148" t="n"/>
      <c r="K158" s="148" t="n"/>
      <c r="L158" s="148" t="n"/>
      <c r="M158" s="148" t="n"/>
      <c r="N158" s="148" t="n"/>
      <c r="O158" s="148" t="n"/>
      <c r="P158" s="148" t="n"/>
      <c r="Q158" s="148" t="n"/>
      <c r="R158" s="148" t="n"/>
      <c r="S158" s="148" t="n"/>
      <c r="T158" s="148" t="n"/>
      <c r="U158" s="149">
        <f>IF(AND('Master Stock'!D158&lt;&gt;"",'Master Stock'!H158="OCCUPIED",ISNUMBER('Master Stock'!J158),'Master Stock'!K158=""),SUMPRODUCT(--('Master Stock'!$D$2:$D$1000&lt;&gt;""),--('Master Stock'!$H$2:$H$1000="OCCUPIED"),--ISNUMBER('Master Stock'!$J$2:$J$1000),--('Master Stock'!$K$2:$K$1000=""),--('Master Stock'!$J$2:$J$1000&lt;'Master Stock'!J158))+COUNTIFS('Master Stock'!$J$2:J158,'Master Stock'!J158,'Master Stock'!$D$2:D158,"&lt;&gt;",'Master Stock'!$H$2:H158,"OCCUPIED",'Master Stock'!$K$2:K158,""),"")</f>
        <v/>
      </c>
      <c r="V158" s="149">
        <f>IF(AND('Master Stock'!D158&lt;&gt;"",'Master Stock'!H158="OCCUPIED",ISNUMBER('Master Stock'!L158),'Master Stock'!L158&lt;TODAY()-30),SUMPRODUCT(--('Master Stock'!$D$2:$D$1000&lt;&gt;""),--('Master Stock'!$H$2:$H$1000="OCCUPIED"),--ISNUMBER('Master Stock'!$L$2:$L$1000),--('Master Stock'!$L$2:$L$1000&lt;TODAY()-30),--('Master Stock'!$L$2:$L$1000&lt;'Master Stock'!L158))+COUNTIFS('Master Stock'!$L$2:L158,'Master Stock'!L158,'Master Stock'!$D$2:D158,"&lt;&gt;",'Master Stock'!$H$2:H158,"OCCUPIED"),"")</f>
        <v/>
      </c>
      <c r="W158" s="149" t="n"/>
      <c r="X158" s="149" t="n"/>
      <c r="Y158" s="149" t="n"/>
      <c r="Z158" s="149" t="n"/>
    </row>
    <row r="159" ht="15.75" customHeight="1" s="236">
      <c r="A159" s="148" t="n"/>
      <c r="B159" s="148" t="n"/>
      <c r="C159" s="124" t="n"/>
      <c r="D159" s="148" t="n"/>
      <c r="E159" s="148" t="n"/>
      <c r="F159" s="148" t="n"/>
      <c r="G159" s="124" t="n"/>
      <c r="H159" s="148" t="n"/>
      <c r="I159" s="148" t="n"/>
      <c r="J159" s="148" t="n"/>
      <c r="K159" s="148" t="n"/>
      <c r="L159" s="148" t="n"/>
      <c r="M159" s="148" t="n"/>
      <c r="N159" s="148" t="n"/>
      <c r="O159" s="148" t="n"/>
      <c r="P159" s="148" t="n"/>
      <c r="Q159" s="148" t="n"/>
      <c r="R159" s="148" t="n"/>
      <c r="S159" s="148" t="n"/>
      <c r="T159" s="148" t="n"/>
      <c r="U159" s="149">
        <f>IF(AND('Master Stock'!D159&lt;&gt;"",'Master Stock'!H159="OCCUPIED",ISNUMBER('Master Stock'!J159),'Master Stock'!K159=""),SUMPRODUCT(--('Master Stock'!$D$2:$D$1000&lt;&gt;""),--('Master Stock'!$H$2:$H$1000="OCCUPIED"),--ISNUMBER('Master Stock'!$J$2:$J$1000),--('Master Stock'!$K$2:$K$1000=""),--('Master Stock'!$J$2:$J$1000&lt;'Master Stock'!J159))+COUNTIFS('Master Stock'!$J$2:J159,'Master Stock'!J159,'Master Stock'!$D$2:D159,"&lt;&gt;",'Master Stock'!$H$2:H159,"OCCUPIED",'Master Stock'!$K$2:K159,""),"")</f>
        <v/>
      </c>
      <c r="V159" s="149">
        <f>IF(AND('Master Stock'!D159&lt;&gt;"",'Master Stock'!H159="OCCUPIED",ISNUMBER('Master Stock'!L159),'Master Stock'!L159&lt;TODAY()-30),SUMPRODUCT(--('Master Stock'!$D$2:$D$1000&lt;&gt;""),--('Master Stock'!$H$2:$H$1000="OCCUPIED"),--ISNUMBER('Master Stock'!$L$2:$L$1000),--('Master Stock'!$L$2:$L$1000&lt;TODAY()-30),--('Master Stock'!$L$2:$L$1000&lt;'Master Stock'!L159))+COUNTIFS('Master Stock'!$L$2:L159,'Master Stock'!L159,'Master Stock'!$D$2:D159,"&lt;&gt;",'Master Stock'!$H$2:H159,"OCCUPIED"),"")</f>
        <v/>
      </c>
      <c r="W159" s="149" t="n"/>
      <c r="X159" s="149" t="n"/>
      <c r="Y159" s="149" t="n"/>
      <c r="Z159" s="149" t="n"/>
    </row>
    <row r="160" ht="15.75" customHeight="1" s="236">
      <c r="A160" s="148" t="n"/>
      <c r="B160" s="148" t="n"/>
      <c r="C160" s="124" t="n"/>
      <c r="D160" s="148" t="n"/>
      <c r="E160" s="148" t="n"/>
      <c r="F160" s="148" t="n"/>
      <c r="G160" s="124" t="n"/>
      <c r="H160" s="148" t="n"/>
      <c r="I160" s="148" t="n"/>
      <c r="J160" s="148" t="n"/>
      <c r="K160" s="148" t="n"/>
      <c r="L160" s="148" t="n"/>
      <c r="M160" s="148" t="n"/>
      <c r="N160" s="148" t="n"/>
      <c r="O160" s="148" t="n"/>
      <c r="P160" s="148" t="n"/>
      <c r="Q160" s="148" t="n"/>
      <c r="R160" s="148" t="n"/>
      <c r="S160" s="148" t="n"/>
      <c r="T160" s="148" t="n"/>
      <c r="U160" s="149">
        <f>IF(AND('Master Stock'!D160&lt;&gt;"",'Master Stock'!H160="OCCUPIED",ISNUMBER('Master Stock'!J160),'Master Stock'!K160=""),SUMPRODUCT(--('Master Stock'!$D$2:$D$1000&lt;&gt;""),--('Master Stock'!$H$2:$H$1000="OCCUPIED"),--ISNUMBER('Master Stock'!$J$2:$J$1000),--('Master Stock'!$K$2:$K$1000=""),--('Master Stock'!$J$2:$J$1000&lt;'Master Stock'!J160))+COUNTIFS('Master Stock'!$J$2:J160,'Master Stock'!J160,'Master Stock'!$D$2:D160,"&lt;&gt;",'Master Stock'!$H$2:H160,"OCCUPIED",'Master Stock'!$K$2:K160,""),"")</f>
        <v/>
      </c>
      <c r="V160" s="149">
        <f>IF(AND('Master Stock'!D160&lt;&gt;"",'Master Stock'!H160="OCCUPIED",ISNUMBER('Master Stock'!L160),'Master Stock'!L160&lt;TODAY()-30),SUMPRODUCT(--('Master Stock'!$D$2:$D$1000&lt;&gt;""),--('Master Stock'!$H$2:$H$1000="OCCUPIED"),--ISNUMBER('Master Stock'!$L$2:$L$1000),--('Master Stock'!$L$2:$L$1000&lt;TODAY()-30),--('Master Stock'!$L$2:$L$1000&lt;'Master Stock'!L160))+COUNTIFS('Master Stock'!$L$2:L160,'Master Stock'!L160,'Master Stock'!$D$2:D160,"&lt;&gt;",'Master Stock'!$H$2:H160,"OCCUPIED"),"")</f>
        <v/>
      </c>
      <c r="W160" s="149" t="n"/>
      <c r="X160" s="149" t="n"/>
      <c r="Y160" s="149" t="n"/>
      <c r="Z160" s="149" t="n"/>
    </row>
    <row r="161" ht="15.75" customHeight="1" s="236">
      <c r="A161" s="148" t="n"/>
      <c r="B161" s="148" t="n"/>
      <c r="C161" s="124" t="n"/>
      <c r="D161" s="148" t="n"/>
      <c r="E161" s="148" t="n"/>
      <c r="F161" s="148" t="n"/>
      <c r="G161" s="124" t="n"/>
      <c r="H161" s="148" t="n"/>
      <c r="I161" s="148" t="n"/>
      <c r="J161" s="148" t="n"/>
      <c r="K161" s="148" t="n"/>
      <c r="L161" s="148" t="n"/>
      <c r="M161" s="148" t="n"/>
      <c r="N161" s="148" t="n"/>
      <c r="O161" s="148" t="n"/>
      <c r="P161" s="148" t="n"/>
      <c r="Q161" s="148" t="n"/>
      <c r="R161" s="148" t="n"/>
      <c r="S161" s="148" t="n"/>
      <c r="T161" s="148" t="n"/>
      <c r="U161" s="149">
        <f>IF(AND('Master Stock'!D161&lt;&gt;"",'Master Stock'!H161="OCCUPIED",ISNUMBER('Master Stock'!J161),'Master Stock'!K161=""),SUMPRODUCT(--('Master Stock'!$D$2:$D$1000&lt;&gt;""),--('Master Stock'!$H$2:$H$1000="OCCUPIED"),--ISNUMBER('Master Stock'!$J$2:$J$1000),--('Master Stock'!$K$2:$K$1000=""),--('Master Stock'!$J$2:$J$1000&lt;'Master Stock'!J161))+COUNTIFS('Master Stock'!$J$2:J161,'Master Stock'!J161,'Master Stock'!$D$2:D161,"&lt;&gt;",'Master Stock'!$H$2:H161,"OCCUPIED",'Master Stock'!$K$2:K161,""),"")</f>
        <v/>
      </c>
      <c r="V161" s="149">
        <f>IF(AND('Master Stock'!D161&lt;&gt;"",'Master Stock'!H161="OCCUPIED",ISNUMBER('Master Stock'!L161),'Master Stock'!L161&lt;TODAY()-30),SUMPRODUCT(--('Master Stock'!$D$2:$D$1000&lt;&gt;""),--('Master Stock'!$H$2:$H$1000="OCCUPIED"),--ISNUMBER('Master Stock'!$L$2:$L$1000),--('Master Stock'!$L$2:$L$1000&lt;TODAY()-30),--('Master Stock'!$L$2:$L$1000&lt;'Master Stock'!L161))+COUNTIFS('Master Stock'!$L$2:L161,'Master Stock'!L161,'Master Stock'!$D$2:D161,"&lt;&gt;",'Master Stock'!$H$2:H161,"OCCUPIED"),"")</f>
        <v/>
      </c>
      <c r="W161" s="149" t="n"/>
      <c r="X161" s="149" t="n"/>
      <c r="Y161" s="149" t="n"/>
      <c r="Z161" s="149" t="n"/>
    </row>
    <row r="162" ht="15.75" customHeight="1" s="236">
      <c r="A162" s="148" t="n"/>
      <c r="B162" s="148" t="n"/>
      <c r="C162" s="124" t="n"/>
      <c r="D162" s="148" t="n"/>
      <c r="E162" s="148" t="n"/>
      <c r="F162" s="148" t="n"/>
      <c r="G162" s="124" t="n"/>
      <c r="H162" s="148" t="n"/>
      <c r="I162" s="148" t="n"/>
      <c r="J162" s="148" t="n"/>
      <c r="K162" s="148" t="n"/>
      <c r="L162" s="148" t="n"/>
      <c r="M162" s="148" t="n"/>
      <c r="N162" s="148" t="n"/>
      <c r="O162" s="148" t="n"/>
      <c r="P162" s="148" t="n"/>
      <c r="Q162" s="148" t="n"/>
      <c r="R162" s="148" t="n"/>
      <c r="S162" s="148" t="n"/>
      <c r="T162" s="148" t="n"/>
      <c r="U162" s="149">
        <f>IF(AND('Master Stock'!D162&lt;&gt;"",'Master Stock'!H162="OCCUPIED",ISNUMBER('Master Stock'!J162),'Master Stock'!K162=""),SUMPRODUCT(--('Master Stock'!$D$2:$D$1000&lt;&gt;""),--('Master Stock'!$H$2:$H$1000="OCCUPIED"),--ISNUMBER('Master Stock'!$J$2:$J$1000),--('Master Stock'!$K$2:$K$1000=""),--('Master Stock'!$J$2:$J$1000&lt;'Master Stock'!J162))+COUNTIFS('Master Stock'!$J$2:J162,'Master Stock'!J162,'Master Stock'!$D$2:D162,"&lt;&gt;",'Master Stock'!$H$2:H162,"OCCUPIED",'Master Stock'!$K$2:K162,""),"")</f>
        <v/>
      </c>
      <c r="V162" s="149">
        <f>IF(AND('Master Stock'!D162&lt;&gt;"",'Master Stock'!H162="OCCUPIED",ISNUMBER('Master Stock'!L162),'Master Stock'!L162&lt;TODAY()-30),SUMPRODUCT(--('Master Stock'!$D$2:$D$1000&lt;&gt;""),--('Master Stock'!$H$2:$H$1000="OCCUPIED"),--ISNUMBER('Master Stock'!$L$2:$L$1000),--('Master Stock'!$L$2:$L$1000&lt;TODAY()-30),--('Master Stock'!$L$2:$L$1000&lt;'Master Stock'!L162))+COUNTIFS('Master Stock'!$L$2:L162,'Master Stock'!L162,'Master Stock'!$D$2:D162,"&lt;&gt;",'Master Stock'!$H$2:H162,"OCCUPIED"),"")</f>
        <v/>
      </c>
      <c r="W162" s="149" t="n"/>
      <c r="X162" s="149" t="n"/>
      <c r="Y162" s="149" t="n"/>
      <c r="Z162" s="149" t="n"/>
    </row>
    <row r="163" ht="15.75" customHeight="1" s="236">
      <c r="A163" s="148" t="n"/>
      <c r="B163" s="148" t="n"/>
      <c r="C163" s="124" t="n"/>
      <c r="D163" s="148" t="n"/>
      <c r="E163" s="148" t="n"/>
      <c r="F163" s="148" t="n"/>
      <c r="G163" s="124" t="n"/>
      <c r="H163" s="148" t="n"/>
      <c r="I163" s="148" t="n"/>
      <c r="J163" s="148" t="n"/>
      <c r="K163" s="148" t="n"/>
      <c r="L163" s="148" t="n"/>
      <c r="M163" s="148" t="n"/>
      <c r="N163" s="148" t="n"/>
      <c r="O163" s="148" t="n"/>
      <c r="P163" s="148" t="n"/>
      <c r="Q163" s="148" t="n"/>
      <c r="R163" s="148" t="n"/>
      <c r="S163" s="148" t="n"/>
      <c r="T163" s="148" t="n"/>
      <c r="U163" s="149">
        <f>IF(AND('Master Stock'!D163&lt;&gt;"",'Master Stock'!H163="OCCUPIED",ISNUMBER('Master Stock'!J163),'Master Stock'!K163=""),SUMPRODUCT(--('Master Stock'!$D$2:$D$1000&lt;&gt;""),--('Master Stock'!$H$2:$H$1000="OCCUPIED"),--ISNUMBER('Master Stock'!$J$2:$J$1000),--('Master Stock'!$K$2:$K$1000=""),--('Master Stock'!$J$2:$J$1000&lt;'Master Stock'!J163))+COUNTIFS('Master Stock'!$J$2:J163,'Master Stock'!J163,'Master Stock'!$D$2:D163,"&lt;&gt;",'Master Stock'!$H$2:H163,"OCCUPIED",'Master Stock'!$K$2:K163,""),"")</f>
        <v/>
      </c>
      <c r="V163" s="149">
        <f>IF(AND('Master Stock'!D163&lt;&gt;"",'Master Stock'!H163="OCCUPIED",ISNUMBER('Master Stock'!L163),'Master Stock'!L163&lt;TODAY()-30),SUMPRODUCT(--('Master Stock'!$D$2:$D$1000&lt;&gt;""),--('Master Stock'!$H$2:$H$1000="OCCUPIED"),--ISNUMBER('Master Stock'!$L$2:$L$1000),--('Master Stock'!$L$2:$L$1000&lt;TODAY()-30),--('Master Stock'!$L$2:$L$1000&lt;'Master Stock'!L163))+COUNTIFS('Master Stock'!$L$2:L163,'Master Stock'!L163,'Master Stock'!$D$2:D163,"&lt;&gt;",'Master Stock'!$H$2:H163,"OCCUPIED"),"")</f>
        <v/>
      </c>
      <c r="W163" s="149" t="n"/>
      <c r="X163" s="149" t="n"/>
      <c r="Y163" s="149" t="n"/>
      <c r="Z163" s="149" t="n"/>
    </row>
    <row r="164" ht="15.75" customHeight="1" s="236">
      <c r="A164" s="148" t="n"/>
      <c r="B164" s="148" t="n"/>
      <c r="C164" s="124" t="n"/>
      <c r="D164" s="148" t="n"/>
      <c r="E164" s="148" t="n"/>
      <c r="F164" s="148" t="n"/>
      <c r="G164" s="124" t="n"/>
      <c r="H164" s="148" t="n"/>
      <c r="I164" s="148" t="n"/>
      <c r="J164" s="148" t="n"/>
      <c r="K164" s="148" t="n"/>
      <c r="L164" s="148" t="n"/>
      <c r="M164" s="148" t="n"/>
      <c r="N164" s="148" t="n"/>
      <c r="O164" s="148" t="n"/>
      <c r="P164" s="148" t="n"/>
      <c r="Q164" s="148" t="n"/>
      <c r="R164" s="148" t="n"/>
      <c r="S164" s="148" t="n"/>
      <c r="T164" s="148" t="n"/>
      <c r="U164" s="149">
        <f>IF(AND('Master Stock'!D164&lt;&gt;"",'Master Stock'!H164="OCCUPIED",ISNUMBER('Master Stock'!J164),'Master Stock'!K164=""),SUMPRODUCT(--('Master Stock'!$D$2:$D$1000&lt;&gt;""),--('Master Stock'!$H$2:$H$1000="OCCUPIED"),--ISNUMBER('Master Stock'!$J$2:$J$1000),--('Master Stock'!$K$2:$K$1000=""),--('Master Stock'!$J$2:$J$1000&lt;'Master Stock'!J164))+COUNTIFS('Master Stock'!$J$2:J164,'Master Stock'!J164,'Master Stock'!$D$2:D164,"&lt;&gt;",'Master Stock'!$H$2:H164,"OCCUPIED",'Master Stock'!$K$2:K164,""),"")</f>
        <v/>
      </c>
      <c r="V164" s="149">
        <f>IF(AND('Master Stock'!D164&lt;&gt;"",'Master Stock'!H164="OCCUPIED",ISNUMBER('Master Stock'!L164),'Master Stock'!L164&lt;TODAY()-30),SUMPRODUCT(--('Master Stock'!$D$2:$D$1000&lt;&gt;""),--('Master Stock'!$H$2:$H$1000="OCCUPIED"),--ISNUMBER('Master Stock'!$L$2:$L$1000),--('Master Stock'!$L$2:$L$1000&lt;TODAY()-30),--('Master Stock'!$L$2:$L$1000&lt;'Master Stock'!L164))+COUNTIFS('Master Stock'!$L$2:L164,'Master Stock'!L164,'Master Stock'!$D$2:D164,"&lt;&gt;",'Master Stock'!$H$2:H164,"OCCUPIED"),"")</f>
        <v/>
      </c>
      <c r="W164" s="149" t="n"/>
      <c r="X164" s="149" t="n"/>
      <c r="Y164" s="149" t="n"/>
      <c r="Z164" s="149" t="n"/>
    </row>
    <row r="165" ht="15.75" customHeight="1" s="236">
      <c r="A165" s="148" t="n"/>
      <c r="B165" s="148" t="n"/>
      <c r="C165" s="124" t="n"/>
      <c r="D165" s="148" t="n"/>
      <c r="E165" s="148" t="n"/>
      <c r="F165" s="148" t="n"/>
      <c r="G165" s="124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  <c r="R165" s="148" t="n"/>
      <c r="S165" s="148" t="n"/>
      <c r="T165" s="148" t="n"/>
      <c r="U165" s="149">
        <f>IF(AND('Master Stock'!D165&lt;&gt;"",'Master Stock'!H165="OCCUPIED",ISNUMBER('Master Stock'!J165),'Master Stock'!K165=""),SUMPRODUCT(--('Master Stock'!$D$2:$D$1000&lt;&gt;""),--('Master Stock'!$H$2:$H$1000="OCCUPIED"),--ISNUMBER('Master Stock'!$J$2:$J$1000),--('Master Stock'!$K$2:$K$1000=""),--('Master Stock'!$J$2:$J$1000&lt;'Master Stock'!J165))+COUNTIFS('Master Stock'!$J$2:J165,'Master Stock'!J165,'Master Stock'!$D$2:D165,"&lt;&gt;",'Master Stock'!$H$2:H165,"OCCUPIED",'Master Stock'!$K$2:K165,""),"")</f>
        <v/>
      </c>
      <c r="V165" s="149">
        <f>IF(AND('Master Stock'!D165&lt;&gt;"",'Master Stock'!H165="OCCUPIED",ISNUMBER('Master Stock'!L165),'Master Stock'!L165&lt;TODAY()-30),SUMPRODUCT(--('Master Stock'!$D$2:$D$1000&lt;&gt;""),--('Master Stock'!$H$2:$H$1000="OCCUPIED"),--ISNUMBER('Master Stock'!$L$2:$L$1000),--('Master Stock'!$L$2:$L$1000&lt;TODAY()-30),--('Master Stock'!$L$2:$L$1000&lt;'Master Stock'!L165))+COUNTIFS('Master Stock'!$L$2:L165,'Master Stock'!L165,'Master Stock'!$D$2:D165,"&lt;&gt;",'Master Stock'!$H$2:H165,"OCCUPIED"),"")</f>
        <v/>
      </c>
      <c r="W165" s="149" t="n"/>
      <c r="X165" s="149" t="n"/>
      <c r="Y165" s="149" t="n"/>
      <c r="Z165" s="149" t="n"/>
    </row>
    <row r="166" ht="15.75" customHeight="1" s="236">
      <c r="A166" s="148" t="n"/>
      <c r="B166" s="148" t="n"/>
      <c r="C166" s="124" t="n"/>
      <c r="D166" s="148" t="n"/>
      <c r="E166" s="148" t="n"/>
      <c r="F166" s="148" t="n"/>
      <c r="G166" s="124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  <c r="R166" s="148" t="n"/>
      <c r="S166" s="148" t="n"/>
      <c r="T166" s="148" t="n"/>
      <c r="U166" s="149">
        <f>IF(AND('Master Stock'!D166&lt;&gt;"",'Master Stock'!H166="OCCUPIED",ISNUMBER('Master Stock'!J166),'Master Stock'!K166=""),SUMPRODUCT(--('Master Stock'!$D$2:$D$1000&lt;&gt;""),--('Master Stock'!$H$2:$H$1000="OCCUPIED"),--ISNUMBER('Master Stock'!$J$2:$J$1000),--('Master Stock'!$K$2:$K$1000=""),--('Master Stock'!$J$2:$J$1000&lt;'Master Stock'!J166))+COUNTIFS('Master Stock'!$J$2:J166,'Master Stock'!J166,'Master Stock'!$D$2:D166,"&lt;&gt;",'Master Stock'!$H$2:H166,"OCCUPIED",'Master Stock'!$K$2:K166,""),"")</f>
        <v/>
      </c>
      <c r="V166" s="149">
        <f>IF(AND('Master Stock'!D166&lt;&gt;"",'Master Stock'!H166="OCCUPIED",ISNUMBER('Master Stock'!L166),'Master Stock'!L166&lt;TODAY()-30),SUMPRODUCT(--('Master Stock'!$D$2:$D$1000&lt;&gt;""),--('Master Stock'!$H$2:$H$1000="OCCUPIED"),--ISNUMBER('Master Stock'!$L$2:$L$1000),--('Master Stock'!$L$2:$L$1000&lt;TODAY()-30),--('Master Stock'!$L$2:$L$1000&lt;'Master Stock'!L166))+COUNTIFS('Master Stock'!$L$2:L166,'Master Stock'!L166,'Master Stock'!$D$2:D166,"&lt;&gt;",'Master Stock'!$H$2:H166,"OCCUPIED"),"")</f>
        <v/>
      </c>
      <c r="W166" s="149" t="n"/>
      <c r="X166" s="149" t="n"/>
      <c r="Y166" s="149" t="n"/>
      <c r="Z166" s="149" t="n"/>
    </row>
    <row r="167" ht="15.75" customHeight="1" s="236">
      <c r="A167" s="148" t="n"/>
      <c r="B167" s="148" t="n"/>
      <c r="C167" s="124" t="n"/>
      <c r="D167" s="148" t="n"/>
      <c r="E167" s="148" t="n"/>
      <c r="F167" s="148" t="n"/>
      <c r="G167" s="124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  <c r="R167" s="148" t="n"/>
      <c r="S167" s="148" t="n"/>
      <c r="T167" s="148" t="n"/>
      <c r="U167" s="149">
        <f>IF(AND('Master Stock'!D167&lt;&gt;"",'Master Stock'!H167="OCCUPIED",ISNUMBER('Master Stock'!J167),'Master Stock'!K167=""),SUMPRODUCT(--('Master Stock'!$D$2:$D$1000&lt;&gt;""),--('Master Stock'!$H$2:$H$1000="OCCUPIED"),--ISNUMBER('Master Stock'!$J$2:$J$1000),--('Master Stock'!$K$2:$K$1000=""),--('Master Stock'!$J$2:$J$1000&lt;'Master Stock'!J167))+COUNTIFS('Master Stock'!$J$2:J167,'Master Stock'!J167,'Master Stock'!$D$2:D167,"&lt;&gt;",'Master Stock'!$H$2:H167,"OCCUPIED",'Master Stock'!$K$2:K167,""),"")</f>
        <v/>
      </c>
      <c r="V167" s="149">
        <f>IF(AND('Master Stock'!D167&lt;&gt;"",'Master Stock'!H167="OCCUPIED",ISNUMBER('Master Stock'!L167),'Master Stock'!L167&lt;TODAY()-30),SUMPRODUCT(--('Master Stock'!$D$2:$D$1000&lt;&gt;""),--('Master Stock'!$H$2:$H$1000="OCCUPIED"),--ISNUMBER('Master Stock'!$L$2:$L$1000),--('Master Stock'!$L$2:$L$1000&lt;TODAY()-30),--('Master Stock'!$L$2:$L$1000&lt;'Master Stock'!L167))+COUNTIFS('Master Stock'!$L$2:L167,'Master Stock'!L167,'Master Stock'!$D$2:D167,"&lt;&gt;",'Master Stock'!$H$2:H167,"OCCUPIED"),"")</f>
        <v/>
      </c>
      <c r="W167" s="149" t="n"/>
      <c r="X167" s="149" t="n"/>
      <c r="Y167" s="149" t="n"/>
      <c r="Z167" s="149" t="n"/>
    </row>
    <row r="168" ht="15.75" customHeight="1" s="236">
      <c r="A168" s="148" t="n"/>
      <c r="B168" s="148" t="n"/>
      <c r="C168" s="124" t="n"/>
      <c r="D168" s="148" t="n"/>
      <c r="E168" s="148" t="n"/>
      <c r="F168" s="148" t="n"/>
      <c r="G168" s="124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  <c r="R168" s="148" t="n"/>
      <c r="S168" s="148" t="n"/>
      <c r="T168" s="148" t="n"/>
      <c r="U168" s="149">
        <f>IF(AND('Master Stock'!D168&lt;&gt;"",'Master Stock'!H168="OCCUPIED",ISNUMBER('Master Stock'!J168),'Master Stock'!K168=""),SUMPRODUCT(--('Master Stock'!$D$2:$D$1000&lt;&gt;""),--('Master Stock'!$H$2:$H$1000="OCCUPIED"),--ISNUMBER('Master Stock'!$J$2:$J$1000),--('Master Stock'!$K$2:$K$1000=""),--('Master Stock'!$J$2:$J$1000&lt;'Master Stock'!J168))+COUNTIFS('Master Stock'!$J$2:J168,'Master Stock'!J168,'Master Stock'!$D$2:D168,"&lt;&gt;",'Master Stock'!$H$2:H168,"OCCUPIED",'Master Stock'!$K$2:K168,""),"")</f>
        <v/>
      </c>
      <c r="V168" s="149">
        <f>IF(AND('Master Stock'!D168&lt;&gt;"",'Master Stock'!H168="OCCUPIED",ISNUMBER('Master Stock'!L168),'Master Stock'!L168&lt;TODAY()-30),SUMPRODUCT(--('Master Stock'!$D$2:$D$1000&lt;&gt;""),--('Master Stock'!$H$2:$H$1000="OCCUPIED"),--ISNUMBER('Master Stock'!$L$2:$L$1000),--('Master Stock'!$L$2:$L$1000&lt;TODAY()-30),--('Master Stock'!$L$2:$L$1000&lt;'Master Stock'!L168))+COUNTIFS('Master Stock'!$L$2:L168,'Master Stock'!L168,'Master Stock'!$D$2:D168,"&lt;&gt;",'Master Stock'!$H$2:H168,"OCCUPIED"),"")</f>
        <v/>
      </c>
      <c r="W168" s="149" t="n"/>
      <c r="X168" s="149" t="n"/>
      <c r="Y168" s="149" t="n"/>
      <c r="Z168" s="149" t="n"/>
    </row>
    <row r="169" ht="15.75" customHeight="1" s="236">
      <c r="A169" s="148" t="n"/>
      <c r="B169" s="148" t="n"/>
      <c r="C169" s="124" t="n"/>
      <c r="D169" s="148" t="n"/>
      <c r="E169" s="148" t="n"/>
      <c r="F169" s="148" t="n"/>
      <c r="G169" s="124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  <c r="R169" s="148" t="n"/>
      <c r="S169" s="148" t="n"/>
      <c r="T169" s="148" t="n"/>
      <c r="U169" s="149">
        <f>IF(AND('Master Stock'!D169&lt;&gt;"",'Master Stock'!H169="OCCUPIED",ISNUMBER('Master Stock'!J169),'Master Stock'!K169=""),SUMPRODUCT(--('Master Stock'!$D$2:$D$1000&lt;&gt;""),--('Master Stock'!$H$2:$H$1000="OCCUPIED"),--ISNUMBER('Master Stock'!$J$2:$J$1000),--('Master Stock'!$K$2:$K$1000=""),--('Master Stock'!$J$2:$J$1000&lt;'Master Stock'!J169))+COUNTIFS('Master Stock'!$J$2:J169,'Master Stock'!J169,'Master Stock'!$D$2:D169,"&lt;&gt;",'Master Stock'!$H$2:H169,"OCCUPIED",'Master Stock'!$K$2:K169,""),"")</f>
        <v/>
      </c>
      <c r="V169" s="149">
        <f>IF(AND('Master Stock'!D169&lt;&gt;"",'Master Stock'!H169="OCCUPIED",ISNUMBER('Master Stock'!L169),'Master Stock'!L169&lt;TODAY()-30),SUMPRODUCT(--('Master Stock'!$D$2:$D$1000&lt;&gt;""),--('Master Stock'!$H$2:$H$1000="OCCUPIED"),--ISNUMBER('Master Stock'!$L$2:$L$1000),--('Master Stock'!$L$2:$L$1000&lt;TODAY()-30),--('Master Stock'!$L$2:$L$1000&lt;'Master Stock'!L169))+COUNTIFS('Master Stock'!$L$2:L169,'Master Stock'!L169,'Master Stock'!$D$2:D169,"&lt;&gt;",'Master Stock'!$H$2:H169,"OCCUPIED"),"")</f>
        <v/>
      </c>
      <c r="W169" s="149" t="n"/>
      <c r="X169" s="149" t="n"/>
      <c r="Y169" s="149" t="n"/>
      <c r="Z169" s="149" t="n"/>
    </row>
    <row r="170" ht="15.75" customHeight="1" s="236">
      <c r="A170" s="148" t="n"/>
      <c r="B170" s="148" t="n"/>
      <c r="C170" s="124" t="n"/>
      <c r="D170" s="148" t="n"/>
      <c r="E170" s="148" t="n"/>
      <c r="F170" s="148" t="n"/>
      <c r="G170" s="124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  <c r="R170" s="148" t="n"/>
      <c r="S170" s="148" t="n"/>
      <c r="T170" s="148" t="n"/>
      <c r="U170" s="149">
        <f>IF(AND('Master Stock'!D170&lt;&gt;"",'Master Stock'!H170="OCCUPIED",ISNUMBER('Master Stock'!J170),'Master Stock'!K170=""),SUMPRODUCT(--('Master Stock'!$D$2:$D$1000&lt;&gt;""),--('Master Stock'!$H$2:$H$1000="OCCUPIED"),--ISNUMBER('Master Stock'!$J$2:$J$1000),--('Master Stock'!$K$2:$K$1000=""),--('Master Stock'!$J$2:$J$1000&lt;'Master Stock'!J170))+COUNTIFS('Master Stock'!$J$2:J170,'Master Stock'!J170,'Master Stock'!$D$2:D170,"&lt;&gt;",'Master Stock'!$H$2:H170,"OCCUPIED",'Master Stock'!$K$2:K170,""),"")</f>
        <v/>
      </c>
      <c r="V170" s="149">
        <f>IF(AND('Master Stock'!D170&lt;&gt;"",'Master Stock'!H170="OCCUPIED",ISNUMBER('Master Stock'!L170),'Master Stock'!L170&lt;TODAY()-30),SUMPRODUCT(--('Master Stock'!$D$2:$D$1000&lt;&gt;""),--('Master Stock'!$H$2:$H$1000="OCCUPIED"),--ISNUMBER('Master Stock'!$L$2:$L$1000),--('Master Stock'!$L$2:$L$1000&lt;TODAY()-30),--('Master Stock'!$L$2:$L$1000&lt;'Master Stock'!L170))+COUNTIFS('Master Stock'!$L$2:L170,'Master Stock'!L170,'Master Stock'!$D$2:D170,"&lt;&gt;",'Master Stock'!$H$2:H170,"OCCUPIED"),"")</f>
        <v/>
      </c>
      <c r="W170" s="149" t="n"/>
      <c r="X170" s="149" t="n"/>
      <c r="Y170" s="149" t="n"/>
      <c r="Z170" s="149" t="n"/>
    </row>
    <row r="171" ht="15.75" customHeight="1" s="236">
      <c r="A171" s="148" t="n"/>
      <c r="B171" s="148" t="n"/>
      <c r="C171" s="124" t="n"/>
      <c r="D171" s="148" t="n"/>
      <c r="E171" s="148" t="n"/>
      <c r="F171" s="148" t="n"/>
      <c r="G171" s="124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  <c r="R171" s="148" t="n"/>
      <c r="S171" s="148" t="n"/>
      <c r="T171" s="148" t="n"/>
      <c r="U171" s="149">
        <f>IF(AND('Master Stock'!D171&lt;&gt;"",'Master Stock'!H171="OCCUPIED",ISNUMBER('Master Stock'!J171),'Master Stock'!K171=""),SUMPRODUCT(--('Master Stock'!$D$2:$D$1000&lt;&gt;""),--('Master Stock'!$H$2:$H$1000="OCCUPIED"),--ISNUMBER('Master Stock'!$J$2:$J$1000),--('Master Stock'!$K$2:$K$1000=""),--('Master Stock'!$J$2:$J$1000&lt;'Master Stock'!J171))+COUNTIFS('Master Stock'!$J$2:J171,'Master Stock'!J171,'Master Stock'!$D$2:D171,"&lt;&gt;",'Master Stock'!$H$2:H171,"OCCUPIED",'Master Stock'!$K$2:K171,""),"")</f>
        <v/>
      </c>
      <c r="V171" s="149">
        <f>IF(AND('Master Stock'!D171&lt;&gt;"",'Master Stock'!H171="OCCUPIED",ISNUMBER('Master Stock'!L171),'Master Stock'!L171&lt;TODAY()-30),SUMPRODUCT(--('Master Stock'!$D$2:$D$1000&lt;&gt;""),--('Master Stock'!$H$2:$H$1000="OCCUPIED"),--ISNUMBER('Master Stock'!$L$2:$L$1000),--('Master Stock'!$L$2:$L$1000&lt;TODAY()-30),--('Master Stock'!$L$2:$L$1000&lt;'Master Stock'!L171))+COUNTIFS('Master Stock'!$L$2:L171,'Master Stock'!L171,'Master Stock'!$D$2:D171,"&lt;&gt;",'Master Stock'!$H$2:H171,"OCCUPIED"),"")</f>
        <v/>
      </c>
      <c r="W171" s="149" t="n"/>
      <c r="X171" s="149" t="n"/>
      <c r="Y171" s="149" t="n"/>
      <c r="Z171" s="149" t="n"/>
    </row>
    <row r="172" ht="15.75" customHeight="1" s="236">
      <c r="A172" s="148" t="n"/>
      <c r="B172" s="148" t="n"/>
      <c r="C172" s="124" t="n"/>
      <c r="D172" s="148" t="n"/>
      <c r="E172" s="148" t="n"/>
      <c r="F172" s="148" t="n"/>
      <c r="G172" s="124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  <c r="R172" s="148" t="n"/>
      <c r="S172" s="148" t="n"/>
      <c r="T172" s="148" t="n"/>
      <c r="U172" s="149">
        <f>IF(AND('Master Stock'!D172&lt;&gt;"",'Master Stock'!H172="OCCUPIED",ISNUMBER('Master Stock'!J172),'Master Stock'!K172=""),SUMPRODUCT(--('Master Stock'!$D$2:$D$1000&lt;&gt;""),--('Master Stock'!$H$2:$H$1000="OCCUPIED"),--ISNUMBER('Master Stock'!$J$2:$J$1000),--('Master Stock'!$K$2:$K$1000=""),--('Master Stock'!$J$2:$J$1000&lt;'Master Stock'!J172))+COUNTIFS('Master Stock'!$J$2:J172,'Master Stock'!J172,'Master Stock'!$D$2:D172,"&lt;&gt;",'Master Stock'!$H$2:H172,"OCCUPIED",'Master Stock'!$K$2:K172,""),"")</f>
        <v/>
      </c>
      <c r="V172" s="149">
        <f>IF(AND('Master Stock'!D172&lt;&gt;"",'Master Stock'!H172="OCCUPIED",ISNUMBER('Master Stock'!L172),'Master Stock'!L172&lt;TODAY()-30),SUMPRODUCT(--('Master Stock'!$D$2:$D$1000&lt;&gt;""),--('Master Stock'!$H$2:$H$1000="OCCUPIED"),--ISNUMBER('Master Stock'!$L$2:$L$1000),--('Master Stock'!$L$2:$L$1000&lt;TODAY()-30),--('Master Stock'!$L$2:$L$1000&lt;'Master Stock'!L172))+COUNTIFS('Master Stock'!$L$2:L172,'Master Stock'!L172,'Master Stock'!$D$2:D172,"&lt;&gt;",'Master Stock'!$H$2:H172,"OCCUPIED"),"")</f>
        <v/>
      </c>
      <c r="W172" s="149" t="n"/>
      <c r="X172" s="149" t="n"/>
      <c r="Y172" s="149" t="n"/>
      <c r="Z172" s="149" t="n"/>
    </row>
    <row r="173" ht="15.75" customHeight="1" s="236">
      <c r="A173" s="148" t="n"/>
      <c r="B173" s="148" t="n"/>
      <c r="C173" s="124" t="n"/>
      <c r="D173" s="148" t="n"/>
      <c r="E173" s="148" t="n"/>
      <c r="F173" s="148" t="n"/>
      <c r="G173" s="124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  <c r="R173" s="148" t="n"/>
      <c r="S173" s="148" t="n"/>
      <c r="T173" s="148" t="n"/>
      <c r="U173" s="149">
        <f>IF(AND('Master Stock'!D173&lt;&gt;"",'Master Stock'!H173="OCCUPIED",ISNUMBER('Master Stock'!J173),'Master Stock'!K173=""),SUMPRODUCT(--('Master Stock'!$D$2:$D$1000&lt;&gt;""),--('Master Stock'!$H$2:$H$1000="OCCUPIED"),--ISNUMBER('Master Stock'!$J$2:$J$1000),--('Master Stock'!$K$2:$K$1000=""),--('Master Stock'!$J$2:$J$1000&lt;'Master Stock'!J173))+COUNTIFS('Master Stock'!$J$2:J173,'Master Stock'!J173,'Master Stock'!$D$2:D173,"&lt;&gt;",'Master Stock'!$H$2:H173,"OCCUPIED",'Master Stock'!$K$2:K173,""),"")</f>
        <v/>
      </c>
      <c r="V173" s="149">
        <f>IF(AND('Master Stock'!D173&lt;&gt;"",'Master Stock'!H173="OCCUPIED",ISNUMBER('Master Stock'!L173),'Master Stock'!L173&lt;TODAY()-30),SUMPRODUCT(--('Master Stock'!$D$2:$D$1000&lt;&gt;""),--('Master Stock'!$H$2:$H$1000="OCCUPIED"),--ISNUMBER('Master Stock'!$L$2:$L$1000),--('Master Stock'!$L$2:$L$1000&lt;TODAY()-30),--('Master Stock'!$L$2:$L$1000&lt;'Master Stock'!L173))+COUNTIFS('Master Stock'!$L$2:L173,'Master Stock'!L173,'Master Stock'!$D$2:D173,"&lt;&gt;",'Master Stock'!$H$2:H173,"OCCUPIED"),"")</f>
        <v/>
      </c>
      <c r="W173" s="149" t="n"/>
      <c r="X173" s="149" t="n"/>
      <c r="Y173" s="149" t="n"/>
      <c r="Z173" s="149" t="n"/>
    </row>
    <row r="174" ht="15.75" customHeight="1" s="236">
      <c r="A174" s="148" t="n"/>
      <c r="B174" s="148" t="n"/>
      <c r="C174" s="124" t="n"/>
      <c r="D174" s="148" t="n"/>
      <c r="E174" s="148" t="n"/>
      <c r="F174" s="148" t="n"/>
      <c r="G174" s="124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  <c r="R174" s="148" t="n"/>
      <c r="S174" s="148" t="n"/>
      <c r="T174" s="148" t="n"/>
      <c r="U174" s="149">
        <f>IF(AND('Master Stock'!D174&lt;&gt;"",'Master Stock'!H174="OCCUPIED",ISNUMBER('Master Stock'!J174),'Master Stock'!K174=""),SUMPRODUCT(--('Master Stock'!$D$2:$D$1000&lt;&gt;""),--('Master Stock'!$H$2:$H$1000="OCCUPIED"),--ISNUMBER('Master Stock'!$J$2:$J$1000),--('Master Stock'!$K$2:$K$1000=""),--('Master Stock'!$J$2:$J$1000&lt;'Master Stock'!J174))+COUNTIFS('Master Stock'!$J$2:J174,'Master Stock'!J174,'Master Stock'!$D$2:D174,"&lt;&gt;",'Master Stock'!$H$2:H174,"OCCUPIED",'Master Stock'!$K$2:K174,""),"")</f>
        <v/>
      </c>
      <c r="V174" s="149">
        <f>IF(AND('Master Stock'!D174&lt;&gt;"",'Master Stock'!H174="OCCUPIED",ISNUMBER('Master Stock'!L174),'Master Stock'!L174&lt;TODAY()-30),SUMPRODUCT(--('Master Stock'!$D$2:$D$1000&lt;&gt;""),--('Master Stock'!$H$2:$H$1000="OCCUPIED"),--ISNUMBER('Master Stock'!$L$2:$L$1000),--('Master Stock'!$L$2:$L$1000&lt;TODAY()-30),--('Master Stock'!$L$2:$L$1000&lt;'Master Stock'!L174))+COUNTIFS('Master Stock'!$L$2:L174,'Master Stock'!L174,'Master Stock'!$D$2:D174,"&lt;&gt;",'Master Stock'!$H$2:H174,"OCCUPIED"),"")</f>
        <v/>
      </c>
      <c r="W174" s="149" t="n"/>
      <c r="X174" s="149" t="n"/>
      <c r="Y174" s="149" t="n"/>
      <c r="Z174" s="149" t="n"/>
    </row>
    <row r="175" ht="15.75" customHeight="1" s="236">
      <c r="A175" s="148" t="n"/>
      <c r="B175" s="148" t="n"/>
      <c r="C175" s="124" t="n"/>
      <c r="D175" s="148" t="n"/>
      <c r="E175" s="148" t="n"/>
      <c r="F175" s="148" t="n"/>
      <c r="G175" s="124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  <c r="R175" s="148" t="n"/>
      <c r="S175" s="148" t="n"/>
      <c r="T175" s="148" t="n"/>
      <c r="U175" s="149">
        <f>IF(AND('Master Stock'!D175&lt;&gt;"",'Master Stock'!H175="OCCUPIED",ISNUMBER('Master Stock'!J175),'Master Stock'!K175=""),SUMPRODUCT(--('Master Stock'!$D$2:$D$1000&lt;&gt;""),--('Master Stock'!$H$2:$H$1000="OCCUPIED"),--ISNUMBER('Master Stock'!$J$2:$J$1000),--('Master Stock'!$K$2:$K$1000=""),--('Master Stock'!$J$2:$J$1000&lt;'Master Stock'!J175))+COUNTIFS('Master Stock'!$J$2:J175,'Master Stock'!J175,'Master Stock'!$D$2:D175,"&lt;&gt;",'Master Stock'!$H$2:H175,"OCCUPIED",'Master Stock'!$K$2:K175,""),"")</f>
        <v/>
      </c>
      <c r="V175" s="149">
        <f>IF(AND('Master Stock'!D175&lt;&gt;"",'Master Stock'!H175="OCCUPIED",ISNUMBER('Master Stock'!L175),'Master Stock'!L175&lt;TODAY()-30),SUMPRODUCT(--('Master Stock'!$D$2:$D$1000&lt;&gt;""),--('Master Stock'!$H$2:$H$1000="OCCUPIED"),--ISNUMBER('Master Stock'!$L$2:$L$1000),--('Master Stock'!$L$2:$L$1000&lt;TODAY()-30),--('Master Stock'!$L$2:$L$1000&lt;'Master Stock'!L175))+COUNTIFS('Master Stock'!$L$2:L175,'Master Stock'!L175,'Master Stock'!$D$2:D175,"&lt;&gt;",'Master Stock'!$H$2:H175,"OCCUPIED"),"")</f>
        <v/>
      </c>
      <c r="W175" s="149" t="n"/>
      <c r="X175" s="149" t="n"/>
      <c r="Y175" s="149" t="n"/>
      <c r="Z175" s="149" t="n"/>
    </row>
    <row r="176" ht="15.75" customHeight="1" s="236">
      <c r="A176" s="148" t="n"/>
      <c r="B176" s="148" t="n"/>
      <c r="C176" s="124" t="n"/>
      <c r="D176" s="148" t="n"/>
      <c r="E176" s="148" t="n"/>
      <c r="F176" s="148" t="n"/>
      <c r="G176" s="124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  <c r="R176" s="148" t="n"/>
      <c r="S176" s="148" t="n"/>
      <c r="T176" s="148" t="n"/>
      <c r="U176" s="149">
        <f>IF(AND('Master Stock'!D176&lt;&gt;"",'Master Stock'!H176="OCCUPIED",ISNUMBER('Master Stock'!J176),'Master Stock'!K176=""),SUMPRODUCT(--('Master Stock'!$D$2:$D$1000&lt;&gt;""),--('Master Stock'!$H$2:$H$1000="OCCUPIED"),--ISNUMBER('Master Stock'!$J$2:$J$1000),--('Master Stock'!$K$2:$K$1000=""),--('Master Stock'!$J$2:$J$1000&lt;'Master Stock'!J176))+COUNTIFS('Master Stock'!$J$2:J176,'Master Stock'!J176,'Master Stock'!$D$2:D176,"&lt;&gt;",'Master Stock'!$H$2:H176,"OCCUPIED",'Master Stock'!$K$2:K176,""),"")</f>
        <v/>
      </c>
      <c r="V176" s="149">
        <f>IF(AND('Master Stock'!D176&lt;&gt;"",'Master Stock'!H176="OCCUPIED",ISNUMBER('Master Stock'!L176),'Master Stock'!L176&lt;TODAY()-30),SUMPRODUCT(--('Master Stock'!$D$2:$D$1000&lt;&gt;""),--('Master Stock'!$H$2:$H$1000="OCCUPIED"),--ISNUMBER('Master Stock'!$L$2:$L$1000),--('Master Stock'!$L$2:$L$1000&lt;TODAY()-30),--('Master Stock'!$L$2:$L$1000&lt;'Master Stock'!L176))+COUNTIFS('Master Stock'!$L$2:L176,'Master Stock'!L176,'Master Stock'!$D$2:D176,"&lt;&gt;",'Master Stock'!$H$2:H176,"OCCUPIED"),"")</f>
        <v/>
      </c>
      <c r="W176" s="149" t="n"/>
      <c r="X176" s="149" t="n"/>
      <c r="Y176" s="149" t="n"/>
      <c r="Z176" s="149" t="n"/>
    </row>
    <row r="177" ht="15.75" customHeight="1" s="236">
      <c r="A177" s="148" t="n"/>
      <c r="B177" s="148" t="n"/>
      <c r="C177" s="124" t="n"/>
      <c r="D177" s="148" t="n"/>
      <c r="E177" s="148" t="n"/>
      <c r="F177" s="148" t="n"/>
      <c r="G177" s="124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  <c r="R177" s="148" t="n"/>
      <c r="S177" s="148" t="n"/>
      <c r="T177" s="148" t="n"/>
      <c r="U177" s="149">
        <f>IF(AND('Master Stock'!D177&lt;&gt;"",'Master Stock'!H177="OCCUPIED",ISNUMBER('Master Stock'!J177),'Master Stock'!K177=""),SUMPRODUCT(--('Master Stock'!$D$2:$D$1000&lt;&gt;""),--('Master Stock'!$H$2:$H$1000="OCCUPIED"),--ISNUMBER('Master Stock'!$J$2:$J$1000),--('Master Stock'!$K$2:$K$1000=""),--('Master Stock'!$J$2:$J$1000&lt;'Master Stock'!J177))+COUNTIFS('Master Stock'!$J$2:J177,'Master Stock'!J177,'Master Stock'!$D$2:D177,"&lt;&gt;",'Master Stock'!$H$2:H177,"OCCUPIED",'Master Stock'!$K$2:K177,""),"")</f>
        <v/>
      </c>
      <c r="V177" s="149">
        <f>IF(AND('Master Stock'!D177&lt;&gt;"",'Master Stock'!H177="OCCUPIED",ISNUMBER('Master Stock'!L177),'Master Stock'!L177&lt;TODAY()-30),SUMPRODUCT(--('Master Stock'!$D$2:$D$1000&lt;&gt;""),--('Master Stock'!$H$2:$H$1000="OCCUPIED"),--ISNUMBER('Master Stock'!$L$2:$L$1000),--('Master Stock'!$L$2:$L$1000&lt;TODAY()-30),--('Master Stock'!$L$2:$L$1000&lt;'Master Stock'!L177))+COUNTIFS('Master Stock'!$L$2:L177,'Master Stock'!L177,'Master Stock'!$D$2:D177,"&lt;&gt;",'Master Stock'!$H$2:H177,"OCCUPIED"),"")</f>
        <v/>
      </c>
      <c r="W177" s="149" t="n"/>
      <c r="X177" s="149" t="n"/>
      <c r="Y177" s="149" t="n"/>
      <c r="Z177" s="149" t="n"/>
    </row>
    <row r="178" ht="15.75" customHeight="1" s="236">
      <c r="A178" s="148" t="n"/>
      <c r="B178" s="148" t="n"/>
      <c r="C178" s="124" t="n"/>
      <c r="D178" s="148" t="n"/>
      <c r="E178" s="148" t="n"/>
      <c r="F178" s="148" t="n"/>
      <c r="G178" s="124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  <c r="R178" s="148" t="n"/>
      <c r="S178" s="148" t="n"/>
      <c r="T178" s="148" t="n"/>
      <c r="U178" s="149">
        <f>IF(AND('Master Stock'!D178&lt;&gt;"",'Master Stock'!H178="OCCUPIED",ISNUMBER('Master Stock'!J178),'Master Stock'!K178=""),SUMPRODUCT(--('Master Stock'!$D$2:$D$1000&lt;&gt;""),--('Master Stock'!$H$2:$H$1000="OCCUPIED"),--ISNUMBER('Master Stock'!$J$2:$J$1000),--('Master Stock'!$K$2:$K$1000=""),--('Master Stock'!$J$2:$J$1000&lt;'Master Stock'!J178))+COUNTIFS('Master Stock'!$J$2:J178,'Master Stock'!J178,'Master Stock'!$D$2:D178,"&lt;&gt;",'Master Stock'!$H$2:H178,"OCCUPIED",'Master Stock'!$K$2:K178,""),"")</f>
        <v/>
      </c>
      <c r="V178" s="149">
        <f>IF(AND('Master Stock'!D178&lt;&gt;"",'Master Stock'!H178="OCCUPIED",ISNUMBER('Master Stock'!L178),'Master Stock'!L178&lt;TODAY()-30),SUMPRODUCT(--('Master Stock'!$D$2:$D$1000&lt;&gt;""),--('Master Stock'!$H$2:$H$1000="OCCUPIED"),--ISNUMBER('Master Stock'!$L$2:$L$1000),--('Master Stock'!$L$2:$L$1000&lt;TODAY()-30),--('Master Stock'!$L$2:$L$1000&lt;'Master Stock'!L178))+COUNTIFS('Master Stock'!$L$2:L178,'Master Stock'!L178,'Master Stock'!$D$2:D178,"&lt;&gt;",'Master Stock'!$H$2:H178,"OCCUPIED"),"")</f>
        <v/>
      </c>
      <c r="W178" s="149" t="n"/>
      <c r="X178" s="149" t="n"/>
      <c r="Y178" s="149" t="n"/>
      <c r="Z178" s="149" t="n"/>
    </row>
    <row r="179" ht="15.75" customHeight="1" s="236">
      <c r="A179" s="148" t="n"/>
      <c r="B179" s="148" t="n"/>
      <c r="C179" s="124" t="n"/>
      <c r="D179" s="148" t="n"/>
      <c r="E179" s="148" t="n"/>
      <c r="F179" s="148" t="n"/>
      <c r="G179" s="124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  <c r="R179" s="148" t="n"/>
      <c r="S179" s="148" t="n"/>
      <c r="T179" s="148" t="n"/>
      <c r="U179" s="149">
        <f>IF(AND('Master Stock'!D179&lt;&gt;"",'Master Stock'!H179="OCCUPIED",ISNUMBER('Master Stock'!J179),'Master Stock'!K179=""),SUMPRODUCT(--('Master Stock'!$D$2:$D$1000&lt;&gt;""),--('Master Stock'!$H$2:$H$1000="OCCUPIED"),--ISNUMBER('Master Stock'!$J$2:$J$1000),--('Master Stock'!$K$2:$K$1000=""),--('Master Stock'!$J$2:$J$1000&lt;'Master Stock'!J179))+COUNTIFS('Master Stock'!$J$2:J179,'Master Stock'!J179,'Master Stock'!$D$2:D179,"&lt;&gt;",'Master Stock'!$H$2:H179,"OCCUPIED",'Master Stock'!$K$2:K179,""),"")</f>
        <v/>
      </c>
      <c r="V179" s="149">
        <f>IF(AND('Master Stock'!D179&lt;&gt;"",'Master Stock'!H179="OCCUPIED",ISNUMBER('Master Stock'!L179),'Master Stock'!L179&lt;TODAY()-30),SUMPRODUCT(--('Master Stock'!$D$2:$D$1000&lt;&gt;""),--('Master Stock'!$H$2:$H$1000="OCCUPIED"),--ISNUMBER('Master Stock'!$L$2:$L$1000),--('Master Stock'!$L$2:$L$1000&lt;TODAY()-30),--('Master Stock'!$L$2:$L$1000&lt;'Master Stock'!L179))+COUNTIFS('Master Stock'!$L$2:L179,'Master Stock'!L179,'Master Stock'!$D$2:D179,"&lt;&gt;",'Master Stock'!$H$2:H179,"OCCUPIED"),"")</f>
        <v/>
      </c>
      <c r="W179" s="149" t="n"/>
      <c r="X179" s="149" t="n"/>
      <c r="Y179" s="149" t="n"/>
      <c r="Z179" s="149" t="n"/>
    </row>
    <row r="180" ht="15.75" customHeight="1" s="236">
      <c r="A180" s="148" t="n"/>
      <c r="B180" s="148" t="n"/>
      <c r="C180" s="124" t="n"/>
      <c r="D180" s="148" t="n"/>
      <c r="E180" s="148" t="n"/>
      <c r="F180" s="148" t="n"/>
      <c r="G180" s="124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  <c r="R180" s="148" t="n"/>
      <c r="S180" s="148" t="n"/>
      <c r="T180" s="148" t="n"/>
      <c r="U180" s="149">
        <f>IF(AND('Master Stock'!D180&lt;&gt;"",'Master Stock'!H180="OCCUPIED",ISNUMBER('Master Stock'!J180),'Master Stock'!K180=""),SUMPRODUCT(--('Master Stock'!$D$2:$D$1000&lt;&gt;""),--('Master Stock'!$H$2:$H$1000="OCCUPIED"),--ISNUMBER('Master Stock'!$J$2:$J$1000),--('Master Stock'!$K$2:$K$1000=""),--('Master Stock'!$J$2:$J$1000&lt;'Master Stock'!J180))+COUNTIFS('Master Stock'!$J$2:J180,'Master Stock'!J180,'Master Stock'!$D$2:D180,"&lt;&gt;",'Master Stock'!$H$2:H180,"OCCUPIED",'Master Stock'!$K$2:K180,""),"")</f>
        <v/>
      </c>
      <c r="V180" s="149">
        <f>IF(AND('Master Stock'!D180&lt;&gt;"",'Master Stock'!H180="OCCUPIED",ISNUMBER('Master Stock'!L180),'Master Stock'!L180&lt;TODAY()-30),SUMPRODUCT(--('Master Stock'!$D$2:$D$1000&lt;&gt;""),--('Master Stock'!$H$2:$H$1000="OCCUPIED"),--ISNUMBER('Master Stock'!$L$2:$L$1000),--('Master Stock'!$L$2:$L$1000&lt;TODAY()-30),--('Master Stock'!$L$2:$L$1000&lt;'Master Stock'!L180))+COUNTIFS('Master Stock'!$L$2:L180,'Master Stock'!L180,'Master Stock'!$D$2:D180,"&lt;&gt;",'Master Stock'!$H$2:H180,"OCCUPIED"),"")</f>
        <v/>
      </c>
      <c r="W180" s="149" t="n"/>
      <c r="X180" s="149" t="n"/>
      <c r="Y180" s="149" t="n"/>
      <c r="Z180" s="149" t="n"/>
    </row>
    <row r="181" ht="15.75" customHeight="1" s="236">
      <c r="A181" s="148" t="n"/>
      <c r="B181" s="148" t="n"/>
      <c r="C181" s="124" t="n"/>
      <c r="D181" s="148" t="n"/>
      <c r="E181" s="148" t="n"/>
      <c r="F181" s="148" t="n"/>
      <c r="G181" s="124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  <c r="R181" s="148" t="n"/>
      <c r="S181" s="148" t="n"/>
      <c r="T181" s="148" t="n"/>
      <c r="U181" s="149">
        <f>IF(AND('Master Stock'!D181&lt;&gt;"",'Master Stock'!H181="OCCUPIED",ISNUMBER('Master Stock'!J181),'Master Stock'!K181=""),SUMPRODUCT(--('Master Stock'!$D$2:$D$1000&lt;&gt;""),--('Master Stock'!$H$2:$H$1000="OCCUPIED"),--ISNUMBER('Master Stock'!$J$2:$J$1000),--('Master Stock'!$K$2:$K$1000=""),--('Master Stock'!$J$2:$J$1000&lt;'Master Stock'!J181))+COUNTIFS('Master Stock'!$J$2:J181,'Master Stock'!J181,'Master Stock'!$D$2:D181,"&lt;&gt;",'Master Stock'!$H$2:H181,"OCCUPIED",'Master Stock'!$K$2:K181,""),"")</f>
        <v/>
      </c>
      <c r="V181" s="149">
        <f>IF(AND('Master Stock'!D181&lt;&gt;"",'Master Stock'!H181="OCCUPIED",ISNUMBER('Master Stock'!L181),'Master Stock'!L181&lt;TODAY()-30),SUMPRODUCT(--('Master Stock'!$D$2:$D$1000&lt;&gt;""),--('Master Stock'!$H$2:$H$1000="OCCUPIED"),--ISNUMBER('Master Stock'!$L$2:$L$1000),--('Master Stock'!$L$2:$L$1000&lt;TODAY()-30),--('Master Stock'!$L$2:$L$1000&lt;'Master Stock'!L181))+COUNTIFS('Master Stock'!$L$2:L181,'Master Stock'!L181,'Master Stock'!$D$2:D181,"&lt;&gt;",'Master Stock'!$H$2:H181,"OCCUPIED"),"")</f>
        <v/>
      </c>
      <c r="W181" s="149" t="n"/>
      <c r="X181" s="149" t="n"/>
      <c r="Y181" s="149" t="n"/>
      <c r="Z181" s="149" t="n"/>
    </row>
    <row r="182" ht="15.75" customHeight="1" s="236">
      <c r="A182" s="148" t="n"/>
      <c r="B182" s="148" t="n"/>
      <c r="C182" s="124" t="n"/>
      <c r="D182" s="148" t="n"/>
      <c r="E182" s="148" t="n"/>
      <c r="F182" s="148" t="n"/>
      <c r="G182" s="124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  <c r="R182" s="148" t="n"/>
      <c r="S182" s="148" t="n"/>
      <c r="T182" s="148" t="n"/>
      <c r="U182" s="149">
        <f>IF(AND('Master Stock'!D182&lt;&gt;"",'Master Stock'!H182="OCCUPIED",ISNUMBER('Master Stock'!J182),'Master Stock'!K182=""),SUMPRODUCT(--('Master Stock'!$D$2:$D$1000&lt;&gt;""),--('Master Stock'!$H$2:$H$1000="OCCUPIED"),--ISNUMBER('Master Stock'!$J$2:$J$1000),--('Master Stock'!$K$2:$K$1000=""),--('Master Stock'!$J$2:$J$1000&lt;'Master Stock'!J182))+COUNTIFS('Master Stock'!$J$2:J182,'Master Stock'!J182,'Master Stock'!$D$2:D182,"&lt;&gt;",'Master Stock'!$H$2:H182,"OCCUPIED",'Master Stock'!$K$2:K182,""),"")</f>
        <v/>
      </c>
      <c r="V182" s="149">
        <f>IF(AND('Master Stock'!D182&lt;&gt;"",'Master Stock'!H182="OCCUPIED",ISNUMBER('Master Stock'!L182),'Master Stock'!L182&lt;TODAY()-30),SUMPRODUCT(--('Master Stock'!$D$2:$D$1000&lt;&gt;""),--('Master Stock'!$H$2:$H$1000="OCCUPIED"),--ISNUMBER('Master Stock'!$L$2:$L$1000),--('Master Stock'!$L$2:$L$1000&lt;TODAY()-30),--('Master Stock'!$L$2:$L$1000&lt;'Master Stock'!L182))+COUNTIFS('Master Stock'!$L$2:L182,'Master Stock'!L182,'Master Stock'!$D$2:D182,"&lt;&gt;",'Master Stock'!$H$2:H182,"OCCUPIED"),"")</f>
        <v/>
      </c>
      <c r="W182" s="149" t="n"/>
      <c r="X182" s="149" t="n"/>
      <c r="Y182" s="149" t="n"/>
      <c r="Z182" s="149" t="n"/>
    </row>
    <row r="183" ht="15.75" customHeight="1" s="236">
      <c r="A183" s="148" t="n"/>
      <c r="B183" s="148" t="n"/>
      <c r="C183" s="124" t="n"/>
      <c r="D183" s="148" t="n"/>
      <c r="E183" s="148" t="n"/>
      <c r="F183" s="148" t="n"/>
      <c r="G183" s="124" t="n"/>
      <c r="H183" s="148" t="n"/>
      <c r="I183" s="148" t="n"/>
      <c r="J183" s="148" t="n"/>
      <c r="K183" s="148" t="n"/>
      <c r="L183" s="148" t="n"/>
      <c r="M183" s="148" t="n"/>
      <c r="N183" s="148" t="n"/>
      <c r="O183" s="148" t="n"/>
      <c r="P183" s="148" t="n"/>
      <c r="Q183" s="148" t="n"/>
      <c r="R183" s="148" t="n"/>
      <c r="S183" s="148" t="n"/>
      <c r="T183" s="148" t="n"/>
      <c r="U183" s="149">
        <f>IF(AND('Master Stock'!D183&lt;&gt;"",'Master Stock'!H183="OCCUPIED",ISNUMBER('Master Stock'!J183),'Master Stock'!K183=""),SUMPRODUCT(--('Master Stock'!$D$2:$D$1000&lt;&gt;""),--('Master Stock'!$H$2:$H$1000="OCCUPIED"),--ISNUMBER('Master Stock'!$J$2:$J$1000),--('Master Stock'!$K$2:$K$1000=""),--('Master Stock'!$J$2:$J$1000&lt;'Master Stock'!J183))+COUNTIFS('Master Stock'!$J$2:J183,'Master Stock'!J183,'Master Stock'!$D$2:D183,"&lt;&gt;",'Master Stock'!$H$2:H183,"OCCUPIED",'Master Stock'!$K$2:K183,""),"")</f>
        <v/>
      </c>
      <c r="V183" s="149">
        <f>IF(AND('Master Stock'!D183&lt;&gt;"",'Master Stock'!H183="OCCUPIED",ISNUMBER('Master Stock'!L183),'Master Stock'!L183&lt;TODAY()-30),SUMPRODUCT(--('Master Stock'!$D$2:$D$1000&lt;&gt;""),--('Master Stock'!$H$2:$H$1000="OCCUPIED"),--ISNUMBER('Master Stock'!$L$2:$L$1000),--('Master Stock'!$L$2:$L$1000&lt;TODAY()-30),--('Master Stock'!$L$2:$L$1000&lt;'Master Stock'!L183))+COUNTIFS('Master Stock'!$L$2:L183,'Master Stock'!L183,'Master Stock'!$D$2:D183,"&lt;&gt;",'Master Stock'!$H$2:H183,"OCCUPIED"),"")</f>
        <v/>
      </c>
      <c r="W183" s="149" t="n"/>
      <c r="X183" s="149" t="n"/>
      <c r="Y183" s="149" t="n"/>
      <c r="Z183" s="149" t="n"/>
    </row>
    <row r="184" ht="15.75" customHeight="1" s="236">
      <c r="A184" s="148" t="n"/>
      <c r="B184" s="148" t="n"/>
      <c r="C184" s="124" t="n"/>
      <c r="D184" s="148" t="n"/>
      <c r="E184" s="148" t="n"/>
      <c r="F184" s="148" t="n"/>
      <c r="G184" s="124" t="n"/>
      <c r="H184" s="148" t="n"/>
      <c r="I184" s="148" t="n"/>
      <c r="J184" s="148" t="n"/>
      <c r="K184" s="148" t="n"/>
      <c r="L184" s="148" t="n"/>
      <c r="M184" s="148" t="n"/>
      <c r="N184" s="148" t="n"/>
      <c r="O184" s="148" t="n"/>
      <c r="P184" s="148" t="n"/>
      <c r="Q184" s="148" t="n"/>
      <c r="R184" s="148" t="n"/>
      <c r="S184" s="148" t="n"/>
      <c r="T184" s="148" t="n"/>
      <c r="U184" s="149">
        <f>IF(AND('Master Stock'!D184&lt;&gt;"",'Master Stock'!H184="OCCUPIED",ISNUMBER('Master Stock'!J184),'Master Stock'!K184=""),SUMPRODUCT(--('Master Stock'!$D$2:$D$1000&lt;&gt;""),--('Master Stock'!$H$2:$H$1000="OCCUPIED"),--ISNUMBER('Master Stock'!$J$2:$J$1000),--('Master Stock'!$K$2:$K$1000=""),--('Master Stock'!$J$2:$J$1000&lt;'Master Stock'!J184))+COUNTIFS('Master Stock'!$J$2:J184,'Master Stock'!J184,'Master Stock'!$D$2:D184,"&lt;&gt;",'Master Stock'!$H$2:H184,"OCCUPIED",'Master Stock'!$K$2:K184,""),"")</f>
        <v/>
      </c>
      <c r="V184" s="149">
        <f>IF(AND('Master Stock'!D184&lt;&gt;"",'Master Stock'!H184="OCCUPIED",ISNUMBER('Master Stock'!L184),'Master Stock'!L184&lt;TODAY()-30),SUMPRODUCT(--('Master Stock'!$D$2:$D$1000&lt;&gt;""),--('Master Stock'!$H$2:$H$1000="OCCUPIED"),--ISNUMBER('Master Stock'!$L$2:$L$1000),--('Master Stock'!$L$2:$L$1000&lt;TODAY()-30),--('Master Stock'!$L$2:$L$1000&lt;'Master Stock'!L184))+COUNTIFS('Master Stock'!$L$2:L184,'Master Stock'!L184,'Master Stock'!$D$2:D184,"&lt;&gt;",'Master Stock'!$H$2:H184,"OCCUPIED"),"")</f>
        <v/>
      </c>
      <c r="W184" s="149" t="n"/>
      <c r="X184" s="149" t="n"/>
      <c r="Y184" s="149" t="n"/>
      <c r="Z184" s="149" t="n"/>
    </row>
    <row r="185" ht="15.75" customHeight="1" s="236">
      <c r="A185" s="148" t="n"/>
      <c r="B185" s="148" t="n"/>
      <c r="C185" s="124" t="n"/>
      <c r="D185" s="148" t="n"/>
      <c r="E185" s="148" t="n"/>
      <c r="F185" s="148" t="n"/>
      <c r="G185" s="124" t="n"/>
      <c r="H185" s="148" t="n"/>
      <c r="I185" s="148" t="n"/>
      <c r="J185" s="148" t="n"/>
      <c r="K185" s="148" t="n"/>
      <c r="L185" s="148" t="n"/>
      <c r="M185" s="148" t="n"/>
      <c r="N185" s="148" t="n"/>
      <c r="O185" s="148" t="n"/>
      <c r="P185" s="148" t="n"/>
      <c r="Q185" s="148" t="n"/>
      <c r="R185" s="148" t="n"/>
      <c r="S185" s="148" t="n"/>
      <c r="T185" s="148" t="n"/>
      <c r="U185" s="149">
        <f>IF(AND('Master Stock'!D185&lt;&gt;"",'Master Stock'!H185="OCCUPIED",ISNUMBER('Master Stock'!J185),'Master Stock'!K185=""),SUMPRODUCT(--('Master Stock'!$D$2:$D$1000&lt;&gt;""),--('Master Stock'!$H$2:$H$1000="OCCUPIED"),--ISNUMBER('Master Stock'!$J$2:$J$1000),--('Master Stock'!$K$2:$K$1000=""),--('Master Stock'!$J$2:$J$1000&lt;'Master Stock'!J185))+COUNTIFS('Master Stock'!$J$2:J185,'Master Stock'!J185,'Master Stock'!$D$2:D185,"&lt;&gt;",'Master Stock'!$H$2:H185,"OCCUPIED",'Master Stock'!$K$2:K185,""),"")</f>
        <v/>
      </c>
      <c r="V185" s="149">
        <f>IF(AND('Master Stock'!D185&lt;&gt;"",'Master Stock'!H185="OCCUPIED",ISNUMBER('Master Stock'!L185),'Master Stock'!L185&lt;TODAY()-30),SUMPRODUCT(--('Master Stock'!$D$2:$D$1000&lt;&gt;""),--('Master Stock'!$H$2:$H$1000="OCCUPIED"),--ISNUMBER('Master Stock'!$L$2:$L$1000),--('Master Stock'!$L$2:$L$1000&lt;TODAY()-30),--('Master Stock'!$L$2:$L$1000&lt;'Master Stock'!L185))+COUNTIFS('Master Stock'!$L$2:L185,'Master Stock'!L185,'Master Stock'!$D$2:D185,"&lt;&gt;",'Master Stock'!$H$2:H185,"OCCUPIED"),"")</f>
        <v/>
      </c>
      <c r="W185" s="149" t="n"/>
      <c r="X185" s="149" t="n"/>
      <c r="Y185" s="149" t="n"/>
      <c r="Z185" s="149" t="n"/>
    </row>
    <row r="186" ht="15.75" customHeight="1" s="236">
      <c r="A186" s="148" t="n"/>
      <c r="B186" s="148" t="n"/>
      <c r="C186" s="124" t="n"/>
      <c r="D186" s="148" t="n"/>
      <c r="E186" s="148" t="n"/>
      <c r="F186" s="148" t="n"/>
      <c r="G186" s="124" t="n"/>
      <c r="H186" s="148" t="n"/>
      <c r="I186" s="148" t="n"/>
      <c r="J186" s="148" t="n"/>
      <c r="K186" s="148" t="n"/>
      <c r="L186" s="148" t="n"/>
      <c r="M186" s="148" t="n"/>
      <c r="N186" s="148" t="n"/>
      <c r="O186" s="148" t="n"/>
      <c r="P186" s="148" t="n"/>
      <c r="Q186" s="148" t="n"/>
      <c r="R186" s="148" t="n"/>
      <c r="S186" s="148" t="n"/>
      <c r="T186" s="148" t="n"/>
      <c r="U186" s="149">
        <f>IF(AND('Master Stock'!D186&lt;&gt;"",'Master Stock'!H186="OCCUPIED",ISNUMBER('Master Stock'!J186),'Master Stock'!K186=""),SUMPRODUCT(--('Master Stock'!$D$2:$D$1000&lt;&gt;""),--('Master Stock'!$H$2:$H$1000="OCCUPIED"),--ISNUMBER('Master Stock'!$J$2:$J$1000),--('Master Stock'!$K$2:$K$1000=""),--('Master Stock'!$J$2:$J$1000&lt;'Master Stock'!J186))+COUNTIFS('Master Stock'!$J$2:J186,'Master Stock'!J186,'Master Stock'!$D$2:D186,"&lt;&gt;",'Master Stock'!$H$2:H186,"OCCUPIED",'Master Stock'!$K$2:K186,""),"")</f>
        <v/>
      </c>
      <c r="V186" s="149">
        <f>IF(AND('Master Stock'!D186&lt;&gt;"",'Master Stock'!H186="OCCUPIED",ISNUMBER('Master Stock'!L186),'Master Stock'!L186&lt;TODAY()-30),SUMPRODUCT(--('Master Stock'!$D$2:$D$1000&lt;&gt;""),--('Master Stock'!$H$2:$H$1000="OCCUPIED"),--ISNUMBER('Master Stock'!$L$2:$L$1000),--('Master Stock'!$L$2:$L$1000&lt;TODAY()-30),--('Master Stock'!$L$2:$L$1000&lt;'Master Stock'!L186))+COUNTIFS('Master Stock'!$L$2:L186,'Master Stock'!L186,'Master Stock'!$D$2:D186,"&lt;&gt;",'Master Stock'!$H$2:H186,"OCCUPIED"),"")</f>
        <v/>
      </c>
      <c r="W186" s="149" t="n"/>
      <c r="X186" s="149" t="n"/>
      <c r="Y186" s="149" t="n"/>
      <c r="Z186" s="149" t="n"/>
    </row>
    <row r="187" ht="15.75" customHeight="1" s="236">
      <c r="A187" s="148" t="n"/>
      <c r="B187" s="148" t="n"/>
      <c r="C187" s="124" t="n"/>
      <c r="D187" s="148" t="n"/>
      <c r="E187" s="148" t="n"/>
      <c r="F187" s="148" t="n"/>
      <c r="G187" s="124" t="n"/>
      <c r="H187" s="148" t="n"/>
      <c r="I187" s="148" t="n"/>
      <c r="J187" s="148" t="n"/>
      <c r="K187" s="148" t="n"/>
      <c r="L187" s="148" t="n"/>
      <c r="M187" s="148" t="n"/>
      <c r="N187" s="148" t="n"/>
      <c r="O187" s="148" t="n"/>
      <c r="P187" s="148" t="n"/>
      <c r="Q187" s="148" t="n"/>
      <c r="R187" s="148" t="n"/>
      <c r="S187" s="148" t="n"/>
      <c r="T187" s="148" t="n"/>
      <c r="U187" s="149">
        <f>IF(AND('Master Stock'!D187&lt;&gt;"",'Master Stock'!H187="OCCUPIED",ISNUMBER('Master Stock'!J187),'Master Stock'!K187=""),SUMPRODUCT(--('Master Stock'!$D$2:$D$1000&lt;&gt;""),--('Master Stock'!$H$2:$H$1000="OCCUPIED"),--ISNUMBER('Master Stock'!$J$2:$J$1000),--('Master Stock'!$K$2:$K$1000=""),--('Master Stock'!$J$2:$J$1000&lt;'Master Stock'!J187))+COUNTIFS('Master Stock'!$J$2:J187,'Master Stock'!J187,'Master Stock'!$D$2:D187,"&lt;&gt;",'Master Stock'!$H$2:H187,"OCCUPIED",'Master Stock'!$K$2:K187,""),"")</f>
        <v/>
      </c>
      <c r="V187" s="149">
        <f>IF(AND('Master Stock'!D187&lt;&gt;"",'Master Stock'!H187="OCCUPIED",ISNUMBER('Master Stock'!L187),'Master Stock'!L187&lt;TODAY()-30),SUMPRODUCT(--('Master Stock'!$D$2:$D$1000&lt;&gt;""),--('Master Stock'!$H$2:$H$1000="OCCUPIED"),--ISNUMBER('Master Stock'!$L$2:$L$1000),--('Master Stock'!$L$2:$L$1000&lt;TODAY()-30),--('Master Stock'!$L$2:$L$1000&lt;'Master Stock'!L187))+COUNTIFS('Master Stock'!$L$2:L187,'Master Stock'!L187,'Master Stock'!$D$2:D187,"&lt;&gt;",'Master Stock'!$H$2:H187,"OCCUPIED"),"")</f>
        <v/>
      </c>
      <c r="W187" s="149" t="n"/>
      <c r="X187" s="149" t="n"/>
      <c r="Y187" s="149" t="n"/>
      <c r="Z187" s="149" t="n"/>
    </row>
    <row r="188" ht="15.75" customHeight="1" s="236">
      <c r="A188" s="148" t="n"/>
      <c r="B188" s="148" t="n"/>
      <c r="C188" s="124" t="n"/>
      <c r="D188" s="148" t="n"/>
      <c r="E188" s="148" t="n"/>
      <c r="F188" s="148" t="n"/>
      <c r="G188" s="124" t="n"/>
      <c r="H188" s="148" t="n"/>
      <c r="I188" s="148" t="n"/>
      <c r="J188" s="148" t="n"/>
      <c r="K188" s="148" t="n"/>
      <c r="L188" s="148" t="n"/>
      <c r="M188" s="148" t="n"/>
      <c r="N188" s="148" t="n"/>
      <c r="O188" s="148" t="n"/>
      <c r="P188" s="148" t="n"/>
      <c r="Q188" s="148" t="n"/>
      <c r="R188" s="148" t="n"/>
      <c r="S188" s="148" t="n"/>
      <c r="T188" s="148" t="n"/>
      <c r="U188" s="149">
        <f>IF(AND('Master Stock'!D188&lt;&gt;"",'Master Stock'!H188="OCCUPIED",ISNUMBER('Master Stock'!J188),'Master Stock'!K188=""),SUMPRODUCT(--('Master Stock'!$D$2:$D$1000&lt;&gt;""),--('Master Stock'!$H$2:$H$1000="OCCUPIED"),--ISNUMBER('Master Stock'!$J$2:$J$1000),--('Master Stock'!$K$2:$K$1000=""),--('Master Stock'!$J$2:$J$1000&lt;'Master Stock'!J188))+COUNTIFS('Master Stock'!$J$2:J188,'Master Stock'!J188,'Master Stock'!$D$2:D188,"&lt;&gt;",'Master Stock'!$H$2:H188,"OCCUPIED",'Master Stock'!$K$2:K188,""),"")</f>
        <v/>
      </c>
      <c r="V188" s="149">
        <f>IF(AND('Master Stock'!D188&lt;&gt;"",'Master Stock'!H188="OCCUPIED",ISNUMBER('Master Stock'!L188),'Master Stock'!L188&lt;TODAY()-30),SUMPRODUCT(--('Master Stock'!$D$2:$D$1000&lt;&gt;""),--('Master Stock'!$H$2:$H$1000="OCCUPIED"),--ISNUMBER('Master Stock'!$L$2:$L$1000),--('Master Stock'!$L$2:$L$1000&lt;TODAY()-30),--('Master Stock'!$L$2:$L$1000&lt;'Master Stock'!L188))+COUNTIFS('Master Stock'!$L$2:L188,'Master Stock'!L188,'Master Stock'!$D$2:D188,"&lt;&gt;",'Master Stock'!$H$2:H188,"OCCUPIED"),"")</f>
        <v/>
      </c>
      <c r="W188" s="149" t="n"/>
      <c r="X188" s="149" t="n"/>
      <c r="Y188" s="149" t="n"/>
      <c r="Z188" s="149" t="n"/>
    </row>
    <row r="189" ht="15.75" customHeight="1" s="236">
      <c r="A189" s="148" t="n"/>
      <c r="B189" s="148" t="n"/>
      <c r="C189" s="124" t="n"/>
      <c r="D189" s="148" t="n"/>
      <c r="E189" s="148" t="n"/>
      <c r="F189" s="148" t="n"/>
      <c r="G189" s="124" t="n"/>
      <c r="H189" s="148" t="n"/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 t="n"/>
      <c r="S189" s="148" t="n"/>
      <c r="T189" s="148" t="n"/>
      <c r="U189" s="149">
        <f>IF(AND('Master Stock'!D189&lt;&gt;"",'Master Stock'!H189="OCCUPIED",ISNUMBER('Master Stock'!J189),'Master Stock'!K189=""),SUMPRODUCT(--('Master Stock'!$D$2:$D$1000&lt;&gt;""),--('Master Stock'!$H$2:$H$1000="OCCUPIED"),--ISNUMBER('Master Stock'!$J$2:$J$1000),--('Master Stock'!$K$2:$K$1000=""),--('Master Stock'!$J$2:$J$1000&lt;'Master Stock'!J189))+COUNTIFS('Master Stock'!$J$2:J189,'Master Stock'!J189,'Master Stock'!$D$2:D189,"&lt;&gt;",'Master Stock'!$H$2:H189,"OCCUPIED",'Master Stock'!$K$2:K189,""),"")</f>
        <v/>
      </c>
      <c r="V189" s="149">
        <f>IF(AND('Master Stock'!D189&lt;&gt;"",'Master Stock'!H189="OCCUPIED",ISNUMBER('Master Stock'!L189),'Master Stock'!L189&lt;TODAY()-30),SUMPRODUCT(--('Master Stock'!$D$2:$D$1000&lt;&gt;""),--('Master Stock'!$H$2:$H$1000="OCCUPIED"),--ISNUMBER('Master Stock'!$L$2:$L$1000),--('Master Stock'!$L$2:$L$1000&lt;TODAY()-30),--('Master Stock'!$L$2:$L$1000&lt;'Master Stock'!L189))+COUNTIFS('Master Stock'!$L$2:L189,'Master Stock'!L189,'Master Stock'!$D$2:D189,"&lt;&gt;",'Master Stock'!$H$2:H189,"OCCUPIED"),"")</f>
        <v/>
      </c>
      <c r="W189" s="149" t="n"/>
      <c r="X189" s="149" t="n"/>
      <c r="Y189" s="149" t="n"/>
      <c r="Z189" s="149" t="n"/>
    </row>
    <row r="190" ht="15.75" customHeight="1" s="236">
      <c r="A190" s="148" t="n"/>
      <c r="B190" s="148" t="n"/>
      <c r="C190" s="124" t="n"/>
      <c r="D190" s="148" t="n"/>
      <c r="E190" s="148" t="n"/>
      <c r="F190" s="148" t="n"/>
      <c r="G190" s="124" t="n"/>
      <c r="H190" s="148" t="n"/>
      <c r="I190" s="148" t="n"/>
      <c r="J190" s="148" t="n"/>
      <c r="K190" s="148" t="n"/>
      <c r="L190" s="148" t="n"/>
      <c r="M190" s="148" t="n"/>
      <c r="N190" s="148" t="n"/>
      <c r="O190" s="148" t="n"/>
      <c r="P190" s="148" t="n"/>
      <c r="Q190" s="148" t="n"/>
      <c r="R190" s="148" t="n"/>
      <c r="S190" s="148" t="n"/>
      <c r="T190" s="148" t="n"/>
      <c r="U190" s="149">
        <f>IF(AND('Master Stock'!D190&lt;&gt;"",'Master Stock'!H190="OCCUPIED",ISNUMBER('Master Stock'!J190),'Master Stock'!K190=""),SUMPRODUCT(--('Master Stock'!$D$2:$D$1000&lt;&gt;""),--('Master Stock'!$H$2:$H$1000="OCCUPIED"),--ISNUMBER('Master Stock'!$J$2:$J$1000),--('Master Stock'!$K$2:$K$1000=""),--('Master Stock'!$J$2:$J$1000&lt;'Master Stock'!J190))+COUNTIFS('Master Stock'!$J$2:J190,'Master Stock'!J190,'Master Stock'!$D$2:D190,"&lt;&gt;",'Master Stock'!$H$2:H190,"OCCUPIED",'Master Stock'!$K$2:K190,""),"")</f>
        <v/>
      </c>
      <c r="V190" s="149">
        <f>IF(AND('Master Stock'!D190&lt;&gt;"",'Master Stock'!H190="OCCUPIED",ISNUMBER('Master Stock'!L190),'Master Stock'!L190&lt;TODAY()-30),SUMPRODUCT(--('Master Stock'!$D$2:$D$1000&lt;&gt;""),--('Master Stock'!$H$2:$H$1000="OCCUPIED"),--ISNUMBER('Master Stock'!$L$2:$L$1000),--('Master Stock'!$L$2:$L$1000&lt;TODAY()-30),--('Master Stock'!$L$2:$L$1000&lt;'Master Stock'!L190))+COUNTIFS('Master Stock'!$L$2:L190,'Master Stock'!L190,'Master Stock'!$D$2:D190,"&lt;&gt;",'Master Stock'!$H$2:H190,"OCCUPIED"),"")</f>
        <v/>
      </c>
      <c r="W190" s="149" t="n"/>
      <c r="X190" s="149" t="n"/>
      <c r="Y190" s="149" t="n"/>
      <c r="Z190" s="149" t="n"/>
    </row>
    <row r="191" ht="15.75" customHeight="1" s="236">
      <c r="A191" s="148" t="n"/>
      <c r="B191" s="148" t="n"/>
      <c r="C191" s="124" t="n"/>
      <c r="D191" s="148" t="n"/>
      <c r="E191" s="148" t="n"/>
      <c r="F191" s="148" t="n"/>
      <c r="G191" s="124" t="n"/>
      <c r="H191" s="148" t="n"/>
      <c r="I191" s="148" t="n"/>
      <c r="J191" s="148" t="n"/>
      <c r="K191" s="148" t="n"/>
      <c r="L191" s="148" t="n"/>
      <c r="M191" s="148" t="n"/>
      <c r="N191" s="148" t="n"/>
      <c r="O191" s="148" t="n"/>
      <c r="P191" s="148" t="n"/>
      <c r="Q191" s="148" t="n"/>
      <c r="R191" s="148" t="n"/>
      <c r="S191" s="148" t="n"/>
      <c r="T191" s="148" t="n"/>
      <c r="U191" s="149">
        <f>IF(AND('Master Stock'!D191&lt;&gt;"",'Master Stock'!H191="OCCUPIED",ISNUMBER('Master Stock'!J191),'Master Stock'!K191=""),SUMPRODUCT(--('Master Stock'!$D$2:$D$1000&lt;&gt;""),--('Master Stock'!$H$2:$H$1000="OCCUPIED"),--ISNUMBER('Master Stock'!$J$2:$J$1000),--('Master Stock'!$K$2:$K$1000=""),--('Master Stock'!$J$2:$J$1000&lt;'Master Stock'!J191))+COUNTIFS('Master Stock'!$J$2:J191,'Master Stock'!J191,'Master Stock'!$D$2:D191,"&lt;&gt;",'Master Stock'!$H$2:H191,"OCCUPIED",'Master Stock'!$K$2:K191,""),"")</f>
        <v/>
      </c>
      <c r="V191" s="149">
        <f>IF(AND('Master Stock'!D191&lt;&gt;"",'Master Stock'!H191="OCCUPIED",ISNUMBER('Master Stock'!L191),'Master Stock'!L191&lt;TODAY()-30),SUMPRODUCT(--('Master Stock'!$D$2:$D$1000&lt;&gt;""),--('Master Stock'!$H$2:$H$1000="OCCUPIED"),--ISNUMBER('Master Stock'!$L$2:$L$1000),--('Master Stock'!$L$2:$L$1000&lt;TODAY()-30),--('Master Stock'!$L$2:$L$1000&lt;'Master Stock'!L191))+COUNTIFS('Master Stock'!$L$2:L191,'Master Stock'!L191,'Master Stock'!$D$2:D191,"&lt;&gt;",'Master Stock'!$H$2:H191,"OCCUPIED"),"")</f>
        <v/>
      </c>
      <c r="W191" s="149" t="n"/>
      <c r="X191" s="149" t="n"/>
      <c r="Y191" s="149" t="n"/>
      <c r="Z191" s="149" t="n"/>
    </row>
    <row r="192" ht="15.75" customHeight="1" s="236">
      <c r="A192" s="148" t="n"/>
      <c r="B192" s="148" t="n"/>
      <c r="C192" s="124" t="n"/>
      <c r="D192" s="148" t="n"/>
      <c r="E192" s="148" t="n"/>
      <c r="F192" s="148" t="n"/>
      <c r="G192" s="124" t="n"/>
      <c r="H192" s="148" t="n"/>
      <c r="I192" s="148" t="n"/>
      <c r="J192" s="148" t="n"/>
      <c r="K192" s="148" t="n"/>
      <c r="L192" s="148" t="n"/>
      <c r="M192" s="148" t="n"/>
      <c r="N192" s="148" t="n"/>
      <c r="O192" s="148" t="n"/>
      <c r="P192" s="148" t="n"/>
      <c r="Q192" s="148" t="n"/>
      <c r="R192" s="148" t="n"/>
      <c r="S192" s="148" t="n"/>
      <c r="T192" s="148" t="n"/>
      <c r="U192" s="149">
        <f>IF(AND('Master Stock'!D192&lt;&gt;"",'Master Stock'!H192="OCCUPIED",ISNUMBER('Master Stock'!J192),'Master Stock'!K192=""),SUMPRODUCT(--('Master Stock'!$D$2:$D$1000&lt;&gt;""),--('Master Stock'!$H$2:$H$1000="OCCUPIED"),--ISNUMBER('Master Stock'!$J$2:$J$1000),--('Master Stock'!$K$2:$K$1000=""),--('Master Stock'!$J$2:$J$1000&lt;'Master Stock'!J192))+COUNTIFS('Master Stock'!$J$2:J192,'Master Stock'!J192,'Master Stock'!$D$2:D192,"&lt;&gt;",'Master Stock'!$H$2:H192,"OCCUPIED",'Master Stock'!$K$2:K192,""),"")</f>
        <v/>
      </c>
      <c r="V192" s="149">
        <f>IF(AND('Master Stock'!D192&lt;&gt;"",'Master Stock'!H192="OCCUPIED",ISNUMBER('Master Stock'!L192),'Master Stock'!L192&lt;TODAY()-30),SUMPRODUCT(--('Master Stock'!$D$2:$D$1000&lt;&gt;""),--('Master Stock'!$H$2:$H$1000="OCCUPIED"),--ISNUMBER('Master Stock'!$L$2:$L$1000),--('Master Stock'!$L$2:$L$1000&lt;TODAY()-30),--('Master Stock'!$L$2:$L$1000&lt;'Master Stock'!L192))+COUNTIFS('Master Stock'!$L$2:L192,'Master Stock'!L192,'Master Stock'!$D$2:D192,"&lt;&gt;",'Master Stock'!$H$2:H192,"OCCUPIED"),"")</f>
        <v/>
      </c>
      <c r="W192" s="149" t="n"/>
      <c r="X192" s="149" t="n"/>
      <c r="Y192" s="149" t="n"/>
      <c r="Z192" s="149" t="n"/>
    </row>
    <row r="193" ht="15.75" customHeight="1" s="236">
      <c r="A193" s="148" t="n"/>
      <c r="B193" s="148" t="n"/>
      <c r="C193" s="124" t="n"/>
      <c r="D193" s="148" t="n"/>
      <c r="E193" s="148" t="n"/>
      <c r="F193" s="148" t="n"/>
      <c r="G193" s="124" t="n"/>
      <c r="H193" s="148" t="n"/>
      <c r="I193" s="148" t="n"/>
      <c r="J193" s="148" t="n"/>
      <c r="K193" s="148" t="n"/>
      <c r="L193" s="148" t="n"/>
      <c r="M193" s="148" t="n"/>
      <c r="N193" s="148" t="n"/>
      <c r="O193" s="148" t="n"/>
      <c r="P193" s="148" t="n"/>
      <c r="Q193" s="148" t="n"/>
      <c r="R193" s="148" t="n"/>
      <c r="S193" s="148" t="n"/>
      <c r="T193" s="148" t="n"/>
      <c r="U193" s="149">
        <f>IF(AND('Master Stock'!D193&lt;&gt;"",'Master Stock'!H193="OCCUPIED",ISNUMBER('Master Stock'!J193),'Master Stock'!K193=""),SUMPRODUCT(--('Master Stock'!$D$2:$D$1000&lt;&gt;""),--('Master Stock'!$H$2:$H$1000="OCCUPIED"),--ISNUMBER('Master Stock'!$J$2:$J$1000),--('Master Stock'!$K$2:$K$1000=""),--('Master Stock'!$J$2:$J$1000&lt;'Master Stock'!J193))+COUNTIFS('Master Stock'!$J$2:J193,'Master Stock'!J193,'Master Stock'!$D$2:D193,"&lt;&gt;",'Master Stock'!$H$2:H193,"OCCUPIED",'Master Stock'!$K$2:K193,""),"")</f>
        <v/>
      </c>
      <c r="V193" s="149">
        <f>IF(AND('Master Stock'!D193&lt;&gt;"",'Master Stock'!H193="OCCUPIED",ISNUMBER('Master Stock'!L193),'Master Stock'!L193&lt;TODAY()-30),SUMPRODUCT(--('Master Stock'!$D$2:$D$1000&lt;&gt;""),--('Master Stock'!$H$2:$H$1000="OCCUPIED"),--ISNUMBER('Master Stock'!$L$2:$L$1000),--('Master Stock'!$L$2:$L$1000&lt;TODAY()-30),--('Master Stock'!$L$2:$L$1000&lt;'Master Stock'!L193))+COUNTIFS('Master Stock'!$L$2:L193,'Master Stock'!L193,'Master Stock'!$D$2:D193,"&lt;&gt;",'Master Stock'!$H$2:H193,"OCCUPIED"),"")</f>
        <v/>
      </c>
      <c r="W193" s="149" t="n"/>
      <c r="X193" s="149" t="n"/>
      <c r="Y193" s="149" t="n"/>
      <c r="Z193" s="149" t="n"/>
    </row>
    <row r="194" ht="15.75" customHeight="1" s="236">
      <c r="A194" s="148" t="n"/>
      <c r="B194" s="148" t="n"/>
      <c r="C194" s="124" t="n"/>
      <c r="D194" s="148" t="n"/>
      <c r="E194" s="148" t="n"/>
      <c r="F194" s="148" t="n"/>
      <c r="G194" s="124" t="n"/>
      <c r="H194" s="148" t="n"/>
      <c r="I194" s="148" t="n"/>
      <c r="J194" s="148" t="n"/>
      <c r="K194" s="148" t="n"/>
      <c r="L194" s="148" t="n"/>
      <c r="M194" s="148" t="n"/>
      <c r="N194" s="148" t="n"/>
      <c r="O194" s="148" t="n"/>
      <c r="P194" s="148" t="n"/>
      <c r="Q194" s="148" t="n"/>
      <c r="R194" s="148" t="n"/>
      <c r="S194" s="148" t="n"/>
      <c r="T194" s="148" t="n"/>
      <c r="U194" s="149">
        <f>IF(AND('Master Stock'!D194&lt;&gt;"",'Master Stock'!H194="OCCUPIED",ISNUMBER('Master Stock'!J194),'Master Stock'!K194=""),SUMPRODUCT(--('Master Stock'!$D$2:$D$1000&lt;&gt;""),--('Master Stock'!$H$2:$H$1000="OCCUPIED"),--ISNUMBER('Master Stock'!$J$2:$J$1000),--('Master Stock'!$K$2:$K$1000=""),--('Master Stock'!$J$2:$J$1000&lt;'Master Stock'!J194))+COUNTIFS('Master Stock'!$J$2:J194,'Master Stock'!J194,'Master Stock'!$D$2:D194,"&lt;&gt;",'Master Stock'!$H$2:H194,"OCCUPIED",'Master Stock'!$K$2:K194,""),"")</f>
        <v/>
      </c>
      <c r="V194" s="149">
        <f>IF(AND('Master Stock'!D194&lt;&gt;"",'Master Stock'!H194="OCCUPIED",ISNUMBER('Master Stock'!L194),'Master Stock'!L194&lt;TODAY()-30),SUMPRODUCT(--('Master Stock'!$D$2:$D$1000&lt;&gt;""),--('Master Stock'!$H$2:$H$1000="OCCUPIED"),--ISNUMBER('Master Stock'!$L$2:$L$1000),--('Master Stock'!$L$2:$L$1000&lt;TODAY()-30),--('Master Stock'!$L$2:$L$1000&lt;'Master Stock'!L194))+COUNTIFS('Master Stock'!$L$2:L194,'Master Stock'!L194,'Master Stock'!$D$2:D194,"&lt;&gt;",'Master Stock'!$H$2:H194,"OCCUPIED"),"")</f>
        <v/>
      </c>
      <c r="W194" s="149" t="n"/>
      <c r="X194" s="149" t="n"/>
      <c r="Y194" s="149" t="n"/>
      <c r="Z194" s="149" t="n"/>
    </row>
    <row r="195" ht="15.75" customHeight="1" s="236">
      <c r="A195" s="148" t="n"/>
      <c r="B195" s="148" t="n"/>
      <c r="C195" s="124" t="n"/>
      <c r="D195" s="148" t="n"/>
      <c r="E195" s="148" t="n"/>
      <c r="F195" s="148" t="n"/>
      <c r="G195" s="124" t="n"/>
      <c r="H195" s="148" t="n"/>
      <c r="I195" s="148" t="n"/>
      <c r="J195" s="148" t="n"/>
      <c r="K195" s="148" t="n"/>
      <c r="L195" s="148" t="n"/>
      <c r="M195" s="148" t="n"/>
      <c r="N195" s="148" t="n"/>
      <c r="O195" s="148" t="n"/>
      <c r="P195" s="148" t="n"/>
      <c r="Q195" s="148" t="n"/>
      <c r="R195" s="148" t="n"/>
      <c r="S195" s="148" t="n"/>
      <c r="T195" s="148" t="n"/>
      <c r="U195" s="149">
        <f>IF(AND('Master Stock'!D195&lt;&gt;"",'Master Stock'!H195="OCCUPIED",ISNUMBER('Master Stock'!J195),'Master Stock'!K195=""),SUMPRODUCT(--('Master Stock'!$D$2:$D$1000&lt;&gt;""),--('Master Stock'!$H$2:$H$1000="OCCUPIED"),--ISNUMBER('Master Stock'!$J$2:$J$1000),--('Master Stock'!$K$2:$K$1000=""),--('Master Stock'!$J$2:$J$1000&lt;'Master Stock'!J195))+COUNTIFS('Master Stock'!$J$2:J195,'Master Stock'!J195,'Master Stock'!$D$2:D195,"&lt;&gt;",'Master Stock'!$H$2:H195,"OCCUPIED",'Master Stock'!$K$2:K195,""),"")</f>
        <v/>
      </c>
      <c r="V195" s="149">
        <f>IF(AND('Master Stock'!D195&lt;&gt;"",'Master Stock'!H195="OCCUPIED",ISNUMBER('Master Stock'!L195),'Master Stock'!L195&lt;TODAY()-30),SUMPRODUCT(--('Master Stock'!$D$2:$D$1000&lt;&gt;""),--('Master Stock'!$H$2:$H$1000="OCCUPIED"),--ISNUMBER('Master Stock'!$L$2:$L$1000),--('Master Stock'!$L$2:$L$1000&lt;TODAY()-30),--('Master Stock'!$L$2:$L$1000&lt;'Master Stock'!L195))+COUNTIFS('Master Stock'!$L$2:L195,'Master Stock'!L195,'Master Stock'!$D$2:D195,"&lt;&gt;",'Master Stock'!$H$2:H195,"OCCUPIED"),"")</f>
        <v/>
      </c>
      <c r="W195" s="149" t="n"/>
      <c r="X195" s="149" t="n"/>
      <c r="Y195" s="149" t="n"/>
      <c r="Z195" s="149" t="n"/>
    </row>
    <row r="196" ht="15.75" customHeight="1" s="236">
      <c r="A196" s="148" t="n"/>
      <c r="B196" s="148" t="n"/>
      <c r="C196" s="124" t="n"/>
      <c r="D196" s="148" t="n"/>
      <c r="E196" s="148" t="n"/>
      <c r="F196" s="148" t="n"/>
      <c r="G196" s="124" t="n"/>
      <c r="H196" s="148" t="n"/>
      <c r="I196" s="148" t="n"/>
      <c r="J196" s="148" t="n"/>
      <c r="K196" s="148" t="n"/>
      <c r="L196" s="148" t="n"/>
      <c r="M196" s="148" t="n"/>
      <c r="N196" s="148" t="n"/>
      <c r="O196" s="148" t="n"/>
      <c r="P196" s="148" t="n"/>
      <c r="Q196" s="148" t="n"/>
      <c r="R196" s="148" t="n"/>
      <c r="S196" s="148" t="n"/>
      <c r="T196" s="148" t="n"/>
      <c r="U196" s="149">
        <f>IF(AND('Master Stock'!D196&lt;&gt;"",'Master Stock'!H196="OCCUPIED",ISNUMBER('Master Stock'!J196),'Master Stock'!K196=""),SUMPRODUCT(--('Master Stock'!$D$2:$D$1000&lt;&gt;""),--('Master Stock'!$H$2:$H$1000="OCCUPIED"),--ISNUMBER('Master Stock'!$J$2:$J$1000),--('Master Stock'!$K$2:$K$1000=""),--('Master Stock'!$J$2:$J$1000&lt;'Master Stock'!J196))+COUNTIFS('Master Stock'!$J$2:J196,'Master Stock'!J196,'Master Stock'!$D$2:D196,"&lt;&gt;",'Master Stock'!$H$2:H196,"OCCUPIED",'Master Stock'!$K$2:K196,""),"")</f>
        <v/>
      </c>
      <c r="V196" s="149">
        <f>IF(AND('Master Stock'!D196&lt;&gt;"",'Master Stock'!H196="OCCUPIED",ISNUMBER('Master Stock'!L196),'Master Stock'!L196&lt;TODAY()-30),SUMPRODUCT(--('Master Stock'!$D$2:$D$1000&lt;&gt;""),--('Master Stock'!$H$2:$H$1000="OCCUPIED"),--ISNUMBER('Master Stock'!$L$2:$L$1000),--('Master Stock'!$L$2:$L$1000&lt;TODAY()-30),--('Master Stock'!$L$2:$L$1000&lt;'Master Stock'!L196))+COUNTIFS('Master Stock'!$L$2:L196,'Master Stock'!L196,'Master Stock'!$D$2:D196,"&lt;&gt;",'Master Stock'!$H$2:H196,"OCCUPIED"),"")</f>
        <v/>
      </c>
      <c r="W196" s="149" t="n"/>
      <c r="X196" s="149" t="n"/>
      <c r="Y196" s="149" t="n"/>
      <c r="Z196" s="149" t="n"/>
    </row>
    <row r="197" ht="15.75" customHeight="1" s="236">
      <c r="A197" s="148" t="n"/>
      <c r="B197" s="148" t="n"/>
      <c r="C197" s="124" t="n"/>
      <c r="D197" s="148" t="n"/>
      <c r="E197" s="148" t="n"/>
      <c r="F197" s="148" t="n"/>
      <c r="G197" s="124" t="n"/>
      <c r="H197" s="148" t="n"/>
      <c r="I197" s="148" t="n"/>
      <c r="J197" s="148" t="n"/>
      <c r="K197" s="148" t="n"/>
      <c r="L197" s="148" t="n"/>
      <c r="M197" s="148" t="n"/>
      <c r="N197" s="148" t="n"/>
      <c r="O197" s="148" t="n"/>
      <c r="P197" s="148" t="n"/>
      <c r="Q197" s="148" t="n"/>
      <c r="R197" s="148" t="n"/>
      <c r="S197" s="148" t="n"/>
      <c r="T197" s="148" t="n"/>
      <c r="U197" s="149">
        <f>IF(AND('Master Stock'!D197&lt;&gt;"",'Master Stock'!H197="OCCUPIED",ISNUMBER('Master Stock'!J197),'Master Stock'!K197=""),SUMPRODUCT(--('Master Stock'!$D$2:$D$1000&lt;&gt;""),--('Master Stock'!$H$2:$H$1000="OCCUPIED"),--ISNUMBER('Master Stock'!$J$2:$J$1000),--('Master Stock'!$K$2:$K$1000=""),--('Master Stock'!$J$2:$J$1000&lt;'Master Stock'!J197))+COUNTIFS('Master Stock'!$J$2:J197,'Master Stock'!J197,'Master Stock'!$D$2:D197,"&lt;&gt;",'Master Stock'!$H$2:H197,"OCCUPIED",'Master Stock'!$K$2:K197,""),"")</f>
        <v/>
      </c>
      <c r="V197" s="149">
        <f>IF(AND('Master Stock'!D197&lt;&gt;"",'Master Stock'!H197="OCCUPIED",ISNUMBER('Master Stock'!L197),'Master Stock'!L197&lt;TODAY()-30),SUMPRODUCT(--('Master Stock'!$D$2:$D$1000&lt;&gt;""),--('Master Stock'!$H$2:$H$1000="OCCUPIED"),--ISNUMBER('Master Stock'!$L$2:$L$1000),--('Master Stock'!$L$2:$L$1000&lt;TODAY()-30),--('Master Stock'!$L$2:$L$1000&lt;'Master Stock'!L197))+COUNTIFS('Master Stock'!$L$2:L197,'Master Stock'!L197,'Master Stock'!$D$2:D197,"&lt;&gt;",'Master Stock'!$H$2:H197,"OCCUPIED"),"")</f>
        <v/>
      </c>
      <c r="W197" s="149" t="n"/>
      <c r="X197" s="149" t="n"/>
      <c r="Y197" s="149" t="n"/>
      <c r="Z197" s="149" t="n"/>
    </row>
    <row r="198" ht="15.75" customHeight="1" s="236">
      <c r="A198" s="148" t="n"/>
      <c r="B198" s="148" t="n"/>
      <c r="C198" s="124" t="n"/>
      <c r="D198" s="148" t="n"/>
      <c r="E198" s="148" t="n"/>
      <c r="F198" s="148" t="n"/>
      <c r="G198" s="124" t="n"/>
      <c r="H198" s="148" t="n"/>
      <c r="I198" s="148" t="n"/>
      <c r="J198" s="148" t="n"/>
      <c r="K198" s="148" t="n"/>
      <c r="L198" s="148" t="n"/>
      <c r="M198" s="148" t="n"/>
      <c r="N198" s="148" t="n"/>
      <c r="O198" s="148" t="n"/>
      <c r="P198" s="148" t="n"/>
      <c r="Q198" s="148" t="n"/>
      <c r="R198" s="148" t="n"/>
      <c r="S198" s="148" t="n"/>
      <c r="T198" s="148" t="n"/>
      <c r="U198" s="149">
        <f>IF(AND('Master Stock'!D198&lt;&gt;"",'Master Stock'!H198="OCCUPIED",ISNUMBER('Master Stock'!J198),'Master Stock'!K198=""),SUMPRODUCT(--('Master Stock'!$D$2:$D$1000&lt;&gt;""),--('Master Stock'!$H$2:$H$1000="OCCUPIED"),--ISNUMBER('Master Stock'!$J$2:$J$1000),--('Master Stock'!$K$2:$K$1000=""),--('Master Stock'!$J$2:$J$1000&lt;'Master Stock'!J198))+COUNTIFS('Master Stock'!$J$2:J198,'Master Stock'!J198,'Master Stock'!$D$2:D198,"&lt;&gt;",'Master Stock'!$H$2:H198,"OCCUPIED",'Master Stock'!$K$2:K198,""),"")</f>
        <v/>
      </c>
      <c r="V198" s="149">
        <f>IF(AND('Master Stock'!D198&lt;&gt;"",'Master Stock'!H198="OCCUPIED",ISNUMBER('Master Stock'!L198),'Master Stock'!L198&lt;TODAY()-30),SUMPRODUCT(--('Master Stock'!$D$2:$D$1000&lt;&gt;""),--('Master Stock'!$H$2:$H$1000="OCCUPIED"),--ISNUMBER('Master Stock'!$L$2:$L$1000),--('Master Stock'!$L$2:$L$1000&lt;TODAY()-30),--('Master Stock'!$L$2:$L$1000&lt;'Master Stock'!L198))+COUNTIFS('Master Stock'!$L$2:L198,'Master Stock'!L198,'Master Stock'!$D$2:D198,"&lt;&gt;",'Master Stock'!$H$2:H198,"OCCUPIED"),"")</f>
        <v/>
      </c>
      <c r="W198" s="149" t="n"/>
      <c r="X198" s="149" t="n"/>
      <c r="Y198" s="149" t="n"/>
      <c r="Z198" s="149" t="n"/>
    </row>
    <row r="199" ht="15.75" customHeight="1" s="236">
      <c r="A199" s="148" t="n"/>
      <c r="B199" s="148" t="n"/>
      <c r="C199" s="124" t="n"/>
      <c r="D199" s="148" t="n"/>
      <c r="E199" s="148" t="n"/>
      <c r="F199" s="148" t="n"/>
      <c r="G199" s="124" t="n"/>
      <c r="H199" s="148" t="n"/>
      <c r="I199" s="148" t="n"/>
      <c r="J199" s="148" t="n"/>
      <c r="K199" s="148" t="n"/>
      <c r="L199" s="148" t="n"/>
      <c r="M199" s="148" t="n"/>
      <c r="N199" s="148" t="n"/>
      <c r="O199" s="148" t="n"/>
      <c r="P199" s="148" t="n"/>
      <c r="Q199" s="148" t="n"/>
      <c r="R199" s="148" t="n"/>
      <c r="S199" s="148" t="n"/>
      <c r="T199" s="148" t="n"/>
      <c r="U199" s="149">
        <f>IF(AND('Master Stock'!D199&lt;&gt;"",'Master Stock'!H199="OCCUPIED",ISNUMBER('Master Stock'!J199),'Master Stock'!K199=""),SUMPRODUCT(--('Master Stock'!$D$2:$D$1000&lt;&gt;""),--('Master Stock'!$H$2:$H$1000="OCCUPIED"),--ISNUMBER('Master Stock'!$J$2:$J$1000),--('Master Stock'!$K$2:$K$1000=""),--('Master Stock'!$J$2:$J$1000&lt;'Master Stock'!J199))+COUNTIFS('Master Stock'!$J$2:J199,'Master Stock'!J199,'Master Stock'!$D$2:D199,"&lt;&gt;",'Master Stock'!$H$2:H199,"OCCUPIED",'Master Stock'!$K$2:K199,""),"")</f>
        <v/>
      </c>
      <c r="V199" s="149">
        <f>IF(AND('Master Stock'!D199&lt;&gt;"",'Master Stock'!H199="OCCUPIED",ISNUMBER('Master Stock'!L199),'Master Stock'!L199&lt;TODAY()-30),SUMPRODUCT(--('Master Stock'!$D$2:$D$1000&lt;&gt;""),--('Master Stock'!$H$2:$H$1000="OCCUPIED"),--ISNUMBER('Master Stock'!$L$2:$L$1000),--('Master Stock'!$L$2:$L$1000&lt;TODAY()-30),--('Master Stock'!$L$2:$L$1000&lt;'Master Stock'!L199))+COUNTIFS('Master Stock'!$L$2:L199,'Master Stock'!L199,'Master Stock'!$D$2:D199,"&lt;&gt;",'Master Stock'!$H$2:H199,"OCCUPIED"),"")</f>
        <v/>
      </c>
      <c r="W199" s="149" t="n"/>
      <c r="X199" s="149" t="n"/>
      <c r="Y199" s="149" t="n"/>
      <c r="Z199" s="149" t="n"/>
    </row>
    <row r="200" ht="15.75" customHeight="1" s="236">
      <c r="A200" s="148" t="n"/>
      <c r="B200" s="148" t="n"/>
      <c r="C200" s="124" t="n"/>
      <c r="D200" s="148" t="n"/>
      <c r="E200" s="148" t="n"/>
      <c r="F200" s="148" t="n"/>
      <c r="G200" s="124" t="n"/>
      <c r="H200" s="148" t="n"/>
      <c r="I200" s="148" t="n"/>
      <c r="J200" s="148" t="n"/>
      <c r="K200" s="148" t="n"/>
      <c r="L200" s="148" t="n"/>
      <c r="M200" s="148" t="n"/>
      <c r="N200" s="148" t="n"/>
      <c r="O200" s="148" t="n"/>
      <c r="P200" s="148" t="n"/>
      <c r="Q200" s="148" t="n"/>
      <c r="R200" s="148" t="n"/>
      <c r="S200" s="148" t="n"/>
      <c r="T200" s="148" t="n"/>
      <c r="U200" s="149">
        <f>IF(AND('Master Stock'!D200&lt;&gt;"",'Master Stock'!H200="OCCUPIED",ISNUMBER('Master Stock'!J200),'Master Stock'!K200=""),SUMPRODUCT(--('Master Stock'!$D$2:$D$1000&lt;&gt;""),--('Master Stock'!$H$2:$H$1000="OCCUPIED"),--ISNUMBER('Master Stock'!$J$2:$J$1000),--('Master Stock'!$K$2:$K$1000=""),--('Master Stock'!$J$2:$J$1000&lt;'Master Stock'!J200))+COUNTIFS('Master Stock'!$J$2:J200,'Master Stock'!J200,'Master Stock'!$D$2:D200,"&lt;&gt;",'Master Stock'!$H$2:H200,"OCCUPIED",'Master Stock'!$K$2:K200,""),"")</f>
        <v/>
      </c>
      <c r="V200" s="149">
        <f>IF(AND('Master Stock'!D200&lt;&gt;"",'Master Stock'!H200="OCCUPIED",ISNUMBER('Master Stock'!L200),'Master Stock'!L200&lt;TODAY()-30),SUMPRODUCT(--('Master Stock'!$D$2:$D$1000&lt;&gt;""),--('Master Stock'!$H$2:$H$1000="OCCUPIED"),--ISNUMBER('Master Stock'!$L$2:$L$1000),--('Master Stock'!$L$2:$L$1000&lt;TODAY()-30),--('Master Stock'!$L$2:$L$1000&lt;'Master Stock'!L200))+COUNTIFS('Master Stock'!$L$2:L200,'Master Stock'!L200,'Master Stock'!$D$2:D200,"&lt;&gt;",'Master Stock'!$H$2:H200,"OCCUPIED"),"")</f>
        <v/>
      </c>
      <c r="W200" s="149" t="n"/>
      <c r="X200" s="149" t="n"/>
      <c r="Y200" s="149" t="n"/>
      <c r="Z200" s="149" t="n"/>
    </row>
    <row r="201" ht="15.75" customHeight="1" s="236">
      <c r="A201" s="148" t="n"/>
      <c r="B201" s="148" t="n"/>
      <c r="C201" s="124" t="n"/>
      <c r="D201" s="148" t="n"/>
      <c r="E201" s="148" t="n"/>
      <c r="F201" s="148" t="n"/>
      <c r="G201" s="124" t="n"/>
      <c r="H201" s="148" t="n"/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 t="n"/>
      <c r="S201" s="148" t="n"/>
      <c r="T201" s="148" t="n"/>
      <c r="U201" s="149">
        <f>IF(AND('Master Stock'!D201&lt;&gt;"",'Master Stock'!H201="OCCUPIED",ISNUMBER('Master Stock'!J201),'Master Stock'!K201=""),SUMPRODUCT(--('Master Stock'!$D$2:$D$1000&lt;&gt;""),--('Master Stock'!$H$2:$H$1000="OCCUPIED"),--ISNUMBER('Master Stock'!$J$2:$J$1000),--('Master Stock'!$K$2:$K$1000=""),--('Master Stock'!$J$2:$J$1000&lt;'Master Stock'!J201))+COUNTIFS('Master Stock'!$J$2:J201,'Master Stock'!J201,'Master Stock'!$D$2:D201,"&lt;&gt;",'Master Stock'!$H$2:H201,"OCCUPIED",'Master Stock'!$K$2:K201,""),"")</f>
        <v/>
      </c>
      <c r="V201" s="149">
        <f>IF(AND('Master Stock'!D201&lt;&gt;"",'Master Stock'!H201="OCCUPIED",ISNUMBER('Master Stock'!L201),'Master Stock'!L201&lt;TODAY()-30),SUMPRODUCT(--('Master Stock'!$D$2:$D$1000&lt;&gt;""),--('Master Stock'!$H$2:$H$1000="OCCUPIED"),--ISNUMBER('Master Stock'!$L$2:$L$1000),--('Master Stock'!$L$2:$L$1000&lt;TODAY()-30),--('Master Stock'!$L$2:$L$1000&lt;'Master Stock'!L201))+COUNTIFS('Master Stock'!$L$2:L201,'Master Stock'!L201,'Master Stock'!$D$2:D201,"&lt;&gt;",'Master Stock'!$H$2:H201,"OCCUPIED"),"")</f>
        <v/>
      </c>
      <c r="W201" s="149" t="n"/>
      <c r="X201" s="149" t="n"/>
      <c r="Y201" s="149" t="n"/>
      <c r="Z201" s="149" t="n"/>
    </row>
    <row r="202" ht="15.75" customHeight="1" s="236">
      <c r="A202" s="148" t="n"/>
      <c r="B202" s="148" t="n"/>
      <c r="C202" s="124" t="n"/>
      <c r="D202" s="148" t="n"/>
      <c r="E202" s="148" t="n"/>
      <c r="F202" s="148" t="n"/>
      <c r="G202" s="124" t="n"/>
      <c r="H202" s="148" t="n"/>
      <c r="I202" s="148" t="n"/>
      <c r="J202" s="148" t="n"/>
      <c r="K202" s="148" t="n"/>
      <c r="L202" s="148" t="n"/>
      <c r="M202" s="148" t="n"/>
      <c r="N202" s="148" t="n"/>
      <c r="O202" s="148" t="n"/>
      <c r="P202" s="148" t="n"/>
      <c r="Q202" s="148" t="n"/>
      <c r="R202" s="148" t="n"/>
      <c r="S202" s="148" t="n"/>
      <c r="T202" s="148" t="n"/>
      <c r="U202" s="149">
        <f>IF(AND('Master Stock'!D202&lt;&gt;"",'Master Stock'!H202="OCCUPIED",ISNUMBER('Master Stock'!J202),'Master Stock'!K202=""),SUMPRODUCT(--('Master Stock'!$D$2:$D$1000&lt;&gt;""),--('Master Stock'!$H$2:$H$1000="OCCUPIED"),--ISNUMBER('Master Stock'!$J$2:$J$1000),--('Master Stock'!$K$2:$K$1000=""),--('Master Stock'!$J$2:$J$1000&lt;'Master Stock'!J202))+COUNTIFS('Master Stock'!$J$2:J202,'Master Stock'!J202,'Master Stock'!$D$2:D202,"&lt;&gt;",'Master Stock'!$H$2:H202,"OCCUPIED",'Master Stock'!$K$2:K202,""),"")</f>
        <v/>
      </c>
      <c r="V202" s="149">
        <f>IF(AND('Master Stock'!D202&lt;&gt;"",'Master Stock'!H202="OCCUPIED",ISNUMBER('Master Stock'!L202),'Master Stock'!L202&lt;TODAY()-30),SUMPRODUCT(--('Master Stock'!$D$2:$D$1000&lt;&gt;""),--('Master Stock'!$H$2:$H$1000="OCCUPIED"),--ISNUMBER('Master Stock'!$L$2:$L$1000),--('Master Stock'!$L$2:$L$1000&lt;TODAY()-30),--('Master Stock'!$L$2:$L$1000&lt;'Master Stock'!L202))+COUNTIFS('Master Stock'!$L$2:L202,'Master Stock'!L202,'Master Stock'!$D$2:D202,"&lt;&gt;",'Master Stock'!$H$2:H202,"OCCUPIED"),"")</f>
        <v/>
      </c>
      <c r="W202" s="149" t="n"/>
      <c r="X202" s="149" t="n"/>
      <c r="Y202" s="149" t="n"/>
      <c r="Z202" s="149" t="n"/>
    </row>
    <row r="203" ht="15.75" customHeight="1" s="236">
      <c r="A203" s="148" t="n"/>
      <c r="B203" s="148" t="n"/>
      <c r="C203" s="124" t="n"/>
      <c r="D203" s="148" t="n"/>
      <c r="E203" s="148" t="n"/>
      <c r="F203" s="148" t="n"/>
      <c r="G203" s="124" t="n"/>
      <c r="H203" s="148" t="n"/>
      <c r="I203" s="148" t="n"/>
      <c r="J203" s="148" t="n"/>
      <c r="K203" s="148" t="n"/>
      <c r="L203" s="148" t="n"/>
      <c r="M203" s="148" t="n"/>
      <c r="N203" s="148" t="n"/>
      <c r="O203" s="148" t="n"/>
      <c r="P203" s="148" t="n"/>
      <c r="Q203" s="148" t="n"/>
      <c r="R203" s="148" t="n"/>
      <c r="S203" s="148" t="n"/>
      <c r="T203" s="148" t="n"/>
      <c r="U203" s="149">
        <f>IF(AND('Master Stock'!D203&lt;&gt;"",'Master Stock'!H203="OCCUPIED",ISNUMBER('Master Stock'!J203),'Master Stock'!K203=""),SUMPRODUCT(--('Master Stock'!$D$2:$D$1000&lt;&gt;""),--('Master Stock'!$H$2:$H$1000="OCCUPIED"),--ISNUMBER('Master Stock'!$J$2:$J$1000),--('Master Stock'!$K$2:$K$1000=""),--('Master Stock'!$J$2:$J$1000&lt;'Master Stock'!J203))+COUNTIFS('Master Stock'!$J$2:J203,'Master Stock'!J203,'Master Stock'!$D$2:D203,"&lt;&gt;",'Master Stock'!$H$2:H203,"OCCUPIED",'Master Stock'!$K$2:K203,""),"")</f>
        <v/>
      </c>
      <c r="V203" s="149">
        <f>IF(AND('Master Stock'!D203&lt;&gt;"",'Master Stock'!H203="OCCUPIED",ISNUMBER('Master Stock'!L203),'Master Stock'!L203&lt;TODAY()-30),SUMPRODUCT(--('Master Stock'!$D$2:$D$1000&lt;&gt;""),--('Master Stock'!$H$2:$H$1000="OCCUPIED"),--ISNUMBER('Master Stock'!$L$2:$L$1000),--('Master Stock'!$L$2:$L$1000&lt;TODAY()-30),--('Master Stock'!$L$2:$L$1000&lt;'Master Stock'!L203))+COUNTIFS('Master Stock'!$L$2:L203,'Master Stock'!L203,'Master Stock'!$D$2:D203,"&lt;&gt;",'Master Stock'!$H$2:H203,"OCCUPIED"),"")</f>
        <v/>
      </c>
      <c r="W203" s="149" t="n"/>
      <c r="X203" s="149" t="n"/>
      <c r="Y203" s="149" t="n"/>
      <c r="Z203" s="149" t="n"/>
    </row>
    <row r="204" ht="15.75" customHeight="1" s="236">
      <c r="A204" s="148" t="n"/>
      <c r="B204" s="148" t="n"/>
      <c r="C204" s="124" t="n"/>
      <c r="D204" s="148" t="n"/>
      <c r="E204" s="148" t="n"/>
      <c r="F204" s="148" t="n"/>
      <c r="G204" s="124" t="n"/>
      <c r="H204" s="148" t="n"/>
      <c r="I204" s="148" t="n"/>
      <c r="J204" s="148" t="n"/>
      <c r="K204" s="148" t="n"/>
      <c r="L204" s="148" t="n"/>
      <c r="M204" s="148" t="n"/>
      <c r="N204" s="148" t="n"/>
      <c r="O204" s="148" t="n"/>
      <c r="P204" s="148" t="n"/>
      <c r="Q204" s="148" t="n"/>
      <c r="R204" s="148" t="n"/>
      <c r="S204" s="148" t="n"/>
      <c r="T204" s="148" t="n"/>
      <c r="U204" s="149">
        <f>IF(AND('Master Stock'!D204&lt;&gt;"",'Master Stock'!H204="OCCUPIED",ISNUMBER('Master Stock'!J204),'Master Stock'!K204=""),SUMPRODUCT(--('Master Stock'!$D$2:$D$1000&lt;&gt;""),--('Master Stock'!$H$2:$H$1000="OCCUPIED"),--ISNUMBER('Master Stock'!$J$2:$J$1000),--('Master Stock'!$K$2:$K$1000=""),--('Master Stock'!$J$2:$J$1000&lt;'Master Stock'!J204))+COUNTIFS('Master Stock'!$J$2:J204,'Master Stock'!J204,'Master Stock'!$D$2:D204,"&lt;&gt;",'Master Stock'!$H$2:H204,"OCCUPIED",'Master Stock'!$K$2:K204,""),"")</f>
        <v/>
      </c>
      <c r="V204" s="149">
        <f>IF(AND('Master Stock'!D204&lt;&gt;"",'Master Stock'!H204="OCCUPIED",ISNUMBER('Master Stock'!L204),'Master Stock'!L204&lt;TODAY()-30),SUMPRODUCT(--('Master Stock'!$D$2:$D$1000&lt;&gt;""),--('Master Stock'!$H$2:$H$1000="OCCUPIED"),--ISNUMBER('Master Stock'!$L$2:$L$1000),--('Master Stock'!$L$2:$L$1000&lt;TODAY()-30),--('Master Stock'!$L$2:$L$1000&lt;'Master Stock'!L204))+COUNTIFS('Master Stock'!$L$2:L204,'Master Stock'!L204,'Master Stock'!$D$2:D204,"&lt;&gt;",'Master Stock'!$H$2:H204,"OCCUPIED"),"")</f>
        <v/>
      </c>
      <c r="W204" s="149" t="n"/>
      <c r="X204" s="149" t="n"/>
      <c r="Y204" s="149" t="n"/>
      <c r="Z204" s="149" t="n"/>
    </row>
    <row r="205" ht="15.75" customHeight="1" s="236">
      <c r="A205" s="148" t="n"/>
      <c r="B205" s="148" t="n"/>
      <c r="C205" s="124" t="n"/>
      <c r="D205" s="148" t="n"/>
      <c r="E205" s="148" t="n"/>
      <c r="F205" s="148" t="n"/>
      <c r="G205" s="124" t="n"/>
      <c r="H205" s="148" t="n"/>
      <c r="I205" s="148" t="n"/>
      <c r="J205" s="148" t="n"/>
      <c r="K205" s="148" t="n"/>
      <c r="L205" s="148" t="n"/>
      <c r="M205" s="148" t="n"/>
      <c r="N205" s="148" t="n"/>
      <c r="O205" s="148" t="n"/>
      <c r="P205" s="148" t="n"/>
      <c r="Q205" s="148" t="n"/>
      <c r="R205" s="148" t="n"/>
      <c r="S205" s="148" t="n"/>
      <c r="T205" s="148" t="n"/>
      <c r="U205" s="149">
        <f>IF(AND('Master Stock'!D205&lt;&gt;"",'Master Stock'!H205="OCCUPIED",ISNUMBER('Master Stock'!J205),'Master Stock'!K205=""),SUMPRODUCT(--('Master Stock'!$D$2:$D$1000&lt;&gt;""),--('Master Stock'!$H$2:$H$1000="OCCUPIED"),--ISNUMBER('Master Stock'!$J$2:$J$1000),--('Master Stock'!$K$2:$K$1000=""),--('Master Stock'!$J$2:$J$1000&lt;'Master Stock'!J205))+COUNTIFS('Master Stock'!$J$2:J205,'Master Stock'!J205,'Master Stock'!$D$2:D205,"&lt;&gt;",'Master Stock'!$H$2:H205,"OCCUPIED",'Master Stock'!$K$2:K205,""),"")</f>
        <v/>
      </c>
      <c r="V205" s="149">
        <f>IF(AND('Master Stock'!D205&lt;&gt;"",'Master Stock'!H205="OCCUPIED",ISNUMBER('Master Stock'!L205),'Master Stock'!L205&lt;TODAY()-30),SUMPRODUCT(--('Master Stock'!$D$2:$D$1000&lt;&gt;""),--('Master Stock'!$H$2:$H$1000="OCCUPIED"),--ISNUMBER('Master Stock'!$L$2:$L$1000),--('Master Stock'!$L$2:$L$1000&lt;TODAY()-30),--('Master Stock'!$L$2:$L$1000&lt;'Master Stock'!L205))+COUNTIFS('Master Stock'!$L$2:L205,'Master Stock'!L205,'Master Stock'!$D$2:D205,"&lt;&gt;",'Master Stock'!$H$2:H205,"OCCUPIED"),"")</f>
        <v/>
      </c>
      <c r="W205" s="149" t="n"/>
      <c r="X205" s="149" t="n"/>
      <c r="Y205" s="149" t="n"/>
      <c r="Z205" s="149" t="n"/>
    </row>
    <row r="206" ht="15.75" customHeight="1" s="236">
      <c r="A206" s="148" t="n"/>
      <c r="B206" s="148" t="n"/>
      <c r="C206" s="124" t="n"/>
      <c r="D206" s="148" t="n"/>
      <c r="E206" s="148" t="n"/>
      <c r="F206" s="148" t="n"/>
      <c r="G206" s="124" t="n"/>
      <c r="H206" s="148" t="n"/>
      <c r="I206" s="148" t="n"/>
      <c r="J206" s="148" t="n"/>
      <c r="K206" s="148" t="n"/>
      <c r="L206" s="148" t="n"/>
      <c r="M206" s="148" t="n"/>
      <c r="N206" s="148" t="n"/>
      <c r="O206" s="148" t="n"/>
      <c r="P206" s="148" t="n"/>
      <c r="Q206" s="148" t="n"/>
      <c r="R206" s="148" t="n"/>
      <c r="S206" s="148" t="n"/>
      <c r="T206" s="148" t="n"/>
      <c r="U206" s="149">
        <f>IF(AND('Master Stock'!D206&lt;&gt;"",'Master Stock'!H206="OCCUPIED",ISNUMBER('Master Stock'!J206),'Master Stock'!K206=""),SUMPRODUCT(--('Master Stock'!$D$2:$D$1000&lt;&gt;""),--('Master Stock'!$H$2:$H$1000="OCCUPIED"),--ISNUMBER('Master Stock'!$J$2:$J$1000),--('Master Stock'!$K$2:$K$1000=""),--('Master Stock'!$J$2:$J$1000&lt;'Master Stock'!J206))+COUNTIFS('Master Stock'!$J$2:J206,'Master Stock'!J206,'Master Stock'!$D$2:D206,"&lt;&gt;",'Master Stock'!$H$2:H206,"OCCUPIED",'Master Stock'!$K$2:K206,""),"")</f>
        <v/>
      </c>
      <c r="V206" s="149">
        <f>IF(AND('Master Stock'!D206&lt;&gt;"",'Master Stock'!H206="OCCUPIED",ISNUMBER('Master Stock'!L206),'Master Stock'!L206&lt;TODAY()-30),SUMPRODUCT(--('Master Stock'!$D$2:$D$1000&lt;&gt;""),--('Master Stock'!$H$2:$H$1000="OCCUPIED"),--ISNUMBER('Master Stock'!$L$2:$L$1000),--('Master Stock'!$L$2:$L$1000&lt;TODAY()-30),--('Master Stock'!$L$2:$L$1000&lt;'Master Stock'!L206))+COUNTIFS('Master Stock'!$L$2:L206,'Master Stock'!L206,'Master Stock'!$D$2:D206,"&lt;&gt;",'Master Stock'!$H$2:H206,"OCCUPIED"),"")</f>
        <v/>
      </c>
      <c r="W206" s="149" t="n"/>
      <c r="X206" s="149" t="n"/>
      <c r="Y206" s="149" t="n"/>
      <c r="Z206" s="149" t="n"/>
    </row>
    <row r="207" ht="15.75" customHeight="1" s="236">
      <c r="A207" s="148" t="n"/>
      <c r="B207" s="148" t="n"/>
      <c r="C207" s="124" t="n"/>
      <c r="D207" s="148" t="n"/>
      <c r="E207" s="148" t="n"/>
      <c r="F207" s="148" t="n"/>
      <c r="G207" s="124" t="n"/>
      <c r="H207" s="148" t="n"/>
      <c r="I207" s="148" t="n"/>
      <c r="J207" s="148" t="n"/>
      <c r="K207" s="148" t="n"/>
      <c r="L207" s="148" t="n"/>
      <c r="M207" s="148" t="n"/>
      <c r="N207" s="148" t="n"/>
      <c r="O207" s="148" t="n"/>
      <c r="P207" s="148" t="n"/>
      <c r="Q207" s="148" t="n"/>
      <c r="R207" s="148" t="n"/>
      <c r="S207" s="148" t="n"/>
      <c r="T207" s="148" t="n"/>
      <c r="U207" s="149">
        <f>IF(AND('Master Stock'!D207&lt;&gt;"",'Master Stock'!H207="OCCUPIED",ISNUMBER('Master Stock'!J207),'Master Stock'!K207=""),SUMPRODUCT(--('Master Stock'!$D$2:$D$1000&lt;&gt;""),--('Master Stock'!$H$2:$H$1000="OCCUPIED"),--ISNUMBER('Master Stock'!$J$2:$J$1000),--('Master Stock'!$K$2:$K$1000=""),--('Master Stock'!$J$2:$J$1000&lt;'Master Stock'!J207))+COUNTIFS('Master Stock'!$J$2:J207,'Master Stock'!J207,'Master Stock'!$D$2:D207,"&lt;&gt;",'Master Stock'!$H$2:H207,"OCCUPIED",'Master Stock'!$K$2:K207,""),"")</f>
        <v/>
      </c>
      <c r="V207" s="149">
        <f>IF(AND('Master Stock'!D207&lt;&gt;"",'Master Stock'!H207="OCCUPIED",ISNUMBER('Master Stock'!L207),'Master Stock'!L207&lt;TODAY()-30),SUMPRODUCT(--('Master Stock'!$D$2:$D$1000&lt;&gt;""),--('Master Stock'!$H$2:$H$1000="OCCUPIED"),--ISNUMBER('Master Stock'!$L$2:$L$1000),--('Master Stock'!$L$2:$L$1000&lt;TODAY()-30),--('Master Stock'!$L$2:$L$1000&lt;'Master Stock'!L207))+COUNTIFS('Master Stock'!$L$2:L207,'Master Stock'!L207,'Master Stock'!$D$2:D207,"&lt;&gt;",'Master Stock'!$H$2:H207,"OCCUPIED"),"")</f>
        <v/>
      </c>
      <c r="W207" s="149" t="n"/>
      <c r="X207" s="149" t="n"/>
      <c r="Y207" s="149" t="n"/>
      <c r="Z207" s="149" t="n"/>
    </row>
    <row r="208" ht="15.75" customHeight="1" s="236">
      <c r="A208" s="148" t="n"/>
      <c r="B208" s="148" t="n"/>
      <c r="C208" s="124" t="n"/>
      <c r="D208" s="148" t="n"/>
      <c r="E208" s="148" t="n"/>
      <c r="F208" s="148" t="n"/>
      <c r="G208" s="124" t="n"/>
      <c r="H208" s="148" t="n"/>
      <c r="I208" s="148" t="n"/>
      <c r="J208" s="148" t="n"/>
      <c r="K208" s="148" t="n"/>
      <c r="L208" s="148" t="n"/>
      <c r="M208" s="148" t="n"/>
      <c r="N208" s="148" t="n"/>
      <c r="O208" s="148" t="n"/>
      <c r="P208" s="148" t="n"/>
      <c r="Q208" s="148" t="n"/>
      <c r="R208" s="148" t="n"/>
      <c r="S208" s="148" t="n"/>
      <c r="T208" s="148" t="n"/>
      <c r="U208" s="149">
        <f>IF(AND('Master Stock'!D208&lt;&gt;"",'Master Stock'!H208="OCCUPIED",ISNUMBER('Master Stock'!J208),'Master Stock'!K208=""),SUMPRODUCT(--('Master Stock'!$D$2:$D$1000&lt;&gt;""),--('Master Stock'!$H$2:$H$1000="OCCUPIED"),--ISNUMBER('Master Stock'!$J$2:$J$1000),--('Master Stock'!$K$2:$K$1000=""),--('Master Stock'!$J$2:$J$1000&lt;'Master Stock'!J208))+COUNTIFS('Master Stock'!$J$2:J208,'Master Stock'!J208,'Master Stock'!$D$2:D208,"&lt;&gt;",'Master Stock'!$H$2:H208,"OCCUPIED",'Master Stock'!$K$2:K208,""),"")</f>
        <v/>
      </c>
      <c r="V208" s="149">
        <f>IF(AND('Master Stock'!D208&lt;&gt;"",'Master Stock'!H208="OCCUPIED",ISNUMBER('Master Stock'!L208),'Master Stock'!L208&lt;TODAY()-30),SUMPRODUCT(--('Master Stock'!$D$2:$D$1000&lt;&gt;""),--('Master Stock'!$H$2:$H$1000="OCCUPIED"),--ISNUMBER('Master Stock'!$L$2:$L$1000),--('Master Stock'!$L$2:$L$1000&lt;TODAY()-30),--('Master Stock'!$L$2:$L$1000&lt;'Master Stock'!L208))+COUNTIFS('Master Stock'!$L$2:L208,'Master Stock'!L208,'Master Stock'!$D$2:D208,"&lt;&gt;",'Master Stock'!$H$2:H208,"OCCUPIED"),"")</f>
        <v/>
      </c>
      <c r="W208" s="149" t="n"/>
      <c r="X208" s="149" t="n"/>
      <c r="Y208" s="149" t="n"/>
      <c r="Z208" s="149" t="n"/>
    </row>
    <row r="209" ht="15.75" customHeight="1" s="236">
      <c r="A209" s="148" t="n"/>
      <c r="B209" s="148" t="n"/>
      <c r="C209" s="124" t="n"/>
      <c r="D209" s="148" t="n"/>
      <c r="E209" s="148" t="n"/>
      <c r="F209" s="148" t="n"/>
      <c r="G209" s="124" t="n"/>
      <c r="H209" s="148" t="n"/>
      <c r="I209" s="148" t="n"/>
      <c r="J209" s="148" t="n"/>
      <c r="K209" s="148" t="n"/>
      <c r="L209" s="148" t="n"/>
      <c r="M209" s="148" t="n"/>
      <c r="N209" s="148" t="n"/>
      <c r="O209" s="148" t="n"/>
      <c r="P209" s="148" t="n"/>
      <c r="Q209" s="148" t="n"/>
      <c r="R209" s="148" t="n"/>
      <c r="S209" s="148" t="n"/>
      <c r="T209" s="148" t="n"/>
      <c r="U209" s="149">
        <f>IF(AND('Master Stock'!D209&lt;&gt;"",'Master Stock'!H209="OCCUPIED",ISNUMBER('Master Stock'!J209),'Master Stock'!K209=""),SUMPRODUCT(--('Master Stock'!$D$2:$D$1000&lt;&gt;""),--('Master Stock'!$H$2:$H$1000="OCCUPIED"),--ISNUMBER('Master Stock'!$J$2:$J$1000),--('Master Stock'!$K$2:$K$1000=""),--('Master Stock'!$J$2:$J$1000&lt;'Master Stock'!J209))+COUNTIFS('Master Stock'!$J$2:J209,'Master Stock'!J209,'Master Stock'!$D$2:D209,"&lt;&gt;",'Master Stock'!$H$2:H209,"OCCUPIED",'Master Stock'!$K$2:K209,""),"")</f>
        <v/>
      </c>
      <c r="V209" s="149">
        <f>IF(AND('Master Stock'!D209&lt;&gt;"",'Master Stock'!H209="OCCUPIED",ISNUMBER('Master Stock'!L209),'Master Stock'!L209&lt;TODAY()-30),SUMPRODUCT(--('Master Stock'!$D$2:$D$1000&lt;&gt;""),--('Master Stock'!$H$2:$H$1000="OCCUPIED"),--ISNUMBER('Master Stock'!$L$2:$L$1000),--('Master Stock'!$L$2:$L$1000&lt;TODAY()-30),--('Master Stock'!$L$2:$L$1000&lt;'Master Stock'!L209))+COUNTIFS('Master Stock'!$L$2:L209,'Master Stock'!L209,'Master Stock'!$D$2:D209,"&lt;&gt;",'Master Stock'!$H$2:H209,"OCCUPIED"),"")</f>
        <v/>
      </c>
      <c r="W209" s="149" t="n"/>
      <c r="X209" s="149" t="n"/>
      <c r="Y209" s="149" t="n"/>
      <c r="Z209" s="149" t="n"/>
    </row>
    <row r="210" ht="15.75" customHeight="1" s="236">
      <c r="A210" s="148" t="n"/>
      <c r="B210" s="148" t="n"/>
      <c r="C210" s="124" t="n"/>
      <c r="D210" s="148" t="n"/>
      <c r="E210" s="148" t="n"/>
      <c r="F210" s="148" t="n"/>
      <c r="G210" s="124" t="n"/>
      <c r="H210" s="148" t="n"/>
      <c r="I210" s="148" t="n"/>
      <c r="J210" s="148" t="n"/>
      <c r="K210" s="148" t="n"/>
      <c r="L210" s="148" t="n"/>
      <c r="M210" s="148" t="n"/>
      <c r="N210" s="148" t="n"/>
      <c r="O210" s="148" t="n"/>
      <c r="P210" s="148" t="n"/>
      <c r="Q210" s="148" t="n"/>
      <c r="R210" s="148" t="n"/>
      <c r="S210" s="148" t="n"/>
      <c r="T210" s="148" t="n"/>
      <c r="U210" s="149">
        <f>IF(AND('Master Stock'!D210&lt;&gt;"",'Master Stock'!H210="OCCUPIED",ISNUMBER('Master Stock'!J210),'Master Stock'!K210=""),SUMPRODUCT(--('Master Stock'!$D$2:$D$1000&lt;&gt;""),--('Master Stock'!$H$2:$H$1000="OCCUPIED"),--ISNUMBER('Master Stock'!$J$2:$J$1000),--('Master Stock'!$K$2:$K$1000=""),--('Master Stock'!$J$2:$J$1000&lt;'Master Stock'!J210))+COUNTIFS('Master Stock'!$J$2:J210,'Master Stock'!J210,'Master Stock'!$D$2:D210,"&lt;&gt;",'Master Stock'!$H$2:H210,"OCCUPIED",'Master Stock'!$K$2:K210,""),"")</f>
        <v/>
      </c>
      <c r="V210" s="149">
        <f>IF(AND('Master Stock'!D210&lt;&gt;"",'Master Stock'!H210="OCCUPIED",ISNUMBER('Master Stock'!L210),'Master Stock'!L210&lt;TODAY()-30),SUMPRODUCT(--('Master Stock'!$D$2:$D$1000&lt;&gt;""),--('Master Stock'!$H$2:$H$1000="OCCUPIED"),--ISNUMBER('Master Stock'!$L$2:$L$1000),--('Master Stock'!$L$2:$L$1000&lt;TODAY()-30),--('Master Stock'!$L$2:$L$1000&lt;'Master Stock'!L210))+COUNTIFS('Master Stock'!$L$2:L210,'Master Stock'!L210,'Master Stock'!$D$2:D210,"&lt;&gt;",'Master Stock'!$H$2:H210,"OCCUPIED"),"")</f>
        <v/>
      </c>
      <c r="W210" s="149" t="n"/>
      <c r="X210" s="149" t="n"/>
      <c r="Y210" s="149" t="n"/>
      <c r="Z210" s="149" t="n"/>
    </row>
    <row r="211" ht="15.75" customHeight="1" s="236">
      <c r="A211" s="148" t="n"/>
      <c r="B211" s="148" t="n"/>
      <c r="C211" s="124" t="n"/>
      <c r="D211" s="148" t="n"/>
      <c r="E211" s="148" t="n"/>
      <c r="F211" s="148" t="n"/>
      <c r="G211" s="124" t="n"/>
      <c r="H211" s="148" t="n"/>
      <c r="I211" s="148" t="n"/>
      <c r="J211" s="148" t="n"/>
      <c r="K211" s="148" t="n"/>
      <c r="L211" s="148" t="n"/>
      <c r="M211" s="148" t="n"/>
      <c r="N211" s="148" t="n"/>
      <c r="O211" s="148" t="n"/>
      <c r="P211" s="148" t="n"/>
      <c r="Q211" s="148" t="n"/>
      <c r="R211" s="148" t="n"/>
      <c r="S211" s="148" t="n"/>
      <c r="T211" s="148" t="n"/>
      <c r="U211" s="149">
        <f>IF(AND('Master Stock'!D211&lt;&gt;"",'Master Stock'!H211="OCCUPIED",ISNUMBER('Master Stock'!J211),'Master Stock'!K211=""),SUMPRODUCT(--('Master Stock'!$D$2:$D$1000&lt;&gt;""),--('Master Stock'!$H$2:$H$1000="OCCUPIED"),--ISNUMBER('Master Stock'!$J$2:$J$1000),--('Master Stock'!$K$2:$K$1000=""),--('Master Stock'!$J$2:$J$1000&lt;'Master Stock'!J211))+COUNTIFS('Master Stock'!$J$2:J211,'Master Stock'!J211,'Master Stock'!$D$2:D211,"&lt;&gt;",'Master Stock'!$H$2:H211,"OCCUPIED",'Master Stock'!$K$2:K211,""),"")</f>
        <v/>
      </c>
      <c r="V211" s="149">
        <f>IF(AND('Master Stock'!D211&lt;&gt;"",'Master Stock'!H211="OCCUPIED",ISNUMBER('Master Stock'!L211),'Master Stock'!L211&lt;TODAY()-30),SUMPRODUCT(--('Master Stock'!$D$2:$D$1000&lt;&gt;""),--('Master Stock'!$H$2:$H$1000="OCCUPIED"),--ISNUMBER('Master Stock'!$L$2:$L$1000),--('Master Stock'!$L$2:$L$1000&lt;TODAY()-30),--('Master Stock'!$L$2:$L$1000&lt;'Master Stock'!L211))+COUNTIFS('Master Stock'!$L$2:L211,'Master Stock'!L211,'Master Stock'!$D$2:D211,"&lt;&gt;",'Master Stock'!$H$2:H211,"OCCUPIED"),"")</f>
        <v/>
      </c>
      <c r="W211" s="149" t="n"/>
      <c r="X211" s="149" t="n"/>
      <c r="Y211" s="149" t="n"/>
      <c r="Z211" s="149" t="n"/>
    </row>
    <row r="212" ht="15.75" customHeight="1" s="236">
      <c r="A212" s="148" t="n"/>
      <c r="B212" s="148" t="n"/>
      <c r="C212" s="124" t="n"/>
      <c r="D212" s="148" t="n"/>
      <c r="E212" s="148" t="n"/>
      <c r="F212" s="148" t="n"/>
      <c r="G212" s="124" t="n"/>
      <c r="H212" s="148" t="n"/>
      <c r="I212" s="148" t="n"/>
      <c r="J212" s="148" t="n"/>
      <c r="K212" s="148" t="n"/>
      <c r="L212" s="148" t="n"/>
      <c r="M212" s="148" t="n"/>
      <c r="N212" s="148" t="n"/>
      <c r="O212" s="148" t="n"/>
      <c r="P212" s="148" t="n"/>
      <c r="Q212" s="148" t="n"/>
      <c r="R212" s="148" t="n"/>
      <c r="S212" s="148" t="n"/>
      <c r="T212" s="148" t="n"/>
      <c r="U212" s="149">
        <f>IF(AND('Master Stock'!D212&lt;&gt;"",'Master Stock'!H212="OCCUPIED",ISNUMBER('Master Stock'!J212),'Master Stock'!K212=""),SUMPRODUCT(--('Master Stock'!$D$2:$D$1000&lt;&gt;""),--('Master Stock'!$H$2:$H$1000="OCCUPIED"),--ISNUMBER('Master Stock'!$J$2:$J$1000),--('Master Stock'!$K$2:$K$1000=""),--('Master Stock'!$J$2:$J$1000&lt;'Master Stock'!J212))+COUNTIFS('Master Stock'!$J$2:J212,'Master Stock'!J212,'Master Stock'!$D$2:D212,"&lt;&gt;",'Master Stock'!$H$2:H212,"OCCUPIED",'Master Stock'!$K$2:K212,""),"")</f>
        <v/>
      </c>
      <c r="V212" s="149">
        <f>IF(AND('Master Stock'!D212&lt;&gt;"",'Master Stock'!H212="OCCUPIED",ISNUMBER('Master Stock'!L212),'Master Stock'!L212&lt;TODAY()-30),SUMPRODUCT(--('Master Stock'!$D$2:$D$1000&lt;&gt;""),--('Master Stock'!$H$2:$H$1000="OCCUPIED"),--ISNUMBER('Master Stock'!$L$2:$L$1000),--('Master Stock'!$L$2:$L$1000&lt;TODAY()-30),--('Master Stock'!$L$2:$L$1000&lt;'Master Stock'!L212))+COUNTIFS('Master Stock'!$L$2:L212,'Master Stock'!L212,'Master Stock'!$D$2:D212,"&lt;&gt;",'Master Stock'!$H$2:H212,"OCCUPIED"),"")</f>
        <v/>
      </c>
      <c r="W212" s="149" t="n"/>
      <c r="X212" s="149" t="n"/>
      <c r="Y212" s="149" t="n"/>
      <c r="Z212" s="149" t="n"/>
    </row>
    <row r="213" ht="15.75" customHeight="1" s="236">
      <c r="A213" s="148" t="n"/>
      <c r="B213" s="148" t="n"/>
      <c r="C213" s="124" t="n"/>
      <c r="D213" s="148" t="n"/>
      <c r="E213" s="148" t="n"/>
      <c r="F213" s="148" t="n"/>
      <c r="G213" s="124" t="n"/>
      <c r="H213" s="148" t="n"/>
      <c r="I213" s="148" t="n"/>
      <c r="J213" s="148" t="n"/>
      <c r="K213" s="148" t="n"/>
      <c r="L213" s="148" t="n"/>
      <c r="M213" s="148" t="n"/>
      <c r="N213" s="148" t="n"/>
      <c r="O213" s="148" t="n"/>
      <c r="P213" s="148" t="n"/>
      <c r="Q213" s="148" t="n"/>
      <c r="R213" s="148" t="n"/>
      <c r="S213" s="148" t="n"/>
      <c r="T213" s="148" t="n"/>
      <c r="U213" s="149">
        <f>IF(AND('Master Stock'!D213&lt;&gt;"",'Master Stock'!H213="OCCUPIED",ISNUMBER('Master Stock'!J213),'Master Stock'!K213=""),SUMPRODUCT(--('Master Stock'!$D$2:$D$1000&lt;&gt;""),--('Master Stock'!$H$2:$H$1000="OCCUPIED"),--ISNUMBER('Master Stock'!$J$2:$J$1000),--('Master Stock'!$K$2:$K$1000=""),--('Master Stock'!$J$2:$J$1000&lt;'Master Stock'!J213))+COUNTIFS('Master Stock'!$J$2:J213,'Master Stock'!J213,'Master Stock'!$D$2:D213,"&lt;&gt;",'Master Stock'!$H$2:H213,"OCCUPIED",'Master Stock'!$K$2:K213,""),"")</f>
        <v/>
      </c>
      <c r="V213" s="149">
        <f>IF(AND('Master Stock'!D213&lt;&gt;"",'Master Stock'!H213="OCCUPIED",ISNUMBER('Master Stock'!L213),'Master Stock'!L213&lt;TODAY()-30),SUMPRODUCT(--('Master Stock'!$D$2:$D$1000&lt;&gt;""),--('Master Stock'!$H$2:$H$1000="OCCUPIED"),--ISNUMBER('Master Stock'!$L$2:$L$1000),--('Master Stock'!$L$2:$L$1000&lt;TODAY()-30),--('Master Stock'!$L$2:$L$1000&lt;'Master Stock'!L213))+COUNTIFS('Master Stock'!$L$2:L213,'Master Stock'!L213,'Master Stock'!$D$2:D213,"&lt;&gt;",'Master Stock'!$H$2:H213,"OCCUPIED"),"")</f>
        <v/>
      </c>
      <c r="W213" s="149" t="n"/>
      <c r="X213" s="149" t="n"/>
      <c r="Y213" s="149" t="n"/>
      <c r="Z213" s="149" t="n"/>
    </row>
    <row r="214" ht="15.75" customHeight="1" s="236">
      <c r="A214" s="148" t="n"/>
      <c r="B214" s="148" t="n"/>
      <c r="C214" s="124" t="n"/>
      <c r="D214" s="148" t="n"/>
      <c r="E214" s="148" t="n"/>
      <c r="F214" s="148" t="n"/>
      <c r="G214" s="124" t="n"/>
      <c r="H214" s="148" t="n"/>
      <c r="I214" s="148" t="n"/>
      <c r="J214" s="148" t="n"/>
      <c r="K214" s="148" t="n"/>
      <c r="L214" s="148" t="n"/>
      <c r="M214" s="148" t="n"/>
      <c r="N214" s="148" t="n"/>
      <c r="O214" s="148" t="n"/>
      <c r="P214" s="148" t="n"/>
      <c r="Q214" s="148" t="n"/>
      <c r="R214" s="148" t="n"/>
      <c r="S214" s="148" t="n"/>
      <c r="T214" s="148" t="n"/>
      <c r="U214" s="149">
        <f>IF(AND('Master Stock'!D214&lt;&gt;"",'Master Stock'!H214="OCCUPIED",ISNUMBER('Master Stock'!J214),'Master Stock'!K214=""),SUMPRODUCT(--('Master Stock'!$D$2:$D$1000&lt;&gt;""),--('Master Stock'!$H$2:$H$1000="OCCUPIED"),--ISNUMBER('Master Stock'!$J$2:$J$1000),--('Master Stock'!$K$2:$K$1000=""),--('Master Stock'!$J$2:$J$1000&lt;'Master Stock'!J214))+COUNTIFS('Master Stock'!$J$2:J214,'Master Stock'!J214,'Master Stock'!$D$2:D214,"&lt;&gt;",'Master Stock'!$H$2:H214,"OCCUPIED",'Master Stock'!$K$2:K214,""),"")</f>
        <v/>
      </c>
      <c r="V214" s="149">
        <f>IF(AND('Master Stock'!D214&lt;&gt;"",'Master Stock'!H214="OCCUPIED",ISNUMBER('Master Stock'!L214),'Master Stock'!L214&lt;TODAY()-30),SUMPRODUCT(--('Master Stock'!$D$2:$D$1000&lt;&gt;""),--('Master Stock'!$H$2:$H$1000="OCCUPIED"),--ISNUMBER('Master Stock'!$L$2:$L$1000),--('Master Stock'!$L$2:$L$1000&lt;TODAY()-30),--('Master Stock'!$L$2:$L$1000&lt;'Master Stock'!L214))+COUNTIFS('Master Stock'!$L$2:L214,'Master Stock'!L214,'Master Stock'!$D$2:D214,"&lt;&gt;",'Master Stock'!$H$2:H214,"OCCUPIED"),"")</f>
        <v/>
      </c>
      <c r="W214" s="149" t="n"/>
      <c r="X214" s="149" t="n"/>
      <c r="Y214" s="149" t="n"/>
      <c r="Z214" s="149" t="n"/>
    </row>
    <row r="215" ht="15.75" customHeight="1" s="236">
      <c r="A215" s="148" t="n"/>
      <c r="B215" s="148" t="n"/>
      <c r="C215" s="124" t="n"/>
      <c r="D215" s="148" t="n"/>
      <c r="E215" s="148" t="n"/>
      <c r="F215" s="148" t="n"/>
      <c r="G215" s="124" t="n"/>
      <c r="H215" s="148" t="n"/>
      <c r="I215" s="148" t="n"/>
      <c r="J215" s="148" t="n"/>
      <c r="K215" s="148" t="n"/>
      <c r="L215" s="148" t="n"/>
      <c r="M215" s="148" t="n"/>
      <c r="N215" s="148" t="n"/>
      <c r="O215" s="148" t="n"/>
      <c r="P215" s="148" t="n"/>
      <c r="Q215" s="148" t="n"/>
      <c r="R215" s="148" t="n"/>
      <c r="S215" s="148" t="n"/>
      <c r="T215" s="148" t="n"/>
      <c r="U215" s="149">
        <f>IF(AND('Master Stock'!D215&lt;&gt;"",'Master Stock'!H215="OCCUPIED",ISNUMBER('Master Stock'!J215),'Master Stock'!K215=""),SUMPRODUCT(--('Master Stock'!$D$2:$D$1000&lt;&gt;""),--('Master Stock'!$H$2:$H$1000="OCCUPIED"),--ISNUMBER('Master Stock'!$J$2:$J$1000),--('Master Stock'!$K$2:$K$1000=""),--('Master Stock'!$J$2:$J$1000&lt;'Master Stock'!J215))+COUNTIFS('Master Stock'!$J$2:J215,'Master Stock'!J215,'Master Stock'!$D$2:D215,"&lt;&gt;",'Master Stock'!$H$2:H215,"OCCUPIED",'Master Stock'!$K$2:K215,""),"")</f>
        <v/>
      </c>
      <c r="V215" s="149">
        <f>IF(AND('Master Stock'!D215&lt;&gt;"",'Master Stock'!H215="OCCUPIED",ISNUMBER('Master Stock'!L215),'Master Stock'!L215&lt;TODAY()-30),SUMPRODUCT(--('Master Stock'!$D$2:$D$1000&lt;&gt;""),--('Master Stock'!$H$2:$H$1000="OCCUPIED"),--ISNUMBER('Master Stock'!$L$2:$L$1000),--('Master Stock'!$L$2:$L$1000&lt;TODAY()-30),--('Master Stock'!$L$2:$L$1000&lt;'Master Stock'!L215))+COUNTIFS('Master Stock'!$L$2:L215,'Master Stock'!L215,'Master Stock'!$D$2:D215,"&lt;&gt;",'Master Stock'!$H$2:H215,"OCCUPIED"),"")</f>
        <v/>
      </c>
      <c r="W215" s="149" t="n"/>
      <c r="X215" s="149" t="n"/>
      <c r="Y215" s="149" t="n"/>
      <c r="Z215" s="149" t="n"/>
    </row>
    <row r="216" ht="15.75" customHeight="1" s="236">
      <c r="A216" s="148" t="n"/>
      <c r="B216" s="148" t="n"/>
      <c r="C216" s="124" t="n"/>
      <c r="D216" s="148" t="n"/>
      <c r="E216" s="148" t="n"/>
      <c r="F216" s="148" t="n"/>
      <c r="G216" s="124" t="n"/>
      <c r="H216" s="148" t="n"/>
      <c r="I216" s="148" t="n"/>
      <c r="J216" s="148" t="n"/>
      <c r="K216" s="148" t="n"/>
      <c r="L216" s="148" t="n"/>
      <c r="M216" s="148" t="n"/>
      <c r="N216" s="148" t="n"/>
      <c r="O216" s="148" t="n"/>
      <c r="P216" s="148" t="n"/>
      <c r="Q216" s="148" t="n"/>
      <c r="R216" s="148" t="n"/>
      <c r="S216" s="148" t="n"/>
      <c r="T216" s="148" t="n"/>
      <c r="U216" s="149">
        <f>IF(AND('Master Stock'!D216&lt;&gt;"",'Master Stock'!H216="OCCUPIED",ISNUMBER('Master Stock'!J216),'Master Stock'!K216=""),SUMPRODUCT(--('Master Stock'!$D$2:$D$1000&lt;&gt;""),--('Master Stock'!$H$2:$H$1000="OCCUPIED"),--ISNUMBER('Master Stock'!$J$2:$J$1000),--('Master Stock'!$K$2:$K$1000=""),--('Master Stock'!$J$2:$J$1000&lt;'Master Stock'!J216))+COUNTIFS('Master Stock'!$J$2:J216,'Master Stock'!J216,'Master Stock'!$D$2:D216,"&lt;&gt;",'Master Stock'!$H$2:H216,"OCCUPIED",'Master Stock'!$K$2:K216,""),"")</f>
        <v/>
      </c>
      <c r="V216" s="149">
        <f>IF(AND('Master Stock'!D216&lt;&gt;"",'Master Stock'!H216="OCCUPIED",ISNUMBER('Master Stock'!L216),'Master Stock'!L216&lt;TODAY()-30),SUMPRODUCT(--('Master Stock'!$D$2:$D$1000&lt;&gt;""),--('Master Stock'!$H$2:$H$1000="OCCUPIED"),--ISNUMBER('Master Stock'!$L$2:$L$1000),--('Master Stock'!$L$2:$L$1000&lt;TODAY()-30),--('Master Stock'!$L$2:$L$1000&lt;'Master Stock'!L216))+COUNTIFS('Master Stock'!$L$2:L216,'Master Stock'!L216,'Master Stock'!$D$2:D216,"&lt;&gt;",'Master Stock'!$H$2:H216,"OCCUPIED"),"")</f>
        <v/>
      </c>
      <c r="W216" s="149" t="n"/>
      <c r="X216" s="149" t="n"/>
      <c r="Y216" s="149" t="n"/>
      <c r="Z216" s="149" t="n"/>
    </row>
    <row r="217" ht="15.75" customHeight="1" s="236">
      <c r="A217" s="148" t="n"/>
      <c r="B217" s="148" t="n"/>
      <c r="C217" s="124" t="n"/>
      <c r="D217" s="148" t="n"/>
      <c r="E217" s="148" t="n"/>
      <c r="F217" s="148" t="n"/>
      <c r="G217" s="124" t="n"/>
      <c r="H217" s="148" t="n"/>
      <c r="I217" s="148" t="n"/>
      <c r="J217" s="148" t="n"/>
      <c r="K217" s="148" t="n"/>
      <c r="L217" s="148" t="n"/>
      <c r="M217" s="148" t="n"/>
      <c r="N217" s="148" t="n"/>
      <c r="O217" s="148" t="n"/>
      <c r="P217" s="148" t="n"/>
      <c r="Q217" s="148" t="n"/>
      <c r="R217" s="148" t="n"/>
      <c r="S217" s="148" t="n"/>
      <c r="T217" s="148" t="n"/>
      <c r="U217" s="149">
        <f>IF(AND('Master Stock'!D217&lt;&gt;"",'Master Stock'!H217="OCCUPIED",ISNUMBER('Master Stock'!J217),'Master Stock'!K217=""),SUMPRODUCT(--('Master Stock'!$D$2:$D$1000&lt;&gt;""),--('Master Stock'!$H$2:$H$1000="OCCUPIED"),--ISNUMBER('Master Stock'!$J$2:$J$1000),--('Master Stock'!$K$2:$K$1000=""),--('Master Stock'!$J$2:$J$1000&lt;'Master Stock'!J217))+COUNTIFS('Master Stock'!$J$2:J217,'Master Stock'!J217,'Master Stock'!$D$2:D217,"&lt;&gt;",'Master Stock'!$H$2:H217,"OCCUPIED",'Master Stock'!$K$2:K217,""),"")</f>
        <v/>
      </c>
      <c r="V217" s="149">
        <f>IF(AND('Master Stock'!D217&lt;&gt;"",'Master Stock'!H217="OCCUPIED",ISNUMBER('Master Stock'!L217),'Master Stock'!L217&lt;TODAY()-30),SUMPRODUCT(--('Master Stock'!$D$2:$D$1000&lt;&gt;""),--('Master Stock'!$H$2:$H$1000="OCCUPIED"),--ISNUMBER('Master Stock'!$L$2:$L$1000),--('Master Stock'!$L$2:$L$1000&lt;TODAY()-30),--('Master Stock'!$L$2:$L$1000&lt;'Master Stock'!L217))+COUNTIFS('Master Stock'!$L$2:L217,'Master Stock'!L217,'Master Stock'!$D$2:D217,"&lt;&gt;",'Master Stock'!$H$2:H217,"OCCUPIED"),"")</f>
        <v/>
      </c>
      <c r="W217" s="149" t="n"/>
      <c r="X217" s="149" t="n"/>
      <c r="Y217" s="149" t="n"/>
      <c r="Z217" s="149" t="n"/>
    </row>
    <row r="218" ht="15.75" customHeight="1" s="236">
      <c r="A218" s="148" t="n"/>
      <c r="B218" s="148" t="n"/>
      <c r="C218" s="124" t="n"/>
      <c r="D218" s="148" t="n"/>
      <c r="E218" s="148" t="n"/>
      <c r="F218" s="148" t="n"/>
      <c r="G218" s="124" t="n"/>
      <c r="H218" s="148" t="n"/>
      <c r="I218" s="148" t="n"/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 t="n"/>
      <c r="S218" s="148" t="n"/>
      <c r="T218" s="148" t="n"/>
      <c r="U218" s="149">
        <f>IF(AND('Master Stock'!D218&lt;&gt;"",'Master Stock'!H218="OCCUPIED",ISNUMBER('Master Stock'!J218),'Master Stock'!K218=""),SUMPRODUCT(--('Master Stock'!$D$2:$D$1000&lt;&gt;""),--('Master Stock'!$H$2:$H$1000="OCCUPIED"),--ISNUMBER('Master Stock'!$J$2:$J$1000),--('Master Stock'!$K$2:$K$1000=""),--('Master Stock'!$J$2:$J$1000&lt;'Master Stock'!J218))+COUNTIFS('Master Stock'!$J$2:J218,'Master Stock'!J218,'Master Stock'!$D$2:D218,"&lt;&gt;",'Master Stock'!$H$2:H218,"OCCUPIED",'Master Stock'!$K$2:K218,""),"")</f>
        <v/>
      </c>
      <c r="V218" s="149">
        <f>IF(AND('Master Stock'!D218&lt;&gt;"",'Master Stock'!H218="OCCUPIED",ISNUMBER('Master Stock'!L218),'Master Stock'!L218&lt;TODAY()-30),SUMPRODUCT(--('Master Stock'!$D$2:$D$1000&lt;&gt;""),--('Master Stock'!$H$2:$H$1000="OCCUPIED"),--ISNUMBER('Master Stock'!$L$2:$L$1000),--('Master Stock'!$L$2:$L$1000&lt;TODAY()-30),--('Master Stock'!$L$2:$L$1000&lt;'Master Stock'!L218))+COUNTIFS('Master Stock'!$L$2:L218,'Master Stock'!L218,'Master Stock'!$D$2:D218,"&lt;&gt;",'Master Stock'!$H$2:H218,"OCCUPIED"),"")</f>
        <v/>
      </c>
      <c r="W218" s="149" t="n"/>
      <c r="X218" s="149" t="n"/>
      <c r="Y218" s="149" t="n"/>
      <c r="Z218" s="149" t="n"/>
    </row>
    <row r="219" ht="15.75" customHeight="1" s="236">
      <c r="A219" s="148" t="n"/>
      <c r="B219" s="148" t="n"/>
      <c r="C219" s="124" t="n"/>
      <c r="D219" s="148" t="n"/>
      <c r="E219" s="148" t="n"/>
      <c r="F219" s="148" t="n"/>
      <c r="G219" s="124" t="n"/>
      <c r="H219" s="148" t="n"/>
      <c r="I219" s="148" t="n"/>
      <c r="J219" s="148" t="n"/>
      <c r="K219" s="148" t="n"/>
      <c r="L219" s="148" t="n"/>
      <c r="M219" s="148" t="n"/>
      <c r="N219" s="148" t="n"/>
      <c r="O219" s="148" t="n"/>
      <c r="P219" s="148" t="n"/>
      <c r="Q219" s="148" t="n"/>
      <c r="R219" s="148" t="n"/>
      <c r="S219" s="148" t="n"/>
      <c r="T219" s="148" t="n"/>
      <c r="U219" s="149">
        <f>IF(AND('Master Stock'!D219&lt;&gt;"",'Master Stock'!H219="OCCUPIED",ISNUMBER('Master Stock'!J219),'Master Stock'!K219=""),SUMPRODUCT(--('Master Stock'!$D$2:$D$1000&lt;&gt;""),--('Master Stock'!$H$2:$H$1000="OCCUPIED"),--ISNUMBER('Master Stock'!$J$2:$J$1000),--('Master Stock'!$K$2:$K$1000=""),--('Master Stock'!$J$2:$J$1000&lt;'Master Stock'!J219))+COUNTIFS('Master Stock'!$J$2:J219,'Master Stock'!J219,'Master Stock'!$D$2:D219,"&lt;&gt;",'Master Stock'!$H$2:H219,"OCCUPIED",'Master Stock'!$K$2:K219,""),"")</f>
        <v/>
      </c>
      <c r="V219" s="149">
        <f>IF(AND('Master Stock'!D219&lt;&gt;"",'Master Stock'!H219="OCCUPIED",ISNUMBER('Master Stock'!L219),'Master Stock'!L219&lt;TODAY()-30),SUMPRODUCT(--('Master Stock'!$D$2:$D$1000&lt;&gt;""),--('Master Stock'!$H$2:$H$1000="OCCUPIED"),--ISNUMBER('Master Stock'!$L$2:$L$1000),--('Master Stock'!$L$2:$L$1000&lt;TODAY()-30),--('Master Stock'!$L$2:$L$1000&lt;'Master Stock'!L219))+COUNTIFS('Master Stock'!$L$2:L219,'Master Stock'!L219,'Master Stock'!$D$2:D219,"&lt;&gt;",'Master Stock'!$H$2:H219,"OCCUPIED"),"")</f>
        <v/>
      </c>
      <c r="W219" s="149" t="n"/>
      <c r="X219" s="149" t="n"/>
      <c r="Y219" s="149" t="n"/>
      <c r="Z219" s="149" t="n"/>
    </row>
    <row r="220" ht="15.75" customHeight="1" s="236">
      <c r="A220" s="148" t="n"/>
      <c r="B220" s="148" t="n"/>
      <c r="C220" s="124" t="n"/>
      <c r="D220" s="148" t="n"/>
      <c r="E220" s="148" t="n"/>
      <c r="F220" s="148" t="n"/>
      <c r="G220" s="124" t="n"/>
      <c r="H220" s="148" t="n"/>
      <c r="I220" s="148" t="n"/>
      <c r="J220" s="148" t="n"/>
      <c r="K220" s="148" t="n"/>
      <c r="L220" s="148" t="n"/>
      <c r="M220" s="148" t="n"/>
      <c r="N220" s="148" t="n"/>
      <c r="O220" s="148" t="n"/>
      <c r="P220" s="148" t="n"/>
      <c r="Q220" s="148" t="n"/>
      <c r="R220" s="148" t="n"/>
      <c r="S220" s="148" t="n"/>
      <c r="T220" s="148" t="n"/>
      <c r="U220" s="149">
        <f>IF(AND('Master Stock'!D220&lt;&gt;"",'Master Stock'!H220="OCCUPIED",ISNUMBER('Master Stock'!J220),'Master Stock'!K220=""),SUMPRODUCT(--('Master Stock'!$D$2:$D$1000&lt;&gt;""),--('Master Stock'!$H$2:$H$1000="OCCUPIED"),--ISNUMBER('Master Stock'!$J$2:$J$1000),--('Master Stock'!$K$2:$K$1000=""),--('Master Stock'!$J$2:$J$1000&lt;'Master Stock'!J220))+COUNTIFS('Master Stock'!$J$2:J220,'Master Stock'!J220,'Master Stock'!$D$2:D220,"&lt;&gt;",'Master Stock'!$H$2:H220,"OCCUPIED",'Master Stock'!$K$2:K220,""),"")</f>
        <v/>
      </c>
      <c r="V220" s="149">
        <f>IF(AND('Master Stock'!D220&lt;&gt;"",'Master Stock'!H220="OCCUPIED",ISNUMBER('Master Stock'!L220),'Master Stock'!L220&lt;TODAY()-30),SUMPRODUCT(--('Master Stock'!$D$2:$D$1000&lt;&gt;""),--('Master Stock'!$H$2:$H$1000="OCCUPIED"),--ISNUMBER('Master Stock'!$L$2:$L$1000),--('Master Stock'!$L$2:$L$1000&lt;TODAY()-30),--('Master Stock'!$L$2:$L$1000&lt;'Master Stock'!L220))+COUNTIFS('Master Stock'!$L$2:L220,'Master Stock'!L220,'Master Stock'!$D$2:D220,"&lt;&gt;",'Master Stock'!$H$2:H220,"OCCUPIED"),"")</f>
        <v/>
      </c>
      <c r="W220" s="149" t="n"/>
      <c r="X220" s="149" t="n"/>
      <c r="Y220" s="149" t="n"/>
      <c r="Z220" s="149" t="n"/>
    </row>
    <row r="221" ht="15.75" customHeight="1" s="236">
      <c r="A221" s="148" t="n"/>
      <c r="B221" s="148" t="n"/>
      <c r="C221" s="124" t="n"/>
      <c r="D221" s="148" t="n"/>
      <c r="E221" s="148" t="n"/>
      <c r="F221" s="148" t="n"/>
      <c r="G221" s="124" t="n"/>
      <c r="H221" s="148" t="n"/>
      <c r="I221" s="148" t="n"/>
      <c r="J221" s="148" t="n"/>
      <c r="K221" s="148" t="n"/>
      <c r="L221" s="148" t="n"/>
      <c r="M221" s="148" t="n"/>
      <c r="N221" s="148" t="n"/>
      <c r="O221" s="148" t="n"/>
      <c r="P221" s="148" t="n"/>
      <c r="Q221" s="148" t="n"/>
      <c r="R221" s="148" t="n"/>
      <c r="S221" s="148" t="n"/>
      <c r="T221" s="148" t="n"/>
      <c r="U221" s="149">
        <f>IF(AND('Master Stock'!D221&lt;&gt;"",'Master Stock'!H221="OCCUPIED",ISNUMBER('Master Stock'!J221),'Master Stock'!K221=""),SUMPRODUCT(--('Master Stock'!$D$2:$D$1000&lt;&gt;""),--('Master Stock'!$H$2:$H$1000="OCCUPIED"),--ISNUMBER('Master Stock'!$J$2:$J$1000),--('Master Stock'!$K$2:$K$1000=""),--('Master Stock'!$J$2:$J$1000&lt;'Master Stock'!J221))+COUNTIFS('Master Stock'!$J$2:J221,'Master Stock'!J221,'Master Stock'!$D$2:D221,"&lt;&gt;",'Master Stock'!$H$2:H221,"OCCUPIED",'Master Stock'!$K$2:K221,""),"")</f>
        <v/>
      </c>
      <c r="V221" s="149">
        <f>IF(AND('Master Stock'!D221&lt;&gt;"",'Master Stock'!H221="OCCUPIED",ISNUMBER('Master Stock'!L221),'Master Stock'!L221&lt;TODAY()-30),SUMPRODUCT(--('Master Stock'!$D$2:$D$1000&lt;&gt;""),--('Master Stock'!$H$2:$H$1000="OCCUPIED"),--ISNUMBER('Master Stock'!$L$2:$L$1000),--('Master Stock'!$L$2:$L$1000&lt;TODAY()-30),--('Master Stock'!$L$2:$L$1000&lt;'Master Stock'!L221))+COUNTIFS('Master Stock'!$L$2:L221,'Master Stock'!L221,'Master Stock'!$D$2:D221,"&lt;&gt;",'Master Stock'!$H$2:H221,"OCCUPIED"),"")</f>
        <v/>
      </c>
      <c r="W221" s="149" t="n"/>
      <c r="X221" s="149" t="n"/>
      <c r="Y221" s="149" t="n"/>
      <c r="Z221" s="149" t="n"/>
    </row>
    <row r="222" ht="15.75" customHeight="1" s="236">
      <c r="A222" s="148" t="n"/>
      <c r="B222" s="148" t="n"/>
      <c r="C222" s="124" t="n"/>
      <c r="D222" s="148" t="n"/>
      <c r="E222" s="148" t="n"/>
      <c r="F222" s="148" t="n"/>
      <c r="G222" s="124" t="n"/>
      <c r="H222" s="148" t="n"/>
      <c r="I222" s="148" t="n"/>
      <c r="J222" s="148" t="n"/>
      <c r="K222" s="148" t="n"/>
      <c r="L222" s="148" t="n"/>
      <c r="M222" s="148" t="n"/>
      <c r="N222" s="148" t="n"/>
      <c r="O222" s="148" t="n"/>
      <c r="P222" s="148" t="n"/>
      <c r="Q222" s="148" t="n"/>
      <c r="R222" s="148" t="n"/>
      <c r="S222" s="148" t="n"/>
      <c r="T222" s="148" t="n"/>
      <c r="U222" s="149">
        <f>IF(AND('Master Stock'!D222&lt;&gt;"",'Master Stock'!H222="OCCUPIED",ISNUMBER('Master Stock'!J222),'Master Stock'!K222=""),SUMPRODUCT(--('Master Stock'!$D$2:$D$1000&lt;&gt;""),--('Master Stock'!$H$2:$H$1000="OCCUPIED"),--ISNUMBER('Master Stock'!$J$2:$J$1000),--('Master Stock'!$K$2:$K$1000=""),--('Master Stock'!$J$2:$J$1000&lt;'Master Stock'!J222))+COUNTIFS('Master Stock'!$J$2:J222,'Master Stock'!J222,'Master Stock'!$D$2:D222,"&lt;&gt;",'Master Stock'!$H$2:H222,"OCCUPIED",'Master Stock'!$K$2:K222,""),"")</f>
        <v/>
      </c>
      <c r="V222" s="149">
        <f>IF(AND('Master Stock'!D222&lt;&gt;"",'Master Stock'!H222="OCCUPIED",ISNUMBER('Master Stock'!L222),'Master Stock'!L222&lt;TODAY()-30),SUMPRODUCT(--('Master Stock'!$D$2:$D$1000&lt;&gt;""),--('Master Stock'!$H$2:$H$1000="OCCUPIED"),--ISNUMBER('Master Stock'!$L$2:$L$1000),--('Master Stock'!$L$2:$L$1000&lt;TODAY()-30),--('Master Stock'!$L$2:$L$1000&lt;'Master Stock'!L222))+COUNTIFS('Master Stock'!$L$2:L222,'Master Stock'!L222,'Master Stock'!$D$2:D222,"&lt;&gt;",'Master Stock'!$H$2:H222,"OCCUPIED"),"")</f>
        <v/>
      </c>
      <c r="W222" s="149" t="n"/>
      <c r="X222" s="149" t="n"/>
      <c r="Y222" s="149" t="n"/>
      <c r="Z222" s="149" t="n"/>
    </row>
    <row r="223" ht="15.75" customHeight="1" s="236">
      <c r="A223" s="148" t="n"/>
      <c r="B223" s="148" t="n"/>
      <c r="C223" s="124" t="n"/>
      <c r="D223" s="148" t="n"/>
      <c r="E223" s="148" t="n"/>
      <c r="F223" s="148" t="n"/>
      <c r="G223" s="124" t="n"/>
      <c r="H223" s="148" t="n"/>
      <c r="I223" s="148" t="n"/>
      <c r="J223" s="148" t="n"/>
      <c r="K223" s="148" t="n"/>
      <c r="L223" s="148" t="n"/>
      <c r="M223" s="148" t="n"/>
      <c r="N223" s="148" t="n"/>
      <c r="O223" s="148" t="n"/>
      <c r="P223" s="148" t="n"/>
      <c r="Q223" s="148" t="n"/>
      <c r="R223" s="148" t="n"/>
      <c r="S223" s="148" t="n"/>
      <c r="T223" s="148" t="n"/>
      <c r="U223" s="149">
        <f>IF(AND('Master Stock'!D223&lt;&gt;"",'Master Stock'!H223="OCCUPIED",ISNUMBER('Master Stock'!J223),'Master Stock'!K223=""),SUMPRODUCT(--('Master Stock'!$D$2:$D$1000&lt;&gt;""),--('Master Stock'!$H$2:$H$1000="OCCUPIED"),--ISNUMBER('Master Stock'!$J$2:$J$1000),--('Master Stock'!$K$2:$K$1000=""),--('Master Stock'!$J$2:$J$1000&lt;'Master Stock'!J223))+COUNTIFS('Master Stock'!$J$2:J223,'Master Stock'!J223,'Master Stock'!$D$2:D223,"&lt;&gt;",'Master Stock'!$H$2:H223,"OCCUPIED",'Master Stock'!$K$2:K223,""),"")</f>
        <v/>
      </c>
      <c r="V223" s="149">
        <f>IF(AND('Master Stock'!D223&lt;&gt;"",'Master Stock'!H223="OCCUPIED",ISNUMBER('Master Stock'!L223),'Master Stock'!L223&lt;TODAY()-30),SUMPRODUCT(--('Master Stock'!$D$2:$D$1000&lt;&gt;""),--('Master Stock'!$H$2:$H$1000="OCCUPIED"),--ISNUMBER('Master Stock'!$L$2:$L$1000),--('Master Stock'!$L$2:$L$1000&lt;TODAY()-30),--('Master Stock'!$L$2:$L$1000&lt;'Master Stock'!L223))+COUNTIFS('Master Stock'!$L$2:L223,'Master Stock'!L223,'Master Stock'!$D$2:D223,"&lt;&gt;",'Master Stock'!$H$2:H223,"OCCUPIED"),"")</f>
        <v/>
      </c>
      <c r="W223" s="149" t="n"/>
      <c r="X223" s="149" t="n"/>
      <c r="Y223" s="149" t="n"/>
      <c r="Z223" s="149" t="n"/>
    </row>
    <row r="224" ht="15.75" customHeight="1" s="236">
      <c r="A224" s="148" t="n"/>
      <c r="B224" s="148" t="n"/>
      <c r="C224" s="124" t="n"/>
      <c r="D224" s="148" t="n"/>
      <c r="E224" s="148" t="n"/>
      <c r="F224" s="148" t="n"/>
      <c r="G224" s="124" t="n"/>
      <c r="H224" s="148" t="n"/>
      <c r="I224" s="148" t="n"/>
      <c r="J224" s="148" t="n"/>
      <c r="K224" s="148" t="n"/>
      <c r="L224" s="148" t="n"/>
      <c r="M224" s="148" t="n"/>
      <c r="N224" s="148" t="n"/>
      <c r="O224" s="148" t="n"/>
      <c r="P224" s="148" t="n"/>
      <c r="Q224" s="148" t="n"/>
      <c r="R224" s="148" t="n"/>
      <c r="S224" s="148" t="n"/>
      <c r="T224" s="148" t="n"/>
      <c r="U224" s="149">
        <f>IF(AND('Master Stock'!D224&lt;&gt;"",'Master Stock'!H224="OCCUPIED",ISNUMBER('Master Stock'!J224),'Master Stock'!K224=""),SUMPRODUCT(--('Master Stock'!$D$2:$D$1000&lt;&gt;""),--('Master Stock'!$H$2:$H$1000="OCCUPIED"),--ISNUMBER('Master Stock'!$J$2:$J$1000),--('Master Stock'!$K$2:$K$1000=""),--('Master Stock'!$J$2:$J$1000&lt;'Master Stock'!J224))+COUNTIFS('Master Stock'!$J$2:J224,'Master Stock'!J224,'Master Stock'!$D$2:D224,"&lt;&gt;",'Master Stock'!$H$2:H224,"OCCUPIED",'Master Stock'!$K$2:K224,""),"")</f>
        <v/>
      </c>
      <c r="V224" s="149">
        <f>IF(AND('Master Stock'!D224&lt;&gt;"",'Master Stock'!H224="OCCUPIED",ISNUMBER('Master Stock'!L224),'Master Stock'!L224&lt;TODAY()-30),SUMPRODUCT(--('Master Stock'!$D$2:$D$1000&lt;&gt;""),--('Master Stock'!$H$2:$H$1000="OCCUPIED"),--ISNUMBER('Master Stock'!$L$2:$L$1000),--('Master Stock'!$L$2:$L$1000&lt;TODAY()-30),--('Master Stock'!$L$2:$L$1000&lt;'Master Stock'!L224))+COUNTIFS('Master Stock'!$L$2:L224,'Master Stock'!L224,'Master Stock'!$D$2:D224,"&lt;&gt;",'Master Stock'!$H$2:H224,"OCCUPIED"),"")</f>
        <v/>
      </c>
      <c r="W224" s="149" t="n"/>
      <c r="X224" s="149" t="n"/>
      <c r="Y224" s="149" t="n"/>
      <c r="Z224" s="149" t="n"/>
    </row>
    <row r="225" ht="15.75" customHeight="1" s="236">
      <c r="A225" s="148" t="n"/>
      <c r="B225" s="148" t="n"/>
      <c r="C225" s="124" t="n"/>
      <c r="D225" s="148" t="n"/>
      <c r="E225" s="148" t="n"/>
      <c r="F225" s="148" t="n"/>
      <c r="G225" s="124" t="n"/>
      <c r="H225" s="148" t="n"/>
      <c r="I225" s="148" t="n"/>
      <c r="J225" s="148" t="n"/>
      <c r="K225" s="148" t="n"/>
      <c r="L225" s="148" t="n"/>
      <c r="M225" s="148" t="n"/>
      <c r="N225" s="148" t="n"/>
      <c r="O225" s="148" t="n"/>
      <c r="P225" s="148" t="n"/>
      <c r="Q225" s="148" t="n"/>
      <c r="R225" s="148" t="n"/>
      <c r="S225" s="148" t="n"/>
      <c r="T225" s="148" t="n"/>
      <c r="U225" s="149">
        <f>IF(AND('Master Stock'!D225&lt;&gt;"",'Master Stock'!H225="OCCUPIED",ISNUMBER('Master Stock'!J225),'Master Stock'!K225=""),SUMPRODUCT(--('Master Stock'!$D$2:$D$1000&lt;&gt;""),--('Master Stock'!$H$2:$H$1000="OCCUPIED"),--ISNUMBER('Master Stock'!$J$2:$J$1000),--('Master Stock'!$K$2:$K$1000=""),--('Master Stock'!$J$2:$J$1000&lt;'Master Stock'!J225))+COUNTIFS('Master Stock'!$J$2:J225,'Master Stock'!J225,'Master Stock'!$D$2:D225,"&lt;&gt;",'Master Stock'!$H$2:H225,"OCCUPIED",'Master Stock'!$K$2:K225,""),"")</f>
        <v/>
      </c>
      <c r="V225" s="149">
        <f>IF(AND('Master Stock'!D225&lt;&gt;"",'Master Stock'!H225="OCCUPIED",ISNUMBER('Master Stock'!L225),'Master Stock'!L225&lt;TODAY()-30),SUMPRODUCT(--('Master Stock'!$D$2:$D$1000&lt;&gt;""),--('Master Stock'!$H$2:$H$1000="OCCUPIED"),--ISNUMBER('Master Stock'!$L$2:$L$1000),--('Master Stock'!$L$2:$L$1000&lt;TODAY()-30),--('Master Stock'!$L$2:$L$1000&lt;'Master Stock'!L225))+COUNTIFS('Master Stock'!$L$2:L225,'Master Stock'!L225,'Master Stock'!$D$2:D225,"&lt;&gt;",'Master Stock'!$H$2:H225,"OCCUPIED"),"")</f>
        <v/>
      </c>
      <c r="W225" s="149" t="n"/>
      <c r="X225" s="149" t="n"/>
      <c r="Y225" s="149" t="n"/>
      <c r="Z225" s="149" t="n"/>
    </row>
    <row r="226" ht="15.75" customHeight="1" s="236">
      <c r="A226" s="148" t="n"/>
      <c r="B226" s="148" t="n"/>
      <c r="C226" s="124" t="n"/>
      <c r="D226" s="148" t="n"/>
      <c r="E226" s="148" t="n"/>
      <c r="F226" s="148" t="n"/>
      <c r="G226" s="124" t="n"/>
      <c r="H226" s="148" t="n"/>
      <c r="I226" s="148" t="n"/>
      <c r="J226" s="148" t="n"/>
      <c r="K226" s="148" t="n"/>
      <c r="L226" s="148" t="n"/>
      <c r="M226" s="148" t="n"/>
      <c r="N226" s="148" t="n"/>
      <c r="O226" s="148" t="n"/>
      <c r="P226" s="148" t="n"/>
      <c r="Q226" s="148" t="n"/>
      <c r="R226" s="148" t="n"/>
      <c r="S226" s="148" t="n"/>
      <c r="T226" s="148" t="n"/>
      <c r="U226" s="149">
        <f>IF(AND('Master Stock'!D226&lt;&gt;"",'Master Stock'!H226="OCCUPIED",ISNUMBER('Master Stock'!J226),'Master Stock'!K226=""),SUMPRODUCT(--('Master Stock'!$D$2:$D$1000&lt;&gt;""),--('Master Stock'!$H$2:$H$1000="OCCUPIED"),--ISNUMBER('Master Stock'!$J$2:$J$1000),--('Master Stock'!$K$2:$K$1000=""),--('Master Stock'!$J$2:$J$1000&lt;'Master Stock'!J226))+COUNTIFS('Master Stock'!$J$2:J226,'Master Stock'!J226,'Master Stock'!$D$2:D226,"&lt;&gt;",'Master Stock'!$H$2:H226,"OCCUPIED",'Master Stock'!$K$2:K226,""),"")</f>
        <v/>
      </c>
      <c r="V226" s="149">
        <f>IF(AND('Master Stock'!D226&lt;&gt;"",'Master Stock'!H226="OCCUPIED",ISNUMBER('Master Stock'!L226),'Master Stock'!L226&lt;TODAY()-30),SUMPRODUCT(--('Master Stock'!$D$2:$D$1000&lt;&gt;""),--('Master Stock'!$H$2:$H$1000="OCCUPIED"),--ISNUMBER('Master Stock'!$L$2:$L$1000),--('Master Stock'!$L$2:$L$1000&lt;TODAY()-30),--('Master Stock'!$L$2:$L$1000&lt;'Master Stock'!L226))+COUNTIFS('Master Stock'!$L$2:L226,'Master Stock'!L226,'Master Stock'!$D$2:D226,"&lt;&gt;",'Master Stock'!$H$2:H226,"OCCUPIED"),"")</f>
        <v/>
      </c>
      <c r="W226" s="149" t="n"/>
      <c r="X226" s="149" t="n"/>
      <c r="Y226" s="149" t="n"/>
      <c r="Z226" s="149" t="n"/>
    </row>
    <row r="227" ht="15.75" customHeight="1" s="236">
      <c r="A227" s="148" t="n"/>
      <c r="B227" s="148" t="n"/>
      <c r="C227" s="124" t="n"/>
      <c r="D227" s="148" t="n"/>
      <c r="E227" s="148" t="n"/>
      <c r="F227" s="148" t="n"/>
      <c r="G227" s="124" t="n"/>
      <c r="H227" s="148" t="n"/>
      <c r="I227" s="148" t="n"/>
      <c r="J227" s="148" t="n"/>
      <c r="K227" s="148" t="n"/>
      <c r="L227" s="148" t="n"/>
      <c r="M227" s="148" t="n"/>
      <c r="N227" s="148" t="n"/>
      <c r="O227" s="148" t="n"/>
      <c r="P227" s="148" t="n"/>
      <c r="Q227" s="148" t="n"/>
      <c r="R227" s="148" t="n"/>
      <c r="S227" s="148" t="n"/>
      <c r="T227" s="148" t="n"/>
      <c r="U227" s="149">
        <f>IF(AND('Master Stock'!D227&lt;&gt;"",'Master Stock'!H227="OCCUPIED",ISNUMBER('Master Stock'!J227),'Master Stock'!K227=""),SUMPRODUCT(--('Master Stock'!$D$2:$D$1000&lt;&gt;""),--('Master Stock'!$H$2:$H$1000="OCCUPIED"),--ISNUMBER('Master Stock'!$J$2:$J$1000),--('Master Stock'!$K$2:$K$1000=""),--('Master Stock'!$J$2:$J$1000&lt;'Master Stock'!J227))+COUNTIFS('Master Stock'!$J$2:J227,'Master Stock'!J227,'Master Stock'!$D$2:D227,"&lt;&gt;",'Master Stock'!$H$2:H227,"OCCUPIED",'Master Stock'!$K$2:K227,""),"")</f>
        <v/>
      </c>
      <c r="V227" s="149">
        <f>IF(AND('Master Stock'!D227&lt;&gt;"",'Master Stock'!H227="OCCUPIED",ISNUMBER('Master Stock'!L227),'Master Stock'!L227&lt;TODAY()-30),SUMPRODUCT(--('Master Stock'!$D$2:$D$1000&lt;&gt;""),--('Master Stock'!$H$2:$H$1000="OCCUPIED"),--ISNUMBER('Master Stock'!$L$2:$L$1000),--('Master Stock'!$L$2:$L$1000&lt;TODAY()-30),--('Master Stock'!$L$2:$L$1000&lt;'Master Stock'!L227))+COUNTIFS('Master Stock'!$L$2:L227,'Master Stock'!L227,'Master Stock'!$D$2:D227,"&lt;&gt;",'Master Stock'!$H$2:H227,"OCCUPIED"),"")</f>
        <v/>
      </c>
      <c r="W227" s="149" t="n"/>
      <c r="X227" s="149" t="n"/>
      <c r="Y227" s="149" t="n"/>
      <c r="Z227" s="149" t="n"/>
    </row>
    <row r="228" ht="15.75" customHeight="1" s="236">
      <c r="A228" s="148" t="n"/>
      <c r="B228" s="148" t="n"/>
      <c r="C228" s="124" t="n"/>
      <c r="D228" s="148" t="n"/>
      <c r="E228" s="148" t="n"/>
      <c r="F228" s="148" t="n"/>
      <c r="G228" s="124" t="n"/>
      <c r="H228" s="148" t="n"/>
      <c r="I228" s="148" t="n"/>
      <c r="J228" s="148" t="n"/>
      <c r="K228" s="148" t="n"/>
      <c r="L228" s="148" t="n"/>
      <c r="M228" s="148" t="n"/>
      <c r="N228" s="148" t="n"/>
      <c r="O228" s="148" t="n"/>
      <c r="P228" s="148" t="n"/>
      <c r="Q228" s="148" t="n"/>
      <c r="R228" s="148" t="n"/>
      <c r="S228" s="148" t="n"/>
      <c r="T228" s="148" t="n"/>
      <c r="U228" s="149">
        <f>IF(AND('Master Stock'!D228&lt;&gt;"",'Master Stock'!H228="OCCUPIED",ISNUMBER('Master Stock'!J228),'Master Stock'!K228=""),SUMPRODUCT(--('Master Stock'!$D$2:$D$1000&lt;&gt;""),--('Master Stock'!$H$2:$H$1000="OCCUPIED"),--ISNUMBER('Master Stock'!$J$2:$J$1000),--('Master Stock'!$K$2:$K$1000=""),--('Master Stock'!$J$2:$J$1000&lt;'Master Stock'!J228))+COUNTIFS('Master Stock'!$J$2:J228,'Master Stock'!J228,'Master Stock'!$D$2:D228,"&lt;&gt;",'Master Stock'!$H$2:H228,"OCCUPIED",'Master Stock'!$K$2:K228,""),"")</f>
        <v/>
      </c>
      <c r="V228" s="149">
        <f>IF(AND('Master Stock'!D228&lt;&gt;"",'Master Stock'!H228="OCCUPIED",ISNUMBER('Master Stock'!L228),'Master Stock'!L228&lt;TODAY()-30),SUMPRODUCT(--('Master Stock'!$D$2:$D$1000&lt;&gt;""),--('Master Stock'!$H$2:$H$1000="OCCUPIED"),--ISNUMBER('Master Stock'!$L$2:$L$1000),--('Master Stock'!$L$2:$L$1000&lt;TODAY()-30),--('Master Stock'!$L$2:$L$1000&lt;'Master Stock'!L228))+COUNTIFS('Master Stock'!$L$2:L228,'Master Stock'!L228,'Master Stock'!$D$2:D228,"&lt;&gt;",'Master Stock'!$H$2:H228,"OCCUPIED"),"")</f>
        <v/>
      </c>
      <c r="W228" s="149" t="n"/>
      <c r="X228" s="149" t="n"/>
      <c r="Y228" s="149" t="n"/>
      <c r="Z228" s="149" t="n"/>
    </row>
    <row r="229" ht="15.75" customHeight="1" s="236">
      <c r="A229" s="148" t="n"/>
      <c r="B229" s="148" t="n"/>
      <c r="C229" s="124" t="n"/>
      <c r="D229" s="148" t="n"/>
      <c r="E229" s="148" t="n"/>
      <c r="F229" s="148" t="n"/>
      <c r="G229" s="124" t="n"/>
      <c r="H229" s="148" t="n"/>
      <c r="I229" s="148" t="n"/>
      <c r="J229" s="148" t="n"/>
      <c r="K229" s="148" t="n"/>
      <c r="L229" s="148" t="n"/>
      <c r="M229" s="148" t="n"/>
      <c r="N229" s="148" t="n"/>
      <c r="O229" s="148" t="n"/>
      <c r="P229" s="148" t="n"/>
      <c r="Q229" s="148" t="n"/>
      <c r="R229" s="148" t="n"/>
      <c r="S229" s="148" t="n"/>
      <c r="T229" s="148" t="n"/>
      <c r="U229" s="149">
        <f>IF(AND('Master Stock'!D229&lt;&gt;"",'Master Stock'!H229="OCCUPIED",ISNUMBER('Master Stock'!J229),'Master Stock'!K229=""),SUMPRODUCT(--('Master Stock'!$D$2:$D$1000&lt;&gt;""),--('Master Stock'!$H$2:$H$1000="OCCUPIED"),--ISNUMBER('Master Stock'!$J$2:$J$1000),--('Master Stock'!$K$2:$K$1000=""),--('Master Stock'!$J$2:$J$1000&lt;'Master Stock'!J229))+COUNTIFS('Master Stock'!$J$2:J229,'Master Stock'!J229,'Master Stock'!$D$2:D229,"&lt;&gt;",'Master Stock'!$H$2:H229,"OCCUPIED",'Master Stock'!$K$2:K229,""),"")</f>
        <v/>
      </c>
      <c r="V229" s="149">
        <f>IF(AND('Master Stock'!D229&lt;&gt;"",'Master Stock'!H229="OCCUPIED",ISNUMBER('Master Stock'!L229),'Master Stock'!L229&lt;TODAY()-30),SUMPRODUCT(--('Master Stock'!$D$2:$D$1000&lt;&gt;""),--('Master Stock'!$H$2:$H$1000="OCCUPIED"),--ISNUMBER('Master Stock'!$L$2:$L$1000),--('Master Stock'!$L$2:$L$1000&lt;TODAY()-30),--('Master Stock'!$L$2:$L$1000&lt;'Master Stock'!L229))+COUNTIFS('Master Stock'!$L$2:L229,'Master Stock'!L229,'Master Stock'!$D$2:D229,"&lt;&gt;",'Master Stock'!$H$2:H229,"OCCUPIED"),"")</f>
        <v/>
      </c>
      <c r="W229" s="149" t="n"/>
      <c r="X229" s="149" t="n"/>
      <c r="Y229" s="149" t="n"/>
      <c r="Z229" s="149" t="n"/>
    </row>
    <row r="230" ht="15.75" customHeight="1" s="236">
      <c r="A230" s="148" t="n"/>
      <c r="B230" s="148" t="n"/>
      <c r="C230" s="124" t="n"/>
      <c r="D230" s="148" t="n"/>
      <c r="E230" s="148" t="n"/>
      <c r="F230" s="148" t="n"/>
      <c r="G230" s="124" t="n"/>
      <c r="H230" s="148" t="n"/>
      <c r="I230" s="148" t="n"/>
      <c r="J230" s="148" t="n"/>
      <c r="K230" s="148" t="n"/>
      <c r="L230" s="148" t="n"/>
      <c r="M230" s="148" t="n"/>
      <c r="N230" s="148" t="n"/>
      <c r="O230" s="148" t="n"/>
      <c r="P230" s="148" t="n"/>
      <c r="Q230" s="148" t="n"/>
      <c r="R230" s="148" t="n"/>
      <c r="S230" s="148" t="n"/>
      <c r="T230" s="148" t="n"/>
      <c r="U230" s="149">
        <f>IF(AND('Master Stock'!D230&lt;&gt;"",'Master Stock'!H230="OCCUPIED",ISNUMBER('Master Stock'!J230),'Master Stock'!K230=""),SUMPRODUCT(--('Master Stock'!$D$2:$D$1000&lt;&gt;""),--('Master Stock'!$H$2:$H$1000="OCCUPIED"),--ISNUMBER('Master Stock'!$J$2:$J$1000),--('Master Stock'!$K$2:$K$1000=""),--('Master Stock'!$J$2:$J$1000&lt;'Master Stock'!J230))+COUNTIFS('Master Stock'!$J$2:J230,'Master Stock'!J230,'Master Stock'!$D$2:D230,"&lt;&gt;",'Master Stock'!$H$2:H230,"OCCUPIED",'Master Stock'!$K$2:K230,""),"")</f>
        <v/>
      </c>
      <c r="V230" s="149">
        <f>IF(AND('Master Stock'!D230&lt;&gt;"",'Master Stock'!H230="OCCUPIED",ISNUMBER('Master Stock'!L230),'Master Stock'!L230&lt;TODAY()-30),SUMPRODUCT(--('Master Stock'!$D$2:$D$1000&lt;&gt;""),--('Master Stock'!$H$2:$H$1000="OCCUPIED"),--ISNUMBER('Master Stock'!$L$2:$L$1000),--('Master Stock'!$L$2:$L$1000&lt;TODAY()-30),--('Master Stock'!$L$2:$L$1000&lt;'Master Stock'!L230))+COUNTIFS('Master Stock'!$L$2:L230,'Master Stock'!L230,'Master Stock'!$D$2:D230,"&lt;&gt;",'Master Stock'!$H$2:H230,"OCCUPIED"),"")</f>
        <v/>
      </c>
      <c r="W230" s="149" t="n"/>
      <c r="X230" s="149" t="n"/>
      <c r="Y230" s="149" t="n"/>
      <c r="Z230" s="149" t="n"/>
    </row>
    <row r="231" ht="15.75" customHeight="1" s="236">
      <c r="A231" s="148" t="n"/>
      <c r="B231" s="148" t="n"/>
      <c r="C231" s="124" t="n"/>
      <c r="D231" s="148" t="n"/>
      <c r="E231" s="148" t="n"/>
      <c r="F231" s="148" t="n"/>
      <c r="G231" s="124" t="n"/>
      <c r="H231" s="148" t="n"/>
      <c r="I231" s="148" t="n"/>
      <c r="J231" s="148" t="n"/>
      <c r="K231" s="148" t="n"/>
      <c r="L231" s="148" t="n"/>
      <c r="M231" s="148" t="n"/>
      <c r="N231" s="148" t="n"/>
      <c r="O231" s="148" t="n"/>
      <c r="P231" s="148" t="n"/>
      <c r="Q231" s="148" t="n"/>
      <c r="R231" s="148" t="n"/>
      <c r="S231" s="148" t="n"/>
      <c r="T231" s="148" t="n"/>
      <c r="U231" s="149">
        <f>IF(AND('Master Stock'!D231&lt;&gt;"",'Master Stock'!H231="OCCUPIED",ISNUMBER('Master Stock'!J231),'Master Stock'!K231=""),SUMPRODUCT(--('Master Stock'!$D$2:$D$1000&lt;&gt;""),--('Master Stock'!$H$2:$H$1000="OCCUPIED"),--ISNUMBER('Master Stock'!$J$2:$J$1000),--('Master Stock'!$K$2:$K$1000=""),--('Master Stock'!$J$2:$J$1000&lt;'Master Stock'!J231))+COUNTIFS('Master Stock'!$J$2:J231,'Master Stock'!J231,'Master Stock'!$D$2:D231,"&lt;&gt;",'Master Stock'!$H$2:H231,"OCCUPIED",'Master Stock'!$K$2:K231,""),"")</f>
        <v/>
      </c>
      <c r="V231" s="149">
        <f>IF(AND('Master Stock'!D231&lt;&gt;"",'Master Stock'!H231="OCCUPIED",ISNUMBER('Master Stock'!L231),'Master Stock'!L231&lt;TODAY()-30),SUMPRODUCT(--('Master Stock'!$D$2:$D$1000&lt;&gt;""),--('Master Stock'!$H$2:$H$1000="OCCUPIED"),--ISNUMBER('Master Stock'!$L$2:$L$1000),--('Master Stock'!$L$2:$L$1000&lt;TODAY()-30),--('Master Stock'!$L$2:$L$1000&lt;'Master Stock'!L231))+COUNTIFS('Master Stock'!$L$2:L231,'Master Stock'!L231,'Master Stock'!$D$2:D231,"&lt;&gt;",'Master Stock'!$H$2:H231,"OCCUPIED"),"")</f>
        <v/>
      </c>
      <c r="W231" s="149" t="n"/>
      <c r="X231" s="149" t="n"/>
      <c r="Y231" s="149" t="n"/>
      <c r="Z231" s="149" t="n"/>
    </row>
    <row r="232" ht="15.75" customHeight="1" s="236">
      <c r="A232" s="148" t="n"/>
      <c r="B232" s="148" t="n"/>
      <c r="C232" s="124" t="n"/>
      <c r="D232" s="148" t="n"/>
      <c r="E232" s="148" t="n"/>
      <c r="F232" s="148" t="n"/>
      <c r="G232" s="124" t="n"/>
      <c r="H232" s="148" t="n"/>
      <c r="I232" s="148" t="n"/>
      <c r="J232" s="148" t="n"/>
      <c r="K232" s="148" t="n"/>
      <c r="L232" s="148" t="n"/>
      <c r="M232" s="148" t="n"/>
      <c r="N232" s="148" t="n"/>
      <c r="O232" s="148" t="n"/>
      <c r="P232" s="148" t="n"/>
      <c r="Q232" s="148" t="n"/>
      <c r="R232" s="148" t="n"/>
      <c r="S232" s="148" t="n"/>
      <c r="T232" s="148" t="n"/>
      <c r="U232" s="149">
        <f>IF(AND('Master Stock'!D232&lt;&gt;"",'Master Stock'!H232="OCCUPIED",ISNUMBER('Master Stock'!J232),'Master Stock'!K232=""),SUMPRODUCT(--('Master Stock'!$D$2:$D$1000&lt;&gt;""),--('Master Stock'!$H$2:$H$1000="OCCUPIED"),--ISNUMBER('Master Stock'!$J$2:$J$1000),--('Master Stock'!$K$2:$K$1000=""),--('Master Stock'!$J$2:$J$1000&lt;'Master Stock'!J232))+COUNTIFS('Master Stock'!$J$2:J232,'Master Stock'!J232,'Master Stock'!$D$2:D232,"&lt;&gt;",'Master Stock'!$H$2:H232,"OCCUPIED",'Master Stock'!$K$2:K232,""),"")</f>
        <v/>
      </c>
      <c r="V232" s="149">
        <f>IF(AND('Master Stock'!D232&lt;&gt;"",'Master Stock'!H232="OCCUPIED",ISNUMBER('Master Stock'!L232),'Master Stock'!L232&lt;TODAY()-30),SUMPRODUCT(--('Master Stock'!$D$2:$D$1000&lt;&gt;""),--('Master Stock'!$H$2:$H$1000="OCCUPIED"),--ISNUMBER('Master Stock'!$L$2:$L$1000),--('Master Stock'!$L$2:$L$1000&lt;TODAY()-30),--('Master Stock'!$L$2:$L$1000&lt;'Master Stock'!L232))+COUNTIFS('Master Stock'!$L$2:L232,'Master Stock'!L232,'Master Stock'!$D$2:D232,"&lt;&gt;",'Master Stock'!$H$2:H232,"OCCUPIED"),"")</f>
        <v/>
      </c>
      <c r="W232" s="149" t="n"/>
      <c r="X232" s="149" t="n"/>
      <c r="Y232" s="149" t="n"/>
      <c r="Z232" s="149" t="n"/>
    </row>
    <row r="233" ht="15.75" customHeight="1" s="236">
      <c r="A233" s="148" t="n"/>
      <c r="B233" s="148" t="n"/>
      <c r="C233" s="124" t="n"/>
      <c r="D233" s="148" t="n"/>
      <c r="E233" s="148" t="n"/>
      <c r="F233" s="148" t="n"/>
      <c r="G233" s="124" t="n"/>
      <c r="H233" s="148" t="n"/>
      <c r="I233" s="148" t="n"/>
      <c r="J233" s="148" t="n"/>
      <c r="K233" s="148" t="n"/>
      <c r="L233" s="148" t="n"/>
      <c r="M233" s="148" t="n"/>
      <c r="N233" s="148" t="n"/>
      <c r="O233" s="148" t="n"/>
      <c r="P233" s="148" t="n"/>
      <c r="Q233" s="148" t="n"/>
      <c r="R233" s="148" t="n"/>
      <c r="S233" s="148" t="n"/>
      <c r="T233" s="148" t="n"/>
      <c r="U233" s="149">
        <f>IF(AND('Master Stock'!D233&lt;&gt;"",'Master Stock'!H233="OCCUPIED",ISNUMBER('Master Stock'!J233),'Master Stock'!K233=""),SUMPRODUCT(--('Master Stock'!$D$2:$D$1000&lt;&gt;""),--('Master Stock'!$H$2:$H$1000="OCCUPIED"),--ISNUMBER('Master Stock'!$J$2:$J$1000),--('Master Stock'!$K$2:$K$1000=""),--('Master Stock'!$J$2:$J$1000&lt;'Master Stock'!J233))+COUNTIFS('Master Stock'!$J$2:J233,'Master Stock'!J233,'Master Stock'!$D$2:D233,"&lt;&gt;",'Master Stock'!$H$2:H233,"OCCUPIED",'Master Stock'!$K$2:K233,""),"")</f>
        <v/>
      </c>
      <c r="V233" s="149">
        <f>IF(AND('Master Stock'!D233&lt;&gt;"",'Master Stock'!H233="OCCUPIED",ISNUMBER('Master Stock'!L233),'Master Stock'!L233&lt;TODAY()-30),SUMPRODUCT(--('Master Stock'!$D$2:$D$1000&lt;&gt;""),--('Master Stock'!$H$2:$H$1000="OCCUPIED"),--ISNUMBER('Master Stock'!$L$2:$L$1000),--('Master Stock'!$L$2:$L$1000&lt;TODAY()-30),--('Master Stock'!$L$2:$L$1000&lt;'Master Stock'!L233))+COUNTIFS('Master Stock'!$L$2:L233,'Master Stock'!L233,'Master Stock'!$D$2:D233,"&lt;&gt;",'Master Stock'!$H$2:H233,"OCCUPIED"),"")</f>
        <v/>
      </c>
      <c r="W233" s="149" t="n"/>
      <c r="X233" s="149" t="n"/>
      <c r="Y233" s="149" t="n"/>
      <c r="Z233" s="149" t="n"/>
    </row>
    <row r="234" ht="15.75" customHeight="1" s="236">
      <c r="A234" s="148" t="n"/>
      <c r="B234" s="148" t="n"/>
      <c r="C234" s="124" t="n"/>
      <c r="D234" s="148" t="n"/>
      <c r="E234" s="148" t="n"/>
      <c r="F234" s="148" t="n"/>
      <c r="G234" s="124" t="n"/>
      <c r="H234" s="148" t="n"/>
      <c r="I234" s="148" t="n"/>
      <c r="J234" s="148" t="n"/>
      <c r="K234" s="148" t="n"/>
      <c r="L234" s="148" t="n"/>
      <c r="M234" s="148" t="n"/>
      <c r="N234" s="148" t="n"/>
      <c r="O234" s="148" t="n"/>
      <c r="P234" s="148" t="n"/>
      <c r="Q234" s="148" t="n"/>
      <c r="R234" s="148" t="n"/>
      <c r="S234" s="148" t="n"/>
      <c r="T234" s="148" t="n"/>
      <c r="U234" s="149">
        <f>IF(AND('Master Stock'!D234&lt;&gt;"",'Master Stock'!H234="OCCUPIED",ISNUMBER('Master Stock'!J234),'Master Stock'!K234=""),SUMPRODUCT(--('Master Stock'!$D$2:$D$1000&lt;&gt;""),--('Master Stock'!$H$2:$H$1000="OCCUPIED"),--ISNUMBER('Master Stock'!$J$2:$J$1000),--('Master Stock'!$K$2:$K$1000=""),--('Master Stock'!$J$2:$J$1000&lt;'Master Stock'!J234))+COUNTIFS('Master Stock'!$J$2:J234,'Master Stock'!J234,'Master Stock'!$D$2:D234,"&lt;&gt;",'Master Stock'!$H$2:H234,"OCCUPIED",'Master Stock'!$K$2:K234,""),"")</f>
        <v/>
      </c>
      <c r="V234" s="149">
        <f>IF(AND('Master Stock'!D234&lt;&gt;"",'Master Stock'!H234="OCCUPIED",ISNUMBER('Master Stock'!L234),'Master Stock'!L234&lt;TODAY()-30),SUMPRODUCT(--('Master Stock'!$D$2:$D$1000&lt;&gt;""),--('Master Stock'!$H$2:$H$1000="OCCUPIED"),--ISNUMBER('Master Stock'!$L$2:$L$1000),--('Master Stock'!$L$2:$L$1000&lt;TODAY()-30),--('Master Stock'!$L$2:$L$1000&lt;'Master Stock'!L234))+COUNTIFS('Master Stock'!$L$2:L234,'Master Stock'!L234,'Master Stock'!$D$2:D234,"&lt;&gt;",'Master Stock'!$H$2:H234,"OCCUPIED"),"")</f>
        <v/>
      </c>
      <c r="W234" s="149" t="n"/>
      <c r="X234" s="149" t="n"/>
      <c r="Y234" s="149" t="n"/>
      <c r="Z234" s="149" t="n"/>
    </row>
    <row r="235" ht="15.75" customHeight="1" s="236">
      <c r="A235" s="148" t="n"/>
      <c r="B235" s="148" t="n"/>
      <c r="C235" s="124" t="n"/>
      <c r="D235" s="148" t="n"/>
      <c r="E235" s="148" t="n"/>
      <c r="F235" s="148" t="n"/>
      <c r="G235" s="124" t="n"/>
      <c r="H235" s="148" t="n"/>
      <c r="I235" s="148" t="n"/>
      <c r="J235" s="148" t="n"/>
      <c r="K235" s="148" t="n"/>
      <c r="L235" s="148" t="n"/>
      <c r="M235" s="148" t="n"/>
      <c r="N235" s="148" t="n"/>
      <c r="O235" s="148" t="n"/>
      <c r="P235" s="148" t="n"/>
      <c r="Q235" s="148" t="n"/>
      <c r="R235" s="148" t="n"/>
      <c r="S235" s="148" t="n"/>
      <c r="T235" s="148" t="n"/>
      <c r="U235" s="149">
        <f>IF(AND('Master Stock'!D235&lt;&gt;"",'Master Stock'!H235="OCCUPIED",ISNUMBER('Master Stock'!J235),'Master Stock'!K235=""),SUMPRODUCT(--('Master Stock'!$D$2:$D$1000&lt;&gt;""),--('Master Stock'!$H$2:$H$1000="OCCUPIED"),--ISNUMBER('Master Stock'!$J$2:$J$1000),--('Master Stock'!$K$2:$K$1000=""),--('Master Stock'!$J$2:$J$1000&lt;'Master Stock'!J235))+COUNTIFS('Master Stock'!$J$2:J235,'Master Stock'!J235,'Master Stock'!$D$2:D235,"&lt;&gt;",'Master Stock'!$H$2:H235,"OCCUPIED",'Master Stock'!$K$2:K235,""),"")</f>
        <v/>
      </c>
      <c r="V235" s="149">
        <f>IF(AND('Master Stock'!D235&lt;&gt;"",'Master Stock'!H235="OCCUPIED",ISNUMBER('Master Stock'!L235),'Master Stock'!L235&lt;TODAY()-30),SUMPRODUCT(--('Master Stock'!$D$2:$D$1000&lt;&gt;""),--('Master Stock'!$H$2:$H$1000="OCCUPIED"),--ISNUMBER('Master Stock'!$L$2:$L$1000),--('Master Stock'!$L$2:$L$1000&lt;TODAY()-30),--('Master Stock'!$L$2:$L$1000&lt;'Master Stock'!L235))+COUNTIFS('Master Stock'!$L$2:L235,'Master Stock'!L235,'Master Stock'!$D$2:D235,"&lt;&gt;",'Master Stock'!$H$2:H235,"OCCUPIED"),"")</f>
        <v/>
      </c>
      <c r="W235" s="149" t="n"/>
      <c r="X235" s="149" t="n"/>
      <c r="Y235" s="149" t="n"/>
      <c r="Z235" s="149" t="n"/>
    </row>
    <row r="236" ht="15.75" customHeight="1" s="236">
      <c r="A236" s="148" t="n"/>
      <c r="B236" s="148" t="n"/>
      <c r="C236" s="124" t="n"/>
      <c r="D236" s="148" t="n"/>
      <c r="E236" s="148" t="n"/>
      <c r="F236" s="148" t="n"/>
      <c r="G236" s="124" t="n"/>
      <c r="H236" s="148" t="n"/>
      <c r="I236" s="148" t="n"/>
      <c r="J236" s="148" t="n"/>
      <c r="K236" s="148" t="n"/>
      <c r="L236" s="148" t="n"/>
      <c r="M236" s="148" t="n"/>
      <c r="N236" s="148" t="n"/>
      <c r="O236" s="148" t="n"/>
      <c r="P236" s="148" t="n"/>
      <c r="Q236" s="148" t="n"/>
      <c r="R236" s="148" t="n"/>
      <c r="S236" s="148" t="n"/>
      <c r="T236" s="148" t="n"/>
      <c r="U236" s="149">
        <f>IF(AND('Master Stock'!D236&lt;&gt;"",'Master Stock'!H236="OCCUPIED",ISNUMBER('Master Stock'!J236),'Master Stock'!K236=""),SUMPRODUCT(--('Master Stock'!$D$2:$D$1000&lt;&gt;""),--('Master Stock'!$H$2:$H$1000="OCCUPIED"),--ISNUMBER('Master Stock'!$J$2:$J$1000),--('Master Stock'!$K$2:$K$1000=""),--('Master Stock'!$J$2:$J$1000&lt;'Master Stock'!J236))+COUNTIFS('Master Stock'!$J$2:J236,'Master Stock'!J236,'Master Stock'!$D$2:D236,"&lt;&gt;",'Master Stock'!$H$2:H236,"OCCUPIED",'Master Stock'!$K$2:K236,""),"")</f>
        <v/>
      </c>
      <c r="V236" s="149">
        <f>IF(AND('Master Stock'!D236&lt;&gt;"",'Master Stock'!H236="OCCUPIED",ISNUMBER('Master Stock'!L236),'Master Stock'!L236&lt;TODAY()-30),SUMPRODUCT(--('Master Stock'!$D$2:$D$1000&lt;&gt;""),--('Master Stock'!$H$2:$H$1000="OCCUPIED"),--ISNUMBER('Master Stock'!$L$2:$L$1000),--('Master Stock'!$L$2:$L$1000&lt;TODAY()-30),--('Master Stock'!$L$2:$L$1000&lt;'Master Stock'!L236))+COUNTIFS('Master Stock'!$L$2:L236,'Master Stock'!L236,'Master Stock'!$D$2:D236,"&lt;&gt;",'Master Stock'!$H$2:H236,"OCCUPIED"),"")</f>
        <v/>
      </c>
      <c r="W236" s="149" t="n"/>
      <c r="X236" s="149" t="n"/>
      <c r="Y236" s="149" t="n"/>
      <c r="Z236" s="149" t="n"/>
    </row>
    <row r="237" ht="15.75" customHeight="1" s="236">
      <c r="A237" s="148" t="n"/>
      <c r="B237" s="148" t="n"/>
      <c r="C237" s="124" t="n"/>
      <c r="D237" s="148" t="n"/>
      <c r="E237" s="148" t="n"/>
      <c r="F237" s="148" t="n"/>
      <c r="G237" s="124" t="n"/>
      <c r="H237" s="148" t="n"/>
      <c r="I237" s="148" t="n"/>
      <c r="J237" s="148" t="n"/>
      <c r="K237" s="148" t="n"/>
      <c r="L237" s="148" t="n"/>
      <c r="M237" s="148" t="n"/>
      <c r="N237" s="148" t="n"/>
      <c r="O237" s="148" t="n"/>
      <c r="P237" s="148" t="n"/>
      <c r="Q237" s="148" t="n"/>
      <c r="R237" s="148" t="n"/>
      <c r="S237" s="148" t="n"/>
      <c r="T237" s="148" t="n"/>
      <c r="U237" s="149">
        <f>IF(AND('Master Stock'!D237&lt;&gt;"",'Master Stock'!H237="OCCUPIED",ISNUMBER('Master Stock'!J237),'Master Stock'!K237=""),SUMPRODUCT(--('Master Stock'!$D$2:$D$1000&lt;&gt;""),--('Master Stock'!$H$2:$H$1000="OCCUPIED"),--ISNUMBER('Master Stock'!$J$2:$J$1000),--('Master Stock'!$K$2:$K$1000=""),--('Master Stock'!$J$2:$J$1000&lt;'Master Stock'!J237))+COUNTIFS('Master Stock'!$J$2:J237,'Master Stock'!J237,'Master Stock'!$D$2:D237,"&lt;&gt;",'Master Stock'!$H$2:H237,"OCCUPIED",'Master Stock'!$K$2:K237,""),"")</f>
        <v/>
      </c>
      <c r="V237" s="149">
        <f>IF(AND('Master Stock'!D237&lt;&gt;"",'Master Stock'!H237="OCCUPIED",ISNUMBER('Master Stock'!L237),'Master Stock'!L237&lt;TODAY()-30),SUMPRODUCT(--('Master Stock'!$D$2:$D$1000&lt;&gt;""),--('Master Stock'!$H$2:$H$1000="OCCUPIED"),--ISNUMBER('Master Stock'!$L$2:$L$1000),--('Master Stock'!$L$2:$L$1000&lt;TODAY()-30),--('Master Stock'!$L$2:$L$1000&lt;'Master Stock'!L237))+COUNTIFS('Master Stock'!$L$2:L237,'Master Stock'!L237,'Master Stock'!$D$2:D237,"&lt;&gt;",'Master Stock'!$H$2:H237,"OCCUPIED"),"")</f>
        <v/>
      </c>
      <c r="W237" s="149" t="n"/>
      <c r="X237" s="149" t="n"/>
      <c r="Y237" s="149" t="n"/>
      <c r="Z237" s="149" t="n"/>
    </row>
    <row r="238" ht="15.75" customHeight="1" s="236">
      <c r="A238" s="148" t="n"/>
      <c r="B238" s="148" t="n"/>
      <c r="C238" s="124" t="n"/>
      <c r="D238" s="148" t="n"/>
      <c r="E238" s="148" t="n"/>
      <c r="F238" s="148" t="n"/>
      <c r="G238" s="124" t="n"/>
      <c r="H238" s="148" t="n"/>
      <c r="I238" s="148" t="n"/>
      <c r="J238" s="148" t="n"/>
      <c r="K238" s="148" t="n"/>
      <c r="L238" s="148" t="n"/>
      <c r="M238" s="148" t="n"/>
      <c r="N238" s="148" t="n"/>
      <c r="O238" s="148" t="n"/>
      <c r="P238" s="148" t="n"/>
      <c r="Q238" s="148" t="n"/>
      <c r="R238" s="148" t="n"/>
      <c r="S238" s="148" t="n"/>
      <c r="T238" s="148" t="n"/>
      <c r="U238" s="149">
        <f>IF(AND('Master Stock'!D238&lt;&gt;"",'Master Stock'!H238="OCCUPIED",ISNUMBER('Master Stock'!J238),'Master Stock'!K238=""),SUMPRODUCT(--('Master Stock'!$D$2:$D$1000&lt;&gt;""),--('Master Stock'!$H$2:$H$1000="OCCUPIED"),--ISNUMBER('Master Stock'!$J$2:$J$1000),--('Master Stock'!$K$2:$K$1000=""),--('Master Stock'!$J$2:$J$1000&lt;'Master Stock'!J238))+COUNTIFS('Master Stock'!$J$2:J238,'Master Stock'!J238,'Master Stock'!$D$2:D238,"&lt;&gt;",'Master Stock'!$H$2:H238,"OCCUPIED",'Master Stock'!$K$2:K238,""),"")</f>
        <v/>
      </c>
      <c r="V238" s="149">
        <f>IF(AND('Master Stock'!D238&lt;&gt;"",'Master Stock'!H238="OCCUPIED",ISNUMBER('Master Stock'!L238),'Master Stock'!L238&lt;TODAY()-30),SUMPRODUCT(--('Master Stock'!$D$2:$D$1000&lt;&gt;""),--('Master Stock'!$H$2:$H$1000="OCCUPIED"),--ISNUMBER('Master Stock'!$L$2:$L$1000),--('Master Stock'!$L$2:$L$1000&lt;TODAY()-30),--('Master Stock'!$L$2:$L$1000&lt;'Master Stock'!L238))+COUNTIFS('Master Stock'!$L$2:L238,'Master Stock'!L238,'Master Stock'!$D$2:D238,"&lt;&gt;",'Master Stock'!$H$2:H238,"OCCUPIED"),"")</f>
        <v/>
      </c>
      <c r="W238" s="149" t="n"/>
      <c r="X238" s="149" t="n"/>
      <c r="Y238" s="149" t="n"/>
      <c r="Z238" s="149" t="n"/>
    </row>
    <row r="239" ht="15.75" customHeight="1" s="236">
      <c r="A239" s="148" t="n"/>
      <c r="B239" s="148" t="n"/>
      <c r="C239" s="124" t="n"/>
      <c r="D239" s="148" t="n"/>
      <c r="E239" s="148" t="n"/>
      <c r="F239" s="148" t="n"/>
      <c r="G239" s="124" t="n"/>
      <c r="H239" s="148" t="n"/>
      <c r="I239" s="148" t="n"/>
      <c r="J239" s="148" t="n"/>
      <c r="K239" s="148" t="n"/>
      <c r="L239" s="148" t="n"/>
      <c r="M239" s="148" t="n"/>
      <c r="N239" s="148" t="n"/>
      <c r="O239" s="148" t="n"/>
      <c r="P239" s="148" t="n"/>
      <c r="Q239" s="148" t="n"/>
      <c r="R239" s="148" t="n"/>
      <c r="S239" s="148" t="n"/>
      <c r="T239" s="148" t="n"/>
      <c r="U239" s="149">
        <f>IF(AND('Master Stock'!D239&lt;&gt;"",'Master Stock'!H239="OCCUPIED",ISNUMBER('Master Stock'!J239),'Master Stock'!K239=""),SUMPRODUCT(--('Master Stock'!$D$2:$D$1000&lt;&gt;""),--('Master Stock'!$H$2:$H$1000="OCCUPIED"),--ISNUMBER('Master Stock'!$J$2:$J$1000),--('Master Stock'!$K$2:$K$1000=""),--('Master Stock'!$J$2:$J$1000&lt;'Master Stock'!J239))+COUNTIFS('Master Stock'!$J$2:J239,'Master Stock'!J239,'Master Stock'!$D$2:D239,"&lt;&gt;",'Master Stock'!$H$2:H239,"OCCUPIED",'Master Stock'!$K$2:K239,""),"")</f>
        <v/>
      </c>
      <c r="V239" s="149">
        <f>IF(AND('Master Stock'!D239&lt;&gt;"",'Master Stock'!H239="OCCUPIED",ISNUMBER('Master Stock'!L239),'Master Stock'!L239&lt;TODAY()-30),SUMPRODUCT(--('Master Stock'!$D$2:$D$1000&lt;&gt;""),--('Master Stock'!$H$2:$H$1000="OCCUPIED"),--ISNUMBER('Master Stock'!$L$2:$L$1000),--('Master Stock'!$L$2:$L$1000&lt;TODAY()-30),--('Master Stock'!$L$2:$L$1000&lt;'Master Stock'!L239))+COUNTIFS('Master Stock'!$L$2:L239,'Master Stock'!L239,'Master Stock'!$D$2:D239,"&lt;&gt;",'Master Stock'!$H$2:H239,"OCCUPIED"),"")</f>
        <v/>
      </c>
      <c r="W239" s="149" t="n"/>
      <c r="X239" s="149" t="n"/>
      <c r="Y239" s="149" t="n"/>
      <c r="Z239" s="149" t="n"/>
    </row>
    <row r="240" ht="15.75" customHeight="1" s="236">
      <c r="A240" s="148" t="n"/>
      <c r="B240" s="148" t="n"/>
      <c r="C240" s="124" t="n"/>
      <c r="D240" s="148" t="n"/>
      <c r="E240" s="148" t="n"/>
      <c r="F240" s="148" t="n"/>
      <c r="G240" s="124" t="n"/>
      <c r="H240" s="148" t="n"/>
      <c r="I240" s="148" t="n"/>
      <c r="J240" s="148" t="n"/>
      <c r="K240" s="148" t="n"/>
      <c r="L240" s="148" t="n"/>
      <c r="M240" s="148" t="n"/>
      <c r="N240" s="148" t="n"/>
      <c r="O240" s="148" t="n"/>
      <c r="P240" s="148" t="n"/>
      <c r="Q240" s="148" t="n"/>
      <c r="R240" s="148" t="n"/>
      <c r="S240" s="148" t="n"/>
      <c r="T240" s="148" t="n"/>
      <c r="U240" s="149">
        <f>IF(AND('Master Stock'!D240&lt;&gt;"",'Master Stock'!H240="OCCUPIED",ISNUMBER('Master Stock'!J240),'Master Stock'!K240=""),SUMPRODUCT(--('Master Stock'!$D$2:$D$1000&lt;&gt;""),--('Master Stock'!$H$2:$H$1000="OCCUPIED"),--ISNUMBER('Master Stock'!$J$2:$J$1000),--('Master Stock'!$K$2:$K$1000=""),--('Master Stock'!$J$2:$J$1000&lt;'Master Stock'!J240))+COUNTIFS('Master Stock'!$J$2:J240,'Master Stock'!J240,'Master Stock'!$D$2:D240,"&lt;&gt;",'Master Stock'!$H$2:H240,"OCCUPIED",'Master Stock'!$K$2:K240,""),"")</f>
        <v/>
      </c>
      <c r="V240" s="149">
        <f>IF(AND('Master Stock'!D240&lt;&gt;"",'Master Stock'!H240="OCCUPIED",ISNUMBER('Master Stock'!L240),'Master Stock'!L240&lt;TODAY()-30),SUMPRODUCT(--('Master Stock'!$D$2:$D$1000&lt;&gt;""),--('Master Stock'!$H$2:$H$1000="OCCUPIED"),--ISNUMBER('Master Stock'!$L$2:$L$1000),--('Master Stock'!$L$2:$L$1000&lt;TODAY()-30),--('Master Stock'!$L$2:$L$1000&lt;'Master Stock'!L240))+COUNTIFS('Master Stock'!$L$2:L240,'Master Stock'!L240,'Master Stock'!$D$2:D240,"&lt;&gt;",'Master Stock'!$H$2:H240,"OCCUPIED"),"")</f>
        <v/>
      </c>
      <c r="W240" s="149" t="n"/>
      <c r="X240" s="149" t="n"/>
      <c r="Y240" s="149" t="n"/>
      <c r="Z240" s="149" t="n"/>
    </row>
    <row r="241" ht="15.75" customHeight="1" s="236">
      <c r="A241" s="148" t="n"/>
      <c r="B241" s="148" t="n"/>
      <c r="C241" s="124" t="n"/>
      <c r="D241" s="148" t="n"/>
      <c r="E241" s="148" t="n"/>
      <c r="F241" s="148" t="n"/>
      <c r="G241" s="124" t="n"/>
      <c r="H241" s="148" t="n"/>
      <c r="I241" s="148" t="n"/>
      <c r="J241" s="148" t="n"/>
      <c r="K241" s="148" t="n"/>
      <c r="L241" s="148" t="n"/>
      <c r="M241" s="148" t="n"/>
      <c r="N241" s="148" t="n"/>
      <c r="O241" s="148" t="n"/>
      <c r="P241" s="148" t="n"/>
      <c r="Q241" s="148" t="n"/>
      <c r="R241" s="148" t="n"/>
      <c r="S241" s="148" t="n"/>
      <c r="T241" s="148" t="n"/>
      <c r="U241" s="149">
        <f>IF(AND('Master Stock'!D241&lt;&gt;"",'Master Stock'!H241="OCCUPIED",ISNUMBER('Master Stock'!J241),'Master Stock'!K241=""),SUMPRODUCT(--('Master Stock'!$D$2:$D$1000&lt;&gt;""),--('Master Stock'!$H$2:$H$1000="OCCUPIED"),--ISNUMBER('Master Stock'!$J$2:$J$1000),--('Master Stock'!$K$2:$K$1000=""),--('Master Stock'!$J$2:$J$1000&lt;'Master Stock'!J241))+COUNTIFS('Master Stock'!$J$2:J241,'Master Stock'!J241,'Master Stock'!$D$2:D241,"&lt;&gt;",'Master Stock'!$H$2:H241,"OCCUPIED",'Master Stock'!$K$2:K241,""),"")</f>
        <v/>
      </c>
      <c r="V241" s="149">
        <f>IF(AND('Master Stock'!D241&lt;&gt;"",'Master Stock'!H241="OCCUPIED",ISNUMBER('Master Stock'!L241),'Master Stock'!L241&lt;TODAY()-30),SUMPRODUCT(--('Master Stock'!$D$2:$D$1000&lt;&gt;""),--('Master Stock'!$H$2:$H$1000="OCCUPIED"),--ISNUMBER('Master Stock'!$L$2:$L$1000),--('Master Stock'!$L$2:$L$1000&lt;TODAY()-30),--('Master Stock'!$L$2:$L$1000&lt;'Master Stock'!L241))+COUNTIFS('Master Stock'!$L$2:L241,'Master Stock'!L241,'Master Stock'!$D$2:D241,"&lt;&gt;",'Master Stock'!$H$2:H241,"OCCUPIED"),"")</f>
        <v/>
      </c>
      <c r="W241" s="149" t="n"/>
      <c r="X241" s="149" t="n"/>
      <c r="Y241" s="149" t="n"/>
      <c r="Z241" s="149" t="n"/>
    </row>
    <row r="242" ht="15.75" customHeight="1" s="236">
      <c r="A242" s="148" t="n"/>
      <c r="B242" s="148" t="n"/>
      <c r="C242" s="124" t="n"/>
      <c r="D242" s="148" t="n"/>
      <c r="E242" s="148" t="n"/>
      <c r="F242" s="148" t="n"/>
      <c r="G242" s="124" t="n"/>
      <c r="H242" s="148" t="n"/>
      <c r="I242" s="148" t="n"/>
      <c r="J242" s="148" t="n"/>
      <c r="K242" s="148" t="n"/>
      <c r="L242" s="148" t="n"/>
      <c r="M242" s="148" t="n"/>
      <c r="N242" s="148" t="n"/>
      <c r="O242" s="148" t="n"/>
      <c r="P242" s="148" t="n"/>
      <c r="Q242" s="148" t="n"/>
      <c r="R242" s="148" t="n"/>
      <c r="S242" s="148" t="n"/>
      <c r="T242" s="148" t="n"/>
      <c r="U242" s="149">
        <f>IF(AND('Master Stock'!D242&lt;&gt;"",'Master Stock'!H242="OCCUPIED",ISNUMBER('Master Stock'!J242),'Master Stock'!K242=""),SUMPRODUCT(--('Master Stock'!$D$2:$D$1000&lt;&gt;""),--('Master Stock'!$H$2:$H$1000="OCCUPIED"),--ISNUMBER('Master Stock'!$J$2:$J$1000),--('Master Stock'!$K$2:$K$1000=""),--('Master Stock'!$J$2:$J$1000&lt;'Master Stock'!J242))+COUNTIFS('Master Stock'!$J$2:J242,'Master Stock'!J242,'Master Stock'!$D$2:D242,"&lt;&gt;",'Master Stock'!$H$2:H242,"OCCUPIED",'Master Stock'!$K$2:K242,""),"")</f>
        <v/>
      </c>
      <c r="V242" s="149">
        <f>IF(AND('Master Stock'!D242&lt;&gt;"",'Master Stock'!H242="OCCUPIED",ISNUMBER('Master Stock'!L242),'Master Stock'!L242&lt;TODAY()-30),SUMPRODUCT(--('Master Stock'!$D$2:$D$1000&lt;&gt;""),--('Master Stock'!$H$2:$H$1000="OCCUPIED"),--ISNUMBER('Master Stock'!$L$2:$L$1000),--('Master Stock'!$L$2:$L$1000&lt;TODAY()-30),--('Master Stock'!$L$2:$L$1000&lt;'Master Stock'!L242))+COUNTIFS('Master Stock'!$L$2:L242,'Master Stock'!L242,'Master Stock'!$D$2:D242,"&lt;&gt;",'Master Stock'!$H$2:H242,"OCCUPIED"),"")</f>
        <v/>
      </c>
      <c r="W242" s="149" t="n"/>
      <c r="X242" s="149" t="n"/>
      <c r="Y242" s="149" t="n"/>
      <c r="Z242" s="149" t="n"/>
    </row>
    <row r="243" ht="15.75" customHeight="1" s="236">
      <c r="A243" s="148" t="n"/>
      <c r="B243" s="148" t="n"/>
      <c r="C243" s="124" t="n"/>
      <c r="D243" s="148" t="n"/>
      <c r="E243" s="148" t="n"/>
      <c r="F243" s="148" t="n"/>
      <c r="G243" s="124" t="n"/>
      <c r="H243" s="148" t="n"/>
      <c r="I243" s="148" t="n"/>
      <c r="J243" s="148" t="n"/>
      <c r="K243" s="148" t="n"/>
      <c r="L243" s="148" t="n"/>
      <c r="M243" s="148" t="n"/>
      <c r="N243" s="148" t="n"/>
      <c r="O243" s="148" t="n"/>
      <c r="P243" s="148" t="n"/>
      <c r="Q243" s="148" t="n"/>
      <c r="R243" s="148" t="n"/>
      <c r="S243" s="148" t="n"/>
      <c r="T243" s="148" t="n"/>
      <c r="U243" s="149">
        <f>IF(AND('Master Stock'!D243&lt;&gt;"",'Master Stock'!H243="OCCUPIED",ISNUMBER('Master Stock'!J243),'Master Stock'!K243=""),SUMPRODUCT(--('Master Stock'!$D$2:$D$1000&lt;&gt;""),--('Master Stock'!$H$2:$H$1000="OCCUPIED"),--ISNUMBER('Master Stock'!$J$2:$J$1000),--('Master Stock'!$K$2:$K$1000=""),--('Master Stock'!$J$2:$J$1000&lt;'Master Stock'!J243))+COUNTIFS('Master Stock'!$J$2:J243,'Master Stock'!J243,'Master Stock'!$D$2:D243,"&lt;&gt;",'Master Stock'!$H$2:H243,"OCCUPIED",'Master Stock'!$K$2:K243,""),"")</f>
        <v/>
      </c>
      <c r="V243" s="149">
        <f>IF(AND('Master Stock'!D243&lt;&gt;"",'Master Stock'!H243="OCCUPIED",ISNUMBER('Master Stock'!L243),'Master Stock'!L243&lt;TODAY()-30),SUMPRODUCT(--('Master Stock'!$D$2:$D$1000&lt;&gt;""),--('Master Stock'!$H$2:$H$1000="OCCUPIED"),--ISNUMBER('Master Stock'!$L$2:$L$1000),--('Master Stock'!$L$2:$L$1000&lt;TODAY()-30),--('Master Stock'!$L$2:$L$1000&lt;'Master Stock'!L243))+COUNTIFS('Master Stock'!$L$2:L243,'Master Stock'!L243,'Master Stock'!$D$2:D243,"&lt;&gt;",'Master Stock'!$H$2:H243,"OCCUPIED"),"")</f>
        <v/>
      </c>
      <c r="W243" s="149" t="n"/>
      <c r="X243" s="149" t="n"/>
      <c r="Y243" s="149" t="n"/>
      <c r="Z243" s="149" t="n"/>
    </row>
    <row r="244" ht="15.75" customHeight="1" s="236">
      <c r="A244" s="148" t="n"/>
      <c r="B244" s="148" t="n"/>
      <c r="C244" s="124" t="n"/>
      <c r="D244" s="148" t="n"/>
      <c r="E244" s="148" t="n"/>
      <c r="F244" s="148" t="n"/>
      <c r="G244" s="124" t="n"/>
      <c r="H244" s="148" t="n"/>
      <c r="I244" s="148" t="n"/>
      <c r="J244" s="148" t="n"/>
      <c r="K244" s="148" t="n"/>
      <c r="L244" s="148" t="n"/>
      <c r="M244" s="148" t="n"/>
      <c r="N244" s="148" t="n"/>
      <c r="O244" s="148" t="n"/>
      <c r="P244" s="148" t="n"/>
      <c r="Q244" s="148" t="n"/>
      <c r="R244" s="148" t="n"/>
      <c r="S244" s="148" t="n"/>
      <c r="T244" s="148" t="n"/>
      <c r="U244" s="149">
        <f>IF(AND('Master Stock'!D244&lt;&gt;"",'Master Stock'!H244="OCCUPIED",ISNUMBER('Master Stock'!J244),'Master Stock'!K244=""),SUMPRODUCT(--('Master Stock'!$D$2:$D$1000&lt;&gt;""),--('Master Stock'!$H$2:$H$1000="OCCUPIED"),--ISNUMBER('Master Stock'!$J$2:$J$1000),--('Master Stock'!$K$2:$K$1000=""),--('Master Stock'!$J$2:$J$1000&lt;'Master Stock'!J244))+COUNTIFS('Master Stock'!$J$2:J244,'Master Stock'!J244,'Master Stock'!$D$2:D244,"&lt;&gt;",'Master Stock'!$H$2:H244,"OCCUPIED",'Master Stock'!$K$2:K244,""),"")</f>
        <v/>
      </c>
      <c r="V244" s="149">
        <f>IF(AND('Master Stock'!D244&lt;&gt;"",'Master Stock'!H244="OCCUPIED",ISNUMBER('Master Stock'!L244),'Master Stock'!L244&lt;TODAY()-30),SUMPRODUCT(--('Master Stock'!$D$2:$D$1000&lt;&gt;""),--('Master Stock'!$H$2:$H$1000="OCCUPIED"),--ISNUMBER('Master Stock'!$L$2:$L$1000),--('Master Stock'!$L$2:$L$1000&lt;TODAY()-30),--('Master Stock'!$L$2:$L$1000&lt;'Master Stock'!L244))+COUNTIFS('Master Stock'!$L$2:L244,'Master Stock'!L244,'Master Stock'!$D$2:D244,"&lt;&gt;",'Master Stock'!$H$2:H244,"OCCUPIED"),"")</f>
        <v/>
      </c>
      <c r="W244" s="149" t="n"/>
      <c r="X244" s="149" t="n"/>
      <c r="Y244" s="149" t="n"/>
      <c r="Z244" s="149" t="n"/>
    </row>
    <row r="245" ht="15.75" customHeight="1" s="236">
      <c r="A245" s="148" t="n"/>
      <c r="B245" s="148" t="n"/>
      <c r="C245" s="124" t="n"/>
      <c r="D245" s="148" t="n"/>
      <c r="E245" s="148" t="n"/>
      <c r="F245" s="148" t="n"/>
      <c r="G245" s="124" t="n"/>
      <c r="H245" s="148" t="n"/>
      <c r="I245" s="148" t="n"/>
      <c r="J245" s="148" t="n"/>
      <c r="K245" s="148" t="n"/>
      <c r="L245" s="148" t="n"/>
      <c r="M245" s="148" t="n"/>
      <c r="N245" s="148" t="n"/>
      <c r="O245" s="148" t="n"/>
      <c r="P245" s="148" t="n"/>
      <c r="Q245" s="148" t="n"/>
      <c r="R245" s="148" t="n"/>
      <c r="S245" s="148" t="n"/>
      <c r="T245" s="148" t="n"/>
      <c r="U245" s="149">
        <f>IF(AND('Master Stock'!D245&lt;&gt;"",'Master Stock'!H245="OCCUPIED",ISNUMBER('Master Stock'!J245),'Master Stock'!K245=""),SUMPRODUCT(--('Master Stock'!$D$2:$D$1000&lt;&gt;""),--('Master Stock'!$H$2:$H$1000="OCCUPIED"),--ISNUMBER('Master Stock'!$J$2:$J$1000),--('Master Stock'!$K$2:$K$1000=""),--('Master Stock'!$J$2:$J$1000&lt;'Master Stock'!J245))+COUNTIFS('Master Stock'!$J$2:J245,'Master Stock'!J245,'Master Stock'!$D$2:D245,"&lt;&gt;",'Master Stock'!$H$2:H245,"OCCUPIED",'Master Stock'!$K$2:K245,""),"")</f>
        <v/>
      </c>
      <c r="V245" s="149">
        <f>IF(AND('Master Stock'!D245&lt;&gt;"",'Master Stock'!H245="OCCUPIED",ISNUMBER('Master Stock'!L245),'Master Stock'!L245&lt;TODAY()-30),SUMPRODUCT(--('Master Stock'!$D$2:$D$1000&lt;&gt;""),--('Master Stock'!$H$2:$H$1000="OCCUPIED"),--ISNUMBER('Master Stock'!$L$2:$L$1000),--('Master Stock'!$L$2:$L$1000&lt;TODAY()-30),--('Master Stock'!$L$2:$L$1000&lt;'Master Stock'!L245))+COUNTIFS('Master Stock'!$L$2:L245,'Master Stock'!L245,'Master Stock'!$D$2:D245,"&lt;&gt;",'Master Stock'!$H$2:H245,"OCCUPIED"),"")</f>
        <v/>
      </c>
      <c r="W245" s="149" t="n"/>
      <c r="X245" s="149" t="n"/>
      <c r="Y245" s="149" t="n"/>
      <c r="Z245" s="149" t="n"/>
    </row>
    <row r="246" ht="15.75" customHeight="1" s="236">
      <c r="A246" s="148" t="n"/>
      <c r="B246" s="148" t="n"/>
      <c r="C246" s="124" t="n"/>
      <c r="D246" s="148" t="n"/>
      <c r="E246" s="148" t="n"/>
      <c r="F246" s="148" t="n"/>
      <c r="G246" s="124" t="n"/>
      <c r="H246" s="148" t="n"/>
      <c r="I246" s="148" t="n"/>
      <c r="J246" s="148" t="n"/>
      <c r="K246" s="148" t="n"/>
      <c r="L246" s="148" t="n"/>
      <c r="M246" s="148" t="n"/>
      <c r="N246" s="148" t="n"/>
      <c r="O246" s="148" t="n"/>
      <c r="P246" s="148" t="n"/>
      <c r="Q246" s="148" t="n"/>
      <c r="R246" s="148" t="n"/>
      <c r="S246" s="148" t="n"/>
      <c r="T246" s="148" t="n"/>
      <c r="U246" s="149">
        <f>IF(AND('Master Stock'!D246&lt;&gt;"",'Master Stock'!H246="OCCUPIED",ISNUMBER('Master Stock'!J246),'Master Stock'!K246=""),SUMPRODUCT(--('Master Stock'!$D$2:$D$1000&lt;&gt;""),--('Master Stock'!$H$2:$H$1000="OCCUPIED"),--ISNUMBER('Master Stock'!$J$2:$J$1000),--('Master Stock'!$K$2:$K$1000=""),--('Master Stock'!$J$2:$J$1000&lt;'Master Stock'!J246))+COUNTIFS('Master Stock'!$J$2:J246,'Master Stock'!J246,'Master Stock'!$D$2:D246,"&lt;&gt;",'Master Stock'!$H$2:H246,"OCCUPIED",'Master Stock'!$K$2:K246,""),"")</f>
        <v/>
      </c>
      <c r="V246" s="149">
        <f>IF(AND('Master Stock'!D246&lt;&gt;"",'Master Stock'!H246="OCCUPIED",ISNUMBER('Master Stock'!L246),'Master Stock'!L246&lt;TODAY()-30),SUMPRODUCT(--('Master Stock'!$D$2:$D$1000&lt;&gt;""),--('Master Stock'!$H$2:$H$1000="OCCUPIED"),--ISNUMBER('Master Stock'!$L$2:$L$1000),--('Master Stock'!$L$2:$L$1000&lt;TODAY()-30),--('Master Stock'!$L$2:$L$1000&lt;'Master Stock'!L246))+COUNTIFS('Master Stock'!$L$2:L246,'Master Stock'!L246,'Master Stock'!$D$2:D246,"&lt;&gt;",'Master Stock'!$H$2:H246,"OCCUPIED"),"")</f>
        <v/>
      </c>
      <c r="W246" s="149" t="n"/>
      <c r="X246" s="149" t="n"/>
      <c r="Y246" s="149" t="n"/>
      <c r="Z246" s="149" t="n"/>
    </row>
    <row r="247" ht="15.75" customHeight="1" s="236">
      <c r="A247" s="148" t="n"/>
      <c r="B247" s="148" t="n"/>
      <c r="C247" s="124" t="n"/>
      <c r="D247" s="148" t="n"/>
      <c r="E247" s="148" t="n"/>
      <c r="F247" s="148" t="n"/>
      <c r="G247" s="124" t="n"/>
      <c r="H247" s="148" t="n"/>
      <c r="I247" s="148" t="n"/>
      <c r="J247" s="148" t="n"/>
      <c r="K247" s="148" t="n"/>
      <c r="L247" s="148" t="n"/>
      <c r="M247" s="148" t="n"/>
      <c r="N247" s="148" t="n"/>
      <c r="O247" s="148" t="n"/>
      <c r="P247" s="148" t="n"/>
      <c r="Q247" s="148" t="n"/>
      <c r="R247" s="148" t="n"/>
      <c r="S247" s="148" t="n"/>
      <c r="T247" s="148" t="n"/>
      <c r="U247" s="149">
        <f>IF(AND('Master Stock'!D247&lt;&gt;"",'Master Stock'!H247="OCCUPIED",ISNUMBER('Master Stock'!J247),'Master Stock'!K247=""),SUMPRODUCT(--('Master Stock'!$D$2:$D$1000&lt;&gt;""),--('Master Stock'!$H$2:$H$1000="OCCUPIED"),--ISNUMBER('Master Stock'!$J$2:$J$1000),--('Master Stock'!$K$2:$K$1000=""),--('Master Stock'!$J$2:$J$1000&lt;'Master Stock'!J247))+COUNTIFS('Master Stock'!$J$2:J247,'Master Stock'!J247,'Master Stock'!$D$2:D247,"&lt;&gt;",'Master Stock'!$H$2:H247,"OCCUPIED",'Master Stock'!$K$2:K247,""),"")</f>
        <v/>
      </c>
      <c r="V247" s="149">
        <f>IF(AND('Master Stock'!D247&lt;&gt;"",'Master Stock'!H247="OCCUPIED",ISNUMBER('Master Stock'!L247),'Master Stock'!L247&lt;TODAY()-30),SUMPRODUCT(--('Master Stock'!$D$2:$D$1000&lt;&gt;""),--('Master Stock'!$H$2:$H$1000="OCCUPIED"),--ISNUMBER('Master Stock'!$L$2:$L$1000),--('Master Stock'!$L$2:$L$1000&lt;TODAY()-30),--('Master Stock'!$L$2:$L$1000&lt;'Master Stock'!L247))+COUNTIFS('Master Stock'!$L$2:L247,'Master Stock'!L247,'Master Stock'!$D$2:D247,"&lt;&gt;",'Master Stock'!$H$2:H247,"OCCUPIED"),"")</f>
        <v/>
      </c>
      <c r="W247" s="149" t="n"/>
      <c r="X247" s="149" t="n"/>
      <c r="Y247" s="149" t="n"/>
      <c r="Z247" s="149" t="n"/>
    </row>
    <row r="248" ht="15.75" customHeight="1" s="236">
      <c r="A248" s="148" t="n"/>
      <c r="B248" s="148" t="n"/>
      <c r="C248" s="124" t="n"/>
      <c r="D248" s="148" t="n"/>
      <c r="E248" s="148" t="n"/>
      <c r="F248" s="148" t="n"/>
      <c r="G248" s="124" t="n"/>
      <c r="H248" s="148" t="n"/>
      <c r="I248" s="148" t="n"/>
      <c r="J248" s="148" t="n"/>
      <c r="K248" s="148" t="n"/>
      <c r="L248" s="148" t="n"/>
      <c r="M248" s="148" t="n"/>
      <c r="N248" s="148" t="n"/>
      <c r="O248" s="148" t="n"/>
      <c r="P248" s="148" t="n"/>
      <c r="Q248" s="148" t="n"/>
      <c r="R248" s="148" t="n"/>
      <c r="S248" s="148" t="n"/>
      <c r="T248" s="148" t="n"/>
      <c r="U248" s="149">
        <f>IF(AND('Master Stock'!D248&lt;&gt;"",'Master Stock'!H248="OCCUPIED",ISNUMBER('Master Stock'!J248),'Master Stock'!K248=""),SUMPRODUCT(--('Master Stock'!$D$2:$D$1000&lt;&gt;""),--('Master Stock'!$H$2:$H$1000="OCCUPIED"),--ISNUMBER('Master Stock'!$J$2:$J$1000),--('Master Stock'!$K$2:$K$1000=""),--('Master Stock'!$J$2:$J$1000&lt;'Master Stock'!J248))+COUNTIFS('Master Stock'!$J$2:J248,'Master Stock'!J248,'Master Stock'!$D$2:D248,"&lt;&gt;",'Master Stock'!$H$2:H248,"OCCUPIED",'Master Stock'!$K$2:K248,""),"")</f>
        <v/>
      </c>
      <c r="V248" s="149">
        <f>IF(AND('Master Stock'!D248&lt;&gt;"",'Master Stock'!H248="OCCUPIED",ISNUMBER('Master Stock'!L248),'Master Stock'!L248&lt;TODAY()-30),SUMPRODUCT(--('Master Stock'!$D$2:$D$1000&lt;&gt;""),--('Master Stock'!$H$2:$H$1000="OCCUPIED"),--ISNUMBER('Master Stock'!$L$2:$L$1000),--('Master Stock'!$L$2:$L$1000&lt;TODAY()-30),--('Master Stock'!$L$2:$L$1000&lt;'Master Stock'!L248))+COUNTIFS('Master Stock'!$L$2:L248,'Master Stock'!L248,'Master Stock'!$D$2:D248,"&lt;&gt;",'Master Stock'!$H$2:H248,"OCCUPIED"),"")</f>
        <v/>
      </c>
      <c r="W248" s="149" t="n"/>
      <c r="X248" s="149" t="n"/>
      <c r="Y248" s="149" t="n"/>
      <c r="Z248" s="149" t="n"/>
    </row>
    <row r="249" ht="15.75" customHeight="1" s="236">
      <c r="A249" s="148" t="n"/>
      <c r="B249" s="148" t="n"/>
      <c r="C249" s="124" t="n"/>
      <c r="D249" s="148" t="n"/>
      <c r="E249" s="148" t="n"/>
      <c r="F249" s="148" t="n"/>
      <c r="G249" s="124" t="n"/>
      <c r="H249" s="148" t="n"/>
      <c r="I249" s="148" t="n"/>
      <c r="J249" s="148" t="n"/>
      <c r="K249" s="148" t="n"/>
      <c r="L249" s="148" t="n"/>
      <c r="M249" s="148" t="n"/>
      <c r="N249" s="148" t="n"/>
      <c r="O249" s="148" t="n"/>
      <c r="P249" s="148" t="n"/>
      <c r="Q249" s="148" t="n"/>
      <c r="R249" s="148" t="n"/>
      <c r="S249" s="148" t="n"/>
      <c r="T249" s="148" t="n"/>
      <c r="U249" s="149">
        <f>IF(AND('Master Stock'!D249&lt;&gt;"",'Master Stock'!H249="OCCUPIED",ISNUMBER('Master Stock'!J249),'Master Stock'!K249=""),SUMPRODUCT(--('Master Stock'!$D$2:$D$1000&lt;&gt;""),--('Master Stock'!$H$2:$H$1000="OCCUPIED"),--ISNUMBER('Master Stock'!$J$2:$J$1000),--('Master Stock'!$K$2:$K$1000=""),--('Master Stock'!$J$2:$J$1000&lt;'Master Stock'!J249))+COUNTIFS('Master Stock'!$J$2:J249,'Master Stock'!J249,'Master Stock'!$D$2:D249,"&lt;&gt;",'Master Stock'!$H$2:H249,"OCCUPIED",'Master Stock'!$K$2:K249,""),"")</f>
        <v/>
      </c>
      <c r="V249" s="149">
        <f>IF(AND('Master Stock'!D249&lt;&gt;"",'Master Stock'!H249="OCCUPIED",ISNUMBER('Master Stock'!L249),'Master Stock'!L249&lt;TODAY()-30),SUMPRODUCT(--('Master Stock'!$D$2:$D$1000&lt;&gt;""),--('Master Stock'!$H$2:$H$1000="OCCUPIED"),--ISNUMBER('Master Stock'!$L$2:$L$1000),--('Master Stock'!$L$2:$L$1000&lt;TODAY()-30),--('Master Stock'!$L$2:$L$1000&lt;'Master Stock'!L249))+COUNTIFS('Master Stock'!$L$2:L249,'Master Stock'!L249,'Master Stock'!$D$2:D249,"&lt;&gt;",'Master Stock'!$H$2:H249,"OCCUPIED"),"")</f>
        <v/>
      </c>
      <c r="W249" s="149" t="n"/>
      <c r="X249" s="149" t="n"/>
      <c r="Y249" s="149" t="n"/>
      <c r="Z249" s="149" t="n"/>
    </row>
    <row r="250" ht="15.75" customHeight="1" s="236">
      <c r="A250" s="148" t="n"/>
      <c r="B250" s="148" t="n"/>
      <c r="C250" s="124" t="n"/>
      <c r="D250" s="148" t="n"/>
      <c r="E250" s="148" t="n"/>
      <c r="F250" s="148" t="n"/>
      <c r="G250" s="124" t="n"/>
      <c r="H250" s="148" t="n"/>
      <c r="I250" s="148" t="n"/>
      <c r="J250" s="148" t="n"/>
      <c r="K250" s="148" t="n"/>
      <c r="L250" s="148" t="n"/>
      <c r="M250" s="148" t="n"/>
      <c r="N250" s="148" t="n"/>
      <c r="O250" s="148" t="n"/>
      <c r="P250" s="148" t="n"/>
      <c r="Q250" s="148" t="n"/>
      <c r="R250" s="148" t="n"/>
      <c r="S250" s="148" t="n"/>
      <c r="T250" s="148" t="n"/>
      <c r="U250" s="149">
        <f>IF(AND('Master Stock'!D250&lt;&gt;"",'Master Stock'!H250="OCCUPIED",ISNUMBER('Master Stock'!J250),'Master Stock'!K250=""),SUMPRODUCT(--('Master Stock'!$D$2:$D$1000&lt;&gt;""),--('Master Stock'!$H$2:$H$1000="OCCUPIED"),--ISNUMBER('Master Stock'!$J$2:$J$1000),--('Master Stock'!$K$2:$K$1000=""),--('Master Stock'!$J$2:$J$1000&lt;'Master Stock'!J250))+COUNTIFS('Master Stock'!$J$2:J250,'Master Stock'!J250,'Master Stock'!$D$2:D250,"&lt;&gt;",'Master Stock'!$H$2:H250,"OCCUPIED",'Master Stock'!$K$2:K250,""),"")</f>
        <v/>
      </c>
      <c r="V250" s="149">
        <f>IF(AND('Master Stock'!D250&lt;&gt;"",'Master Stock'!H250="OCCUPIED",ISNUMBER('Master Stock'!L250),'Master Stock'!L250&lt;TODAY()-30),SUMPRODUCT(--('Master Stock'!$D$2:$D$1000&lt;&gt;""),--('Master Stock'!$H$2:$H$1000="OCCUPIED"),--ISNUMBER('Master Stock'!$L$2:$L$1000),--('Master Stock'!$L$2:$L$1000&lt;TODAY()-30),--('Master Stock'!$L$2:$L$1000&lt;'Master Stock'!L250))+COUNTIFS('Master Stock'!$L$2:L250,'Master Stock'!L250,'Master Stock'!$D$2:D250,"&lt;&gt;",'Master Stock'!$H$2:H250,"OCCUPIED"),"")</f>
        <v/>
      </c>
      <c r="W250" s="149" t="n"/>
      <c r="X250" s="149" t="n"/>
      <c r="Y250" s="149" t="n"/>
      <c r="Z250" s="149" t="n"/>
    </row>
    <row r="251" ht="15.75" customHeight="1" s="236">
      <c r="A251" s="148" t="n"/>
      <c r="B251" s="148" t="n"/>
      <c r="C251" s="124" t="n"/>
      <c r="D251" s="148" t="n"/>
      <c r="E251" s="148" t="n"/>
      <c r="F251" s="148" t="n"/>
      <c r="G251" s="124" t="n"/>
      <c r="H251" s="148" t="n"/>
      <c r="I251" s="148" t="n"/>
      <c r="J251" s="148" t="n"/>
      <c r="K251" s="148" t="n"/>
      <c r="L251" s="148" t="n"/>
      <c r="M251" s="148" t="n"/>
      <c r="N251" s="148" t="n"/>
      <c r="O251" s="148" t="n"/>
      <c r="P251" s="148" t="n"/>
      <c r="Q251" s="148" t="n"/>
      <c r="R251" s="148" t="n"/>
      <c r="S251" s="148" t="n"/>
      <c r="T251" s="148" t="n"/>
      <c r="U251" s="149">
        <f>IF(AND('Master Stock'!D251&lt;&gt;"",'Master Stock'!H251="OCCUPIED",ISNUMBER('Master Stock'!J251),'Master Stock'!K251=""),SUMPRODUCT(--('Master Stock'!$D$2:$D$1000&lt;&gt;""),--('Master Stock'!$H$2:$H$1000="OCCUPIED"),--ISNUMBER('Master Stock'!$J$2:$J$1000),--('Master Stock'!$K$2:$K$1000=""),--('Master Stock'!$J$2:$J$1000&lt;'Master Stock'!J251))+COUNTIFS('Master Stock'!$J$2:J251,'Master Stock'!J251,'Master Stock'!$D$2:D251,"&lt;&gt;",'Master Stock'!$H$2:H251,"OCCUPIED",'Master Stock'!$K$2:K251,""),"")</f>
        <v/>
      </c>
      <c r="V251" s="149">
        <f>IF(AND('Master Stock'!D251&lt;&gt;"",'Master Stock'!H251="OCCUPIED",ISNUMBER('Master Stock'!L251),'Master Stock'!L251&lt;TODAY()-30),SUMPRODUCT(--('Master Stock'!$D$2:$D$1000&lt;&gt;""),--('Master Stock'!$H$2:$H$1000="OCCUPIED"),--ISNUMBER('Master Stock'!$L$2:$L$1000),--('Master Stock'!$L$2:$L$1000&lt;TODAY()-30),--('Master Stock'!$L$2:$L$1000&lt;'Master Stock'!L251))+COUNTIFS('Master Stock'!$L$2:L251,'Master Stock'!L251,'Master Stock'!$D$2:D251,"&lt;&gt;",'Master Stock'!$H$2:H251,"OCCUPIED"),"")</f>
        <v/>
      </c>
      <c r="W251" s="149" t="n"/>
      <c r="X251" s="149" t="n"/>
      <c r="Y251" s="149" t="n"/>
      <c r="Z251" s="149" t="n"/>
    </row>
    <row r="252" ht="15.75" customHeight="1" s="236">
      <c r="A252" s="148" t="n"/>
      <c r="B252" s="148" t="n"/>
      <c r="C252" s="124" t="n"/>
      <c r="D252" s="148" t="n"/>
      <c r="E252" s="148" t="n"/>
      <c r="F252" s="148" t="n"/>
      <c r="G252" s="124" t="n"/>
      <c r="H252" s="148" t="n"/>
      <c r="I252" s="148" t="n"/>
      <c r="J252" s="148" t="n"/>
      <c r="K252" s="148" t="n"/>
      <c r="L252" s="148" t="n"/>
      <c r="M252" s="148" t="n"/>
      <c r="N252" s="148" t="n"/>
      <c r="O252" s="148" t="n"/>
      <c r="P252" s="148" t="n"/>
      <c r="Q252" s="148" t="n"/>
      <c r="R252" s="148" t="n"/>
      <c r="S252" s="148" t="n"/>
      <c r="T252" s="148" t="n"/>
      <c r="U252" s="149">
        <f>IF(AND('Master Stock'!D252&lt;&gt;"",'Master Stock'!H252="OCCUPIED",ISNUMBER('Master Stock'!J252),'Master Stock'!K252=""),SUMPRODUCT(--('Master Stock'!$D$2:$D$1000&lt;&gt;""),--('Master Stock'!$H$2:$H$1000="OCCUPIED"),--ISNUMBER('Master Stock'!$J$2:$J$1000),--('Master Stock'!$K$2:$K$1000=""),--('Master Stock'!$J$2:$J$1000&lt;'Master Stock'!J252))+COUNTIFS('Master Stock'!$J$2:J252,'Master Stock'!J252,'Master Stock'!$D$2:D252,"&lt;&gt;",'Master Stock'!$H$2:H252,"OCCUPIED",'Master Stock'!$K$2:K252,""),"")</f>
        <v/>
      </c>
      <c r="V252" s="149">
        <f>IF(AND('Master Stock'!D252&lt;&gt;"",'Master Stock'!H252="OCCUPIED",ISNUMBER('Master Stock'!L252),'Master Stock'!L252&lt;TODAY()-30),SUMPRODUCT(--('Master Stock'!$D$2:$D$1000&lt;&gt;""),--('Master Stock'!$H$2:$H$1000="OCCUPIED"),--ISNUMBER('Master Stock'!$L$2:$L$1000),--('Master Stock'!$L$2:$L$1000&lt;TODAY()-30),--('Master Stock'!$L$2:$L$1000&lt;'Master Stock'!L252))+COUNTIFS('Master Stock'!$L$2:L252,'Master Stock'!L252,'Master Stock'!$D$2:D252,"&lt;&gt;",'Master Stock'!$H$2:H252,"OCCUPIED"),"")</f>
        <v/>
      </c>
      <c r="W252" s="149" t="n"/>
      <c r="X252" s="149" t="n"/>
      <c r="Y252" s="149" t="n"/>
      <c r="Z252" s="149" t="n"/>
    </row>
    <row r="253" ht="15.75" customHeight="1" s="236">
      <c r="A253" s="148" t="n"/>
      <c r="B253" s="148" t="n"/>
      <c r="C253" s="124" t="n"/>
      <c r="D253" s="148" t="n"/>
      <c r="E253" s="148" t="n"/>
      <c r="F253" s="148" t="n"/>
      <c r="G253" s="124" t="n"/>
      <c r="H253" s="148" t="n"/>
      <c r="I253" s="148" t="n"/>
      <c r="J253" s="148" t="n"/>
      <c r="K253" s="148" t="n"/>
      <c r="L253" s="148" t="n"/>
      <c r="M253" s="148" t="n"/>
      <c r="N253" s="148" t="n"/>
      <c r="O253" s="148" t="n"/>
      <c r="P253" s="148" t="n"/>
      <c r="Q253" s="148" t="n"/>
      <c r="R253" s="148" t="n"/>
      <c r="S253" s="148" t="n"/>
      <c r="T253" s="148" t="n"/>
      <c r="U253" s="149">
        <f>IF(AND('Master Stock'!D253&lt;&gt;"",'Master Stock'!H253="OCCUPIED",ISNUMBER('Master Stock'!J253),'Master Stock'!K253=""),SUMPRODUCT(--('Master Stock'!$D$2:$D$1000&lt;&gt;""),--('Master Stock'!$H$2:$H$1000="OCCUPIED"),--ISNUMBER('Master Stock'!$J$2:$J$1000),--('Master Stock'!$K$2:$K$1000=""),--('Master Stock'!$J$2:$J$1000&lt;'Master Stock'!J253))+COUNTIFS('Master Stock'!$J$2:J253,'Master Stock'!J253,'Master Stock'!$D$2:D253,"&lt;&gt;",'Master Stock'!$H$2:H253,"OCCUPIED",'Master Stock'!$K$2:K253,""),"")</f>
        <v/>
      </c>
      <c r="V253" s="149">
        <f>IF(AND('Master Stock'!D253&lt;&gt;"",'Master Stock'!H253="OCCUPIED",ISNUMBER('Master Stock'!L253),'Master Stock'!L253&lt;TODAY()-30),SUMPRODUCT(--('Master Stock'!$D$2:$D$1000&lt;&gt;""),--('Master Stock'!$H$2:$H$1000="OCCUPIED"),--ISNUMBER('Master Stock'!$L$2:$L$1000),--('Master Stock'!$L$2:$L$1000&lt;TODAY()-30),--('Master Stock'!$L$2:$L$1000&lt;'Master Stock'!L253))+COUNTIFS('Master Stock'!$L$2:L253,'Master Stock'!L253,'Master Stock'!$D$2:D253,"&lt;&gt;",'Master Stock'!$H$2:H253,"OCCUPIED"),"")</f>
        <v/>
      </c>
      <c r="W253" s="149" t="n"/>
      <c r="X253" s="149" t="n"/>
      <c r="Y253" s="149" t="n"/>
      <c r="Z253" s="149" t="n"/>
    </row>
    <row r="254" ht="15.75" customHeight="1" s="236">
      <c r="A254" s="148" t="n"/>
      <c r="B254" s="148" t="n"/>
      <c r="C254" s="124" t="n"/>
      <c r="D254" s="148" t="n"/>
      <c r="E254" s="148" t="n"/>
      <c r="F254" s="148" t="n"/>
      <c r="G254" s="124" t="n"/>
      <c r="H254" s="148" t="n"/>
      <c r="I254" s="148" t="n"/>
      <c r="J254" s="148" t="n"/>
      <c r="K254" s="148" t="n"/>
      <c r="L254" s="148" t="n"/>
      <c r="M254" s="148" t="n"/>
      <c r="N254" s="148" t="n"/>
      <c r="O254" s="148" t="n"/>
      <c r="P254" s="148" t="n"/>
      <c r="Q254" s="148" t="n"/>
      <c r="R254" s="148" t="n"/>
      <c r="S254" s="148" t="n"/>
      <c r="T254" s="148" t="n"/>
      <c r="U254" s="149">
        <f>IF(AND('Master Stock'!D254&lt;&gt;"",'Master Stock'!H254="OCCUPIED",ISNUMBER('Master Stock'!J254),'Master Stock'!K254=""),SUMPRODUCT(--('Master Stock'!$D$2:$D$1000&lt;&gt;""),--('Master Stock'!$H$2:$H$1000="OCCUPIED"),--ISNUMBER('Master Stock'!$J$2:$J$1000),--('Master Stock'!$K$2:$K$1000=""),--('Master Stock'!$J$2:$J$1000&lt;'Master Stock'!J254))+COUNTIFS('Master Stock'!$J$2:J254,'Master Stock'!J254,'Master Stock'!$D$2:D254,"&lt;&gt;",'Master Stock'!$H$2:H254,"OCCUPIED",'Master Stock'!$K$2:K254,""),"")</f>
        <v/>
      </c>
      <c r="V254" s="149">
        <f>IF(AND('Master Stock'!D254&lt;&gt;"",'Master Stock'!H254="OCCUPIED",ISNUMBER('Master Stock'!L254),'Master Stock'!L254&lt;TODAY()-30),SUMPRODUCT(--('Master Stock'!$D$2:$D$1000&lt;&gt;""),--('Master Stock'!$H$2:$H$1000="OCCUPIED"),--ISNUMBER('Master Stock'!$L$2:$L$1000),--('Master Stock'!$L$2:$L$1000&lt;TODAY()-30),--('Master Stock'!$L$2:$L$1000&lt;'Master Stock'!L254))+COUNTIFS('Master Stock'!$L$2:L254,'Master Stock'!L254,'Master Stock'!$D$2:D254,"&lt;&gt;",'Master Stock'!$H$2:H254,"OCCUPIED"),"")</f>
        <v/>
      </c>
      <c r="W254" s="149" t="n"/>
      <c r="X254" s="149" t="n"/>
      <c r="Y254" s="149" t="n"/>
      <c r="Z254" s="149" t="n"/>
    </row>
    <row r="255" ht="15.75" customHeight="1" s="236">
      <c r="A255" s="148" t="n"/>
      <c r="B255" s="148" t="n"/>
      <c r="C255" s="124" t="n"/>
      <c r="D255" s="148" t="n"/>
      <c r="E255" s="148" t="n"/>
      <c r="F255" s="148" t="n"/>
      <c r="G255" s="124" t="n"/>
      <c r="H255" s="148" t="n"/>
      <c r="I255" s="148" t="n"/>
      <c r="J255" s="148" t="n"/>
      <c r="K255" s="148" t="n"/>
      <c r="L255" s="148" t="n"/>
      <c r="M255" s="148" t="n"/>
      <c r="N255" s="148" t="n"/>
      <c r="O255" s="148" t="n"/>
      <c r="P255" s="148" t="n"/>
      <c r="Q255" s="148" t="n"/>
      <c r="R255" s="148" t="n"/>
      <c r="S255" s="148" t="n"/>
      <c r="T255" s="148" t="n"/>
      <c r="U255" s="149">
        <f>IF(AND('Master Stock'!D255&lt;&gt;"",'Master Stock'!H255="OCCUPIED",ISNUMBER('Master Stock'!J255),'Master Stock'!K255=""),SUMPRODUCT(--('Master Stock'!$D$2:$D$1000&lt;&gt;""),--('Master Stock'!$H$2:$H$1000="OCCUPIED"),--ISNUMBER('Master Stock'!$J$2:$J$1000),--('Master Stock'!$K$2:$K$1000=""),--('Master Stock'!$J$2:$J$1000&lt;'Master Stock'!J255))+COUNTIFS('Master Stock'!$J$2:J255,'Master Stock'!J255,'Master Stock'!$D$2:D255,"&lt;&gt;",'Master Stock'!$H$2:H255,"OCCUPIED",'Master Stock'!$K$2:K255,""),"")</f>
        <v/>
      </c>
      <c r="V255" s="149">
        <f>IF(AND('Master Stock'!D255&lt;&gt;"",'Master Stock'!H255="OCCUPIED",ISNUMBER('Master Stock'!L255),'Master Stock'!L255&lt;TODAY()-30),SUMPRODUCT(--('Master Stock'!$D$2:$D$1000&lt;&gt;""),--('Master Stock'!$H$2:$H$1000="OCCUPIED"),--ISNUMBER('Master Stock'!$L$2:$L$1000),--('Master Stock'!$L$2:$L$1000&lt;TODAY()-30),--('Master Stock'!$L$2:$L$1000&lt;'Master Stock'!L255))+COUNTIFS('Master Stock'!$L$2:L255,'Master Stock'!L255,'Master Stock'!$D$2:D255,"&lt;&gt;",'Master Stock'!$H$2:H255,"OCCUPIED"),"")</f>
        <v/>
      </c>
      <c r="W255" s="149" t="n"/>
      <c r="X255" s="149" t="n"/>
      <c r="Y255" s="149" t="n"/>
      <c r="Z255" s="149" t="n"/>
    </row>
    <row r="256" ht="15.75" customHeight="1" s="236">
      <c r="A256" s="148" t="n"/>
      <c r="B256" s="148" t="n"/>
      <c r="C256" s="124" t="n"/>
      <c r="D256" s="148" t="n"/>
      <c r="E256" s="148" t="n"/>
      <c r="F256" s="148" t="n"/>
      <c r="G256" s="124" t="n"/>
      <c r="H256" s="148" t="n"/>
      <c r="I256" s="148" t="n"/>
      <c r="J256" s="148" t="n"/>
      <c r="K256" s="148" t="n"/>
      <c r="L256" s="148" t="n"/>
      <c r="M256" s="148" t="n"/>
      <c r="N256" s="148" t="n"/>
      <c r="O256" s="148" t="n"/>
      <c r="P256" s="148" t="n"/>
      <c r="Q256" s="148" t="n"/>
      <c r="R256" s="148" t="n"/>
      <c r="S256" s="148" t="n"/>
      <c r="T256" s="148" t="n"/>
      <c r="U256" s="149">
        <f>IF(AND('Master Stock'!D256&lt;&gt;"",'Master Stock'!H256="OCCUPIED",ISNUMBER('Master Stock'!J256),'Master Stock'!K256=""),SUMPRODUCT(--('Master Stock'!$D$2:$D$1000&lt;&gt;""),--('Master Stock'!$H$2:$H$1000="OCCUPIED"),--ISNUMBER('Master Stock'!$J$2:$J$1000),--('Master Stock'!$K$2:$K$1000=""),--('Master Stock'!$J$2:$J$1000&lt;'Master Stock'!J256))+COUNTIFS('Master Stock'!$J$2:J256,'Master Stock'!J256,'Master Stock'!$D$2:D256,"&lt;&gt;",'Master Stock'!$H$2:H256,"OCCUPIED",'Master Stock'!$K$2:K256,""),"")</f>
        <v/>
      </c>
      <c r="V256" s="149">
        <f>IF(AND('Master Stock'!D256&lt;&gt;"",'Master Stock'!H256="OCCUPIED",ISNUMBER('Master Stock'!L256),'Master Stock'!L256&lt;TODAY()-30),SUMPRODUCT(--('Master Stock'!$D$2:$D$1000&lt;&gt;""),--('Master Stock'!$H$2:$H$1000="OCCUPIED"),--ISNUMBER('Master Stock'!$L$2:$L$1000),--('Master Stock'!$L$2:$L$1000&lt;TODAY()-30),--('Master Stock'!$L$2:$L$1000&lt;'Master Stock'!L256))+COUNTIFS('Master Stock'!$L$2:L256,'Master Stock'!L256,'Master Stock'!$D$2:D256,"&lt;&gt;",'Master Stock'!$H$2:H256,"OCCUPIED"),"")</f>
        <v/>
      </c>
      <c r="W256" s="149" t="n"/>
      <c r="X256" s="149" t="n"/>
      <c r="Y256" s="149" t="n"/>
      <c r="Z256" s="149" t="n"/>
    </row>
    <row r="257" ht="15.75" customHeight="1" s="236">
      <c r="A257" s="148" t="n"/>
      <c r="B257" s="148" t="n"/>
      <c r="C257" s="124" t="n"/>
      <c r="D257" s="148" t="n"/>
      <c r="E257" s="148" t="n"/>
      <c r="F257" s="148" t="n"/>
      <c r="G257" s="124" t="n"/>
      <c r="H257" s="148" t="n"/>
      <c r="I257" s="148" t="n"/>
      <c r="J257" s="148" t="n"/>
      <c r="K257" s="148" t="n"/>
      <c r="L257" s="148" t="n"/>
      <c r="M257" s="148" t="n"/>
      <c r="N257" s="148" t="n"/>
      <c r="O257" s="148" t="n"/>
      <c r="P257" s="148" t="n"/>
      <c r="Q257" s="148" t="n"/>
      <c r="R257" s="148" t="n"/>
      <c r="S257" s="148" t="n"/>
      <c r="T257" s="148" t="n"/>
      <c r="U257" s="149">
        <f>IF(AND('Master Stock'!D257&lt;&gt;"",'Master Stock'!H257="OCCUPIED",ISNUMBER('Master Stock'!J257),'Master Stock'!K257=""),SUMPRODUCT(--('Master Stock'!$D$2:$D$1000&lt;&gt;""),--('Master Stock'!$H$2:$H$1000="OCCUPIED"),--ISNUMBER('Master Stock'!$J$2:$J$1000),--('Master Stock'!$K$2:$K$1000=""),--('Master Stock'!$J$2:$J$1000&lt;'Master Stock'!J257))+COUNTIFS('Master Stock'!$J$2:J257,'Master Stock'!J257,'Master Stock'!$D$2:D257,"&lt;&gt;",'Master Stock'!$H$2:H257,"OCCUPIED",'Master Stock'!$K$2:K257,""),"")</f>
        <v/>
      </c>
      <c r="V257" s="149">
        <f>IF(AND('Master Stock'!D257&lt;&gt;"",'Master Stock'!H257="OCCUPIED",ISNUMBER('Master Stock'!L257),'Master Stock'!L257&lt;TODAY()-30),SUMPRODUCT(--('Master Stock'!$D$2:$D$1000&lt;&gt;""),--('Master Stock'!$H$2:$H$1000="OCCUPIED"),--ISNUMBER('Master Stock'!$L$2:$L$1000),--('Master Stock'!$L$2:$L$1000&lt;TODAY()-30),--('Master Stock'!$L$2:$L$1000&lt;'Master Stock'!L257))+COUNTIFS('Master Stock'!$L$2:L257,'Master Stock'!L257,'Master Stock'!$D$2:D257,"&lt;&gt;",'Master Stock'!$H$2:H257,"OCCUPIED"),"")</f>
        <v/>
      </c>
      <c r="W257" s="149" t="n"/>
      <c r="X257" s="149" t="n"/>
      <c r="Y257" s="149" t="n"/>
      <c r="Z257" s="149" t="n"/>
    </row>
    <row r="258" ht="15.75" customHeight="1" s="236">
      <c r="A258" s="148" t="n"/>
      <c r="B258" s="148" t="n"/>
      <c r="C258" s="124" t="n"/>
      <c r="D258" s="148" t="n"/>
      <c r="E258" s="148" t="n"/>
      <c r="F258" s="148" t="n"/>
      <c r="G258" s="124" t="n"/>
      <c r="H258" s="148" t="n"/>
      <c r="I258" s="148" t="n"/>
      <c r="J258" s="148" t="n"/>
      <c r="K258" s="148" t="n"/>
      <c r="L258" s="148" t="n"/>
      <c r="M258" s="148" t="n"/>
      <c r="N258" s="148" t="n"/>
      <c r="O258" s="148" t="n"/>
      <c r="P258" s="148" t="n"/>
      <c r="Q258" s="148" t="n"/>
      <c r="R258" s="148" t="n"/>
      <c r="S258" s="148" t="n"/>
      <c r="T258" s="148" t="n"/>
      <c r="U258" s="149">
        <f>IF(AND('Master Stock'!D258&lt;&gt;"",'Master Stock'!H258="OCCUPIED",ISNUMBER('Master Stock'!J258),'Master Stock'!K258=""),SUMPRODUCT(--('Master Stock'!$D$2:$D$1000&lt;&gt;""),--('Master Stock'!$H$2:$H$1000="OCCUPIED"),--ISNUMBER('Master Stock'!$J$2:$J$1000),--('Master Stock'!$K$2:$K$1000=""),--('Master Stock'!$J$2:$J$1000&lt;'Master Stock'!J258))+COUNTIFS('Master Stock'!$J$2:J258,'Master Stock'!J258,'Master Stock'!$D$2:D258,"&lt;&gt;",'Master Stock'!$H$2:H258,"OCCUPIED",'Master Stock'!$K$2:K258,""),"")</f>
        <v/>
      </c>
      <c r="V258" s="149">
        <f>IF(AND('Master Stock'!D258&lt;&gt;"",'Master Stock'!H258="OCCUPIED",ISNUMBER('Master Stock'!L258),'Master Stock'!L258&lt;TODAY()-30),SUMPRODUCT(--('Master Stock'!$D$2:$D$1000&lt;&gt;""),--('Master Stock'!$H$2:$H$1000="OCCUPIED"),--ISNUMBER('Master Stock'!$L$2:$L$1000),--('Master Stock'!$L$2:$L$1000&lt;TODAY()-30),--('Master Stock'!$L$2:$L$1000&lt;'Master Stock'!L258))+COUNTIFS('Master Stock'!$L$2:L258,'Master Stock'!L258,'Master Stock'!$D$2:D258,"&lt;&gt;",'Master Stock'!$H$2:H258,"OCCUPIED"),"")</f>
        <v/>
      </c>
      <c r="W258" s="149" t="n"/>
      <c r="X258" s="149" t="n"/>
      <c r="Y258" s="149" t="n"/>
      <c r="Z258" s="149" t="n"/>
    </row>
    <row r="259" ht="15.75" customHeight="1" s="236">
      <c r="A259" s="148" t="n"/>
      <c r="B259" s="148" t="n"/>
      <c r="C259" s="124" t="n"/>
      <c r="D259" s="148" t="n"/>
      <c r="E259" s="148" t="n"/>
      <c r="F259" s="148" t="n"/>
      <c r="G259" s="124" t="n"/>
      <c r="H259" s="148" t="n"/>
      <c r="I259" s="148" t="n"/>
      <c r="J259" s="148" t="n"/>
      <c r="K259" s="148" t="n"/>
      <c r="L259" s="148" t="n"/>
      <c r="M259" s="148" t="n"/>
      <c r="N259" s="148" t="n"/>
      <c r="O259" s="148" t="n"/>
      <c r="P259" s="148" t="n"/>
      <c r="Q259" s="148" t="n"/>
      <c r="R259" s="148" t="n"/>
      <c r="S259" s="148" t="n"/>
      <c r="T259" s="148" t="n"/>
      <c r="U259" s="149">
        <f>IF(AND('Master Stock'!D259&lt;&gt;"",'Master Stock'!H259="OCCUPIED",ISNUMBER('Master Stock'!J259),'Master Stock'!K259=""),SUMPRODUCT(--('Master Stock'!$D$2:$D$1000&lt;&gt;""),--('Master Stock'!$H$2:$H$1000="OCCUPIED"),--ISNUMBER('Master Stock'!$J$2:$J$1000),--('Master Stock'!$K$2:$K$1000=""),--('Master Stock'!$J$2:$J$1000&lt;'Master Stock'!J259))+COUNTIFS('Master Stock'!$J$2:J259,'Master Stock'!J259,'Master Stock'!$D$2:D259,"&lt;&gt;",'Master Stock'!$H$2:H259,"OCCUPIED",'Master Stock'!$K$2:K259,""),"")</f>
        <v/>
      </c>
      <c r="V259" s="149">
        <f>IF(AND('Master Stock'!D259&lt;&gt;"",'Master Stock'!H259="OCCUPIED",ISNUMBER('Master Stock'!L259),'Master Stock'!L259&lt;TODAY()-30),SUMPRODUCT(--('Master Stock'!$D$2:$D$1000&lt;&gt;""),--('Master Stock'!$H$2:$H$1000="OCCUPIED"),--ISNUMBER('Master Stock'!$L$2:$L$1000),--('Master Stock'!$L$2:$L$1000&lt;TODAY()-30),--('Master Stock'!$L$2:$L$1000&lt;'Master Stock'!L259))+COUNTIFS('Master Stock'!$L$2:L259,'Master Stock'!L259,'Master Stock'!$D$2:D259,"&lt;&gt;",'Master Stock'!$H$2:H259,"OCCUPIED"),"")</f>
        <v/>
      </c>
      <c r="W259" s="149" t="n"/>
      <c r="X259" s="149" t="n"/>
      <c r="Y259" s="149" t="n"/>
      <c r="Z259" s="149" t="n"/>
    </row>
    <row r="260" ht="15.75" customHeight="1" s="236">
      <c r="A260" s="148" t="n"/>
      <c r="B260" s="148" t="n"/>
      <c r="C260" s="124" t="n"/>
      <c r="D260" s="148" t="n"/>
      <c r="E260" s="148" t="n"/>
      <c r="F260" s="148" t="n"/>
      <c r="G260" s="124" t="n"/>
      <c r="H260" s="148" t="n"/>
      <c r="I260" s="148" t="n"/>
      <c r="J260" s="148" t="n"/>
      <c r="K260" s="148" t="n"/>
      <c r="L260" s="148" t="n"/>
      <c r="M260" s="148" t="n"/>
      <c r="N260" s="148" t="n"/>
      <c r="O260" s="148" t="n"/>
      <c r="P260" s="148" t="n"/>
      <c r="Q260" s="148" t="n"/>
      <c r="R260" s="148" t="n"/>
      <c r="S260" s="148" t="n"/>
      <c r="T260" s="148" t="n"/>
      <c r="U260" s="149">
        <f>IF(AND('Master Stock'!D260&lt;&gt;"",'Master Stock'!H260="OCCUPIED",ISNUMBER('Master Stock'!J260),'Master Stock'!K260=""),SUMPRODUCT(--('Master Stock'!$D$2:$D$1000&lt;&gt;""),--('Master Stock'!$H$2:$H$1000="OCCUPIED"),--ISNUMBER('Master Stock'!$J$2:$J$1000),--('Master Stock'!$K$2:$K$1000=""),--('Master Stock'!$J$2:$J$1000&lt;'Master Stock'!J260))+COUNTIFS('Master Stock'!$J$2:J260,'Master Stock'!J260,'Master Stock'!$D$2:D260,"&lt;&gt;",'Master Stock'!$H$2:H260,"OCCUPIED",'Master Stock'!$K$2:K260,""),"")</f>
        <v/>
      </c>
      <c r="V260" s="149">
        <f>IF(AND('Master Stock'!D260&lt;&gt;"",'Master Stock'!H260="OCCUPIED",ISNUMBER('Master Stock'!L260),'Master Stock'!L260&lt;TODAY()-30),SUMPRODUCT(--('Master Stock'!$D$2:$D$1000&lt;&gt;""),--('Master Stock'!$H$2:$H$1000="OCCUPIED"),--ISNUMBER('Master Stock'!$L$2:$L$1000),--('Master Stock'!$L$2:$L$1000&lt;TODAY()-30),--('Master Stock'!$L$2:$L$1000&lt;'Master Stock'!L260))+COUNTIFS('Master Stock'!$L$2:L260,'Master Stock'!L260,'Master Stock'!$D$2:D260,"&lt;&gt;",'Master Stock'!$H$2:H260,"OCCUPIED"),"")</f>
        <v/>
      </c>
      <c r="W260" s="149" t="n"/>
      <c r="X260" s="149" t="n"/>
      <c r="Y260" s="149" t="n"/>
      <c r="Z260" s="149" t="n"/>
    </row>
    <row r="261" ht="15.75" customHeight="1" s="236">
      <c r="A261" s="148" t="n"/>
      <c r="B261" s="148" t="n"/>
      <c r="C261" s="124" t="n"/>
      <c r="D261" s="148" t="n"/>
      <c r="E261" s="148" t="n"/>
      <c r="F261" s="148" t="n"/>
      <c r="G261" s="124" t="n"/>
      <c r="H261" s="148" t="n"/>
      <c r="I261" s="148" t="n"/>
      <c r="J261" s="148" t="n"/>
      <c r="K261" s="148" t="n"/>
      <c r="L261" s="148" t="n"/>
      <c r="M261" s="148" t="n"/>
      <c r="N261" s="148" t="n"/>
      <c r="O261" s="148" t="n"/>
      <c r="P261" s="148" t="n"/>
      <c r="Q261" s="148" t="n"/>
      <c r="R261" s="148" t="n"/>
      <c r="S261" s="148" t="n"/>
      <c r="T261" s="148" t="n"/>
      <c r="U261" s="149">
        <f>IF(AND('Master Stock'!D261&lt;&gt;"",'Master Stock'!H261="OCCUPIED",ISNUMBER('Master Stock'!J261),'Master Stock'!K261=""),SUMPRODUCT(--('Master Stock'!$D$2:$D$1000&lt;&gt;""),--('Master Stock'!$H$2:$H$1000="OCCUPIED"),--ISNUMBER('Master Stock'!$J$2:$J$1000),--('Master Stock'!$K$2:$K$1000=""),--('Master Stock'!$J$2:$J$1000&lt;'Master Stock'!J261))+COUNTIFS('Master Stock'!$J$2:J261,'Master Stock'!J261,'Master Stock'!$D$2:D261,"&lt;&gt;",'Master Stock'!$H$2:H261,"OCCUPIED",'Master Stock'!$K$2:K261,""),"")</f>
        <v/>
      </c>
      <c r="V261" s="149">
        <f>IF(AND('Master Stock'!D261&lt;&gt;"",'Master Stock'!H261="OCCUPIED",ISNUMBER('Master Stock'!L261),'Master Stock'!L261&lt;TODAY()-30),SUMPRODUCT(--('Master Stock'!$D$2:$D$1000&lt;&gt;""),--('Master Stock'!$H$2:$H$1000="OCCUPIED"),--ISNUMBER('Master Stock'!$L$2:$L$1000),--('Master Stock'!$L$2:$L$1000&lt;TODAY()-30),--('Master Stock'!$L$2:$L$1000&lt;'Master Stock'!L261))+COUNTIFS('Master Stock'!$L$2:L261,'Master Stock'!L261,'Master Stock'!$D$2:D261,"&lt;&gt;",'Master Stock'!$H$2:H261,"OCCUPIED"),"")</f>
        <v/>
      </c>
      <c r="W261" s="149" t="n"/>
      <c r="X261" s="149" t="n"/>
      <c r="Y261" s="149" t="n"/>
      <c r="Z261" s="149" t="n"/>
    </row>
    <row r="262" ht="15.75" customHeight="1" s="236">
      <c r="A262" s="148" t="n"/>
      <c r="B262" s="148" t="n"/>
      <c r="C262" s="124" t="n"/>
      <c r="D262" s="148" t="n"/>
      <c r="E262" s="148" t="n"/>
      <c r="F262" s="148" t="n"/>
      <c r="G262" s="124" t="n"/>
      <c r="H262" s="148" t="n"/>
      <c r="I262" s="148" t="n"/>
      <c r="J262" s="148" t="n"/>
      <c r="K262" s="148" t="n"/>
      <c r="L262" s="148" t="n"/>
      <c r="M262" s="148" t="n"/>
      <c r="N262" s="148" t="n"/>
      <c r="O262" s="148" t="n"/>
      <c r="P262" s="148" t="n"/>
      <c r="Q262" s="148" t="n"/>
      <c r="R262" s="148" t="n"/>
      <c r="S262" s="148" t="n"/>
      <c r="T262" s="148" t="n"/>
      <c r="U262" s="149">
        <f>IF(AND('Master Stock'!D262&lt;&gt;"",'Master Stock'!H262="OCCUPIED",ISNUMBER('Master Stock'!J262),'Master Stock'!K262=""),SUMPRODUCT(--('Master Stock'!$D$2:$D$1000&lt;&gt;""),--('Master Stock'!$H$2:$H$1000="OCCUPIED"),--ISNUMBER('Master Stock'!$J$2:$J$1000),--('Master Stock'!$K$2:$K$1000=""),--('Master Stock'!$J$2:$J$1000&lt;'Master Stock'!J262))+COUNTIFS('Master Stock'!$J$2:J262,'Master Stock'!J262,'Master Stock'!$D$2:D262,"&lt;&gt;",'Master Stock'!$H$2:H262,"OCCUPIED",'Master Stock'!$K$2:K262,""),"")</f>
        <v/>
      </c>
      <c r="V262" s="149">
        <f>IF(AND('Master Stock'!D262&lt;&gt;"",'Master Stock'!H262="OCCUPIED",ISNUMBER('Master Stock'!L262),'Master Stock'!L262&lt;TODAY()-30),SUMPRODUCT(--('Master Stock'!$D$2:$D$1000&lt;&gt;""),--('Master Stock'!$H$2:$H$1000="OCCUPIED"),--ISNUMBER('Master Stock'!$L$2:$L$1000),--('Master Stock'!$L$2:$L$1000&lt;TODAY()-30),--('Master Stock'!$L$2:$L$1000&lt;'Master Stock'!L262))+COUNTIFS('Master Stock'!$L$2:L262,'Master Stock'!L262,'Master Stock'!$D$2:D262,"&lt;&gt;",'Master Stock'!$H$2:H262,"OCCUPIED"),"")</f>
        <v/>
      </c>
      <c r="W262" s="149" t="n"/>
      <c r="X262" s="149" t="n"/>
      <c r="Y262" s="149" t="n"/>
      <c r="Z262" s="149" t="n"/>
    </row>
    <row r="263" ht="15.75" customHeight="1" s="236">
      <c r="A263" s="148" t="n"/>
      <c r="B263" s="148" t="n"/>
      <c r="C263" s="124" t="n"/>
      <c r="D263" s="148" t="n"/>
      <c r="E263" s="148" t="n"/>
      <c r="F263" s="148" t="n"/>
      <c r="G263" s="124" t="n"/>
      <c r="H263" s="148" t="n"/>
      <c r="I263" s="148" t="n"/>
      <c r="J263" s="148" t="n"/>
      <c r="K263" s="148" t="n"/>
      <c r="L263" s="148" t="n"/>
      <c r="M263" s="148" t="n"/>
      <c r="N263" s="148" t="n"/>
      <c r="O263" s="148" t="n"/>
      <c r="P263" s="148" t="n"/>
      <c r="Q263" s="148" t="n"/>
      <c r="R263" s="148" t="n"/>
      <c r="S263" s="148" t="n"/>
      <c r="T263" s="148" t="n"/>
      <c r="U263" s="149">
        <f>IF(AND('Master Stock'!D263&lt;&gt;"",'Master Stock'!H263="OCCUPIED",ISNUMBER('Master Stock'!J263),'Master Stock'!K263=""),SUMPRODUCT(--('Master Stock'!$D$2:$D$1000&lt;&gt;""),--('Master Stock'!$H$2:$H$1000="OCCUPIED"),--ISNUMBER('Master Stock'!$J$2:$J$1000),--('Master Stock'!$K$2:$K$1000=""),--('Master Stock'!$J$2:$J$1000&lt;'Master Stock'!J263))+COUNTIFS('Master Stock'!$J$2:J263,'Master Stock'!J263,'Master Stock'!$D$2:D263,"&lt;&gt;",'Master Stock'!$H$2:H263,"OCCUPIED",'Master Stock'!$K$2:K263,""),"")</f>
        <v/>
      </c>
      <c r="V263" s="149">
        <f>IF(AND('Master Stock'!D263&lt;&gt;"",'Master Stock'!H263="OCCUPIED",ISNUMBER('Master Stock'!L263),'Master Stock'!L263&lt;TODAY()-30),SUMPRODUCT(--('Master Stock'!$D$2:$D$1000&lt;&gt;""),--('Master Stock'!$H$2:$H$1000="OCCUPIED"),--ISNUMBER('Master Stock'!$L$2:$L$1000),--('Master Stock'!$L$2:$L$1000&lt;TODAY()-30),--('Master Stock'!$L$2:$L$1000&lt;'Master Stock'!L263))+COUNTIFS('Master Stock'!$L$2:L263,'Master Stock'!L263,'Master Stock'!$D$2:D263,"&lt;&gt;",'Master Stock'!$H$2:H263,"OCCUPIED"),"")</f>
        <v/>
      </c>
      <c r="W263" s="149" t="n"/>
      <c r="X263" s="149" t="n"/>
      <c r="Y263" s="149" t="n"/>
      <c r="Z263" s="149" t="n"/>
    </row>
    <row r="264" ht="15.75" customHeight="1" s="236">
      <c r="A264" s="148" t="n"/>
      <c r="B264" s="148" t="n"/>
      <c r="C264" s="124" t="n"/>
      <c r="D264" s="148" t="n"/>
      <c r="E264" s="148" t="n"/>
      <c r="F264" s="148" t="n"/>
      <c r="G264" s="124" t="n"/>
      <c r="H264" s="148" t="n"/>
      <c r="I264" s="148" t="n"/>
      <c r="J264" s="148" t="n"/>
      <c r="K264" s="148" t="n"/>
      <c r="L264" s="148" t="n"/>
      <c r="M264" s="148" t="n"/>
      <c r="N264" s="148" t="n"/>
      <c r="O264" s="148" t="n"/>
      <c r="P264" s="148" t="n"/>
      <c r="Q264" s="148" t="n"/>
      <c r="R264" s="148" t="n"/>
      <c r="S264" s="148" t="n"/>
      <c r="T264" s="148" t="n"/>
      <c r="U264" s="149">
        <f>IF(AND('Master Stock'!D264&lt;&gt;"",'Master Stock'!H264="OCCUPIED",ISNUMBER('Master Stock'!J264),'Master Stock'!K264=""),SUMPRODUCT(--('Master Stock'!$D$2:$D$1000&lt;&gt;""),--('Master Stock'!$H$2:$H$1000="OCCUPIED"),--ISNUMBER('Master Stock'!$J$2:$J$1000),--('Master Stock'!$K$2:$K$1000=""),--('Master Stock'!$J$2:$J$1000&lt;'Master Stock'!J264))+COUNTIFS('Master Stock'!$J$2:J264,'Master Stock'!J264,'Master Stock'!$D$2:D264,"&lt;&gt;",'Master Stock'!$H$2:H264,"OCCUPIED",'Master Stock'!$K$2:K264,""),"")</f>
        <v/>
      </c>
      <c r="V264" s="149">
        <f>IF(AND('Master Stock'!D264&lt;&gt;"",'Master Stock'!H264="OCCUPIED",ISNUMBER('Master Stock'!L264),'Master Stock'!L264&lt;TODAY()-30),SUMPRODUCT(--('Master Stock'!$D$2:$D$1000&lt;&gt;""),--('Master Stock'!$H$2:$H$1000="OCCUPIED"),--ISNUMBER('Master Stock'!$L$2:$L$1000),--('Master Stock'!$L$2:$L$1000&lt;TODAY()-30),--('Master Stock'!$L$2:$L$1000&lt;'Master Stock'!L264))+COUNTIFS('Master Stock'!$L$2:L264,'Master Stock'!L264,'Master Stock'!$D$2:D264,"&lt;&gt;",'Master Stock'!$H$2:H264,"OCCUPIED"),"")</f>
        <v/>
      </c>
      <c r="W264" s="149" t="n"/>
      <c r="X264" s="149" t="n"/>
      <c r="Y264" s="149" t="n"/>
      <c r="Z264" s="149" t="n"/>
    </row>
    <row r="265" ht="15.75" customHeight="1" s="236">
      <c r="A265" s="148" t="n"/>
      <c r="B265" s="148" t="n"/>
      <c r="C265" s="124" t="n"/>
      <c r="D265" s="148" t="n"/>
      <c r="E265" s="148" t="n"/>
      <c r="F265" s="148" t="n"/>
      <c r="G265" s="124" t="n"/>
      <c r="H265" s="148" t="n"/>
      <c r="I265" s="148" t="n"/>
      <c r="J265" s="148" t="n"/>
      <c r="K265" s="148" t="n"/>
      <c r="L265" s="148" t="n"/>
      <c r="M265" s="148" t="n"/>
      <c r="N265" s="148" t="n"/>
      <c r="O265" s="148" t="n"/>
      <c r="P265" s="148" t="n"/>
      <c r="Q265" s="148" t="n"/>
      <c r="R265" s="148" t="n"/>
      <c r="S265" s="148" t="n"/>
      <c r="T265" s="148" t="n"/>
      <c r="U265" s="149">
        <f>IF(AND('Master Stock'!D265&lt;&gt;"",'Master Stock'!H265="OCCUPIED",ISNUMBER('Master Stock'!J265),'Master Stock'!K265=""),SUMPRODUCT(--('Master Stock'!$D$2:$D$1000&lt;&gt;""),--('Master Stock'!$H$2:$H$1000="OCCUPIED"),--ISNUMBER('Master Stock'!$J$2:$J$1000),--('Master Stock'!$K$2:$K$1000=""),--('Master Stock'!$J$2:$J$1000&lt;'Master Stock'!J265))+COUNTIFS('Master Stock'!$J$2:J265,'Master Stock'!J265,'Master Stock'!$D$2:D265,"&lt;&gt;",'Master Stock'!$H$2:H265,"OCCUPIED",'Master Stock'!$K$2:K265,""),"")</f>
        <v/>
      </c>
      <c r="V265" s="149">
        <f>IF(AND('Master Stock'!D265&lt;&gt;"",'Master Stock'!H265="OCCUPIED",ISNUMBER('Master Stock'!L265),'Master Stock'!L265&lt;TODAY()-30),SUMPRODUCT(--('Master Stock'!$D$2:$D$1000&lt;&gt;""),--('Master Stock'!$H$2:$H$1000="OCCUPIED"),--ISNUMBER('Master Stock'!$L$2:$L$1000),--('Master Stock'!$L$2:$L$1000&lt;TODAY()-30),--('Master Stock'!$L$2:$L$1000&lt;'Master Stock'!L265))+COUNTIFS('Master Stock'!$L$2:L265,'Master Stock'!L265,'Master Stock'!$D$2:D265,"&lt;&gt;",'Master Stock'!$H$2:H265,"OCCUPIED"),"")</f>
        <v/>
      </c>
      <c r="W265" s="149" t="n"/>
      <c r="X265" s="149" t="n"/>
      <c r="Y265" s="149" t="n"/>
      <c r="Z265" s="149" t="n"/>
    </row>
    <row r="266" ht="15.75" customHeight="1" s="236">
      <c r="A266" s="148" t="n"/>
      <c r="B266" s="148" t="n"/>
      <c r="C266" s="124" t="n"/>
      <c r="D266" s="148" t="n"/>
      <c r="E266" s="148" t="n"/>
      <c r="F266" s="148" t="n"/>
      <c r="G266" s="124" t="n"/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 t="n"/>
      <c r="S266" s="148" t="n"/>
      <c r="T266" s="148" t="n"/>
      <c r="U266" s="149">
        <f>IF(AND('Master Stock'!D266&lt;&gt;"",'Master Stock'!H266="OCCUPIED",ISNUMBER('Master Stock'!J266),'Master Stock'!K266=""),SUMPRODUCT(--('Master Stock'!$D$2:$D$1000&lt;&gt;""),--('Master Stock'!$H$2:$H$1000="OCCUPIED"),--ISNUMBER('Master Stock'!$J$2:$J$1000),--('Master Stock'!$K$2:$K$1000=""),--('Master Stock'!$J$2:$J$1000&lt;'Master Stock'!J266))+COUNTIFS('Master Stock'!$J$2:J266,'Master Stock'!J266,'Master Stock'!$D$2:D266,"&lt;&gt;",'Master Stock'!$H$2:H266,"OCCUPIED",'Master Stock'!$K$2:K266,""),"")</f>
        <v/>
      </c>
      <c r="V266" s="149">
        <f>IF(AND('Master Stock'!D266&lt;&gt;"",'Master Stock'!H266="OCCUPIED",ISNUMBER('Master Stock'!L266),'Master Stock'!L266&lt;TODAY()-30),SUMPRODUCT(--('Master Stock'!$D$2:$D$1000&lt;&gt;""),--('Master Stock'!$H$2:$H$1000="OCCUPIED"),--ISNUMBER('Master Stock'!$L$2:$L$1000),--('Master Stock'!$L$2:$L$1000&lt;TODAY()-30),--('Master Stock'!$L$2:$L$1000&lt;'Master Stock'!L266))+COUNTIFS('Master Stock'!$L$2:L266,'Master Stock'!L266,'Master Stock'!$D$2:D266,"&lt;&gt;",'Master Stock'!$H$2:H266,"OCCUPIED"),"")</f>
        <v/>
      </c>
      <c r="W266" s="149" t="n"/>
      <c r="X266" s="149" t="n"/>
      <c r="Y266" s="149" t="n"/>
      <c r="Z266" s="149" t="n"/>
    </row>
    <row r="267" ht="15.75" customHeight="1" s="236">
      <c r="A267" s="148" t="n"/>
      <c r="B267" s="148" t="n"/>
      <c r="C267" s="124" t="n"/>
      <c r="D267" s="148" t="n"/>
      <c r="E267" s="148" t="n"/>
      <c r="F267" s="148" t="n"/>
      <c r="G267" s="124" t="n"/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 t="n"/>
      <c r="S267" s="148" t="n"/>
      <c r="T267" s="148" t="n"/>
      <c r="U267" s="149">
        <f>IF(AND('Master Stock'!D267&lt;&gt;"",'Master Stock'!H267="OCCUPIED",ISNUMBER('Master Stock'!J267),'Master Stock'!K267=""),SUMPRODUCT(--('Master Stock'!$D$2:$D$1000&lt;&gt;""),--('Master Stock'!$H$2:$H$1000="OCCUPIED"),--ISNUMBER('Master Stock'!$J$2:$J$1000),--('Master Stock'!$K$2:$K$1000=""),--('Master Stock'!$J$2:$J$1000&lt;'Master Stock'!J267))+COUNTIFS('Master Stock'!$J$2:J267,'Master Stock'!J267,'Master Stock'!$D$2:D267,"&lt;&gt;",'Master Stock'!$H$2:H267,"OCCUPIED",'Master Stock'!$K$2:K267,""),"")</f>
        <v/>
      </c>
      <c r="V267" s="149">
        <f>IF(AND('Master Stock'!D267&lt;&gt;"",'Master Stock'!H267="OCCUPIED",ISNUMBER('Master Stock'!L267),'Master Stock'!L267&lt;TODAY()-30),SUMPRODUCT(--('Master Stock'!$D$2:$D$1000&lt;&gt;""),--('Master Stock'!$H$2:$H$1000="OCCUPIED"),--ISNUMBER('Master Stock'!$L$2:$L$1000),--('Master Stock'!$L$2:$L$1000&lt;TODAY()-30),--('Master Stock'!$L$2:$L$1000&lt;'Master Stock'!L267))+COUNTIFS('Master Stock'!$L$2:L267,'Master Stock'!L267,'Master Stock'!$D$2:D267,"&lt;&gt;",'Master Stock'!$H$2:H267,"OCCUPIED"),"")</f>
        <v/>
      </c>
      <c r="W267" s="149" t="n"/>
      <c r="X267" s="149" t="n"/>
      <c r="Y267" s="149" t="n"/>
      <c r="Z267" s="149" t="n"/>
    </row>
    <row r="268" ht="15.75" customHeight="1" s="236">
      <c r="A268" s="148" t="n"/>
      <c r="B268" s="148" t="n"/>
      <c r="C268" s="124" t="n"/>
      <c r="D268" s="148" t="n"/>
      <c r="E268" s="148" t="n"/>
      <c r="F268" s="148" t="n"/>
      <c r="G268" s="124" t="n"/>
      <c r="H268" s="148" t="n"/>
      <c r="I268" s="148" t="n"/>
      <c r="J268" s="148" t="n"/>
      <c r="K268" s="148" t="n"/>
      <c r="L268" s="148" t="n"/>
      <c r="M268" s="148" t="n"/>
      <c r="N268" s="148" t="n"/>
      <c r="O268" s="148" t="n"/>
      <c r="P268" s="148" t="n"/>
      <c r="Q268" s="148" t="n"/>
      <c r="R268" s="148" t="n"/>
      <c r="S268" s="148" t="n"/>
      <c r="T268" s="148" t="n"/>
      <c r="U268" s="149">
        <f>IF(AND('Master Stock'!D268&lt;&gt;"",'Master Stock'!H268="OCCUPIED",ISNUMBER('Master Stock'!J268),'Master Stock'!K268=""),SUMPRODUCT(--('Master Stock'!$D$2:$D$1000&lt;&gt;""),--('Master Stock'!$H$2:$H$1000="OCCUPIED"),--ISNUMBER('Master Stock'!$J$2:$J$1000),--('Master Stock'!$K$2:$K$1000=""),--('Master Stock'!$J$2:$J$1000&lt;'Master Stock'!J268))+COUNTIFS('Master Stock'!$J$2:J268,'Master Stock'!J268,'Master Stock'!$D$2:D268,"&lt;&gt;",'Master Stock'!$H$2:H268,"OCCUPIED",'Master Stock'!$K$2:K268,""),"")</f>
        <v/>
      </c>
      <c r="V268" s="149">
        <f>IF(AND('Master Stock'!D268&lt;&gt;"",'Master Stock'!H268="OCCUPIED",ISNUMBER('Master Stock'!L268),'Master Stock'!L268&lt;TODAY()-30),SUMPRODUCT(--('Master Stock'!$D$2:$D$1000&lt;&gt;""),--('Master Stock'!$H$2:$H$1000="OCCUPIED"),--ISNUMBER('Master Stock'!$L$2:$L$1000),--('Master Stock'!$L$2:$L$1000&lt;TODAY()-30),--('Master Stock'!$L$2:$L$1000&lt;'Master Stock'!L268))+COUNTIFS('Master Stock'!$L$2:L268,'Master Stock'!L268,'Master Stock'!$D$2:D268,"&lt;&gt;",'Master Stock'!$H$2:H268,"OCCUPIED"),"")</f>
        <v/>
      </c>
      <c r="W268" s="149" t="n"/>
      <c r="X268" s="149" t="n"/>
      <c r="Y268" s="149" t="n"/>
      <c r="Z268" s="149" t="n"/>
    </row>
    <row r="269" ht="15.75" customHeight="1" s="236">
      <c r="A269" s="148" t="n"/>
      <c r="B269" s="148" t="n"/>
      <c r="C269" s="124" t="n"/>
      <c r="D269" s="148" t="n"/>
      <c r="E269" s="148" t="n"/>
      <c r="F269" s="148" t="n"/>
      <c r="G269" s="124" t="n"/>
      <c r="H269" s="148" t="n"/>
      <c r="I269" s="148" t="n"/>
      <c r="J269" s="148" t="n"/>
      <c r="K269" s="148" t="n"/>
      <c r="L269" s="148" t="n"/>
      <c r="M269" s="148" t="n"/>
      <c r="N269" s="148" t="n"/>
      <c r="O269" s="148" t="n"/>
      <c r="P269" s="148" t="n"/>
      <c r="Q269" s="148" t="n"/>
      <c r="R269" s="148" t="n"/>
      <c r="S269" s="148" t="n"/>
      <c r="T269" s="148" t="n"/>
      <c r="U269" s="149">
        <f>IF(AND('Master Stock'!D269&lt;&gt;"",'Master Stock'!H269="OCCUPIED",ISNUMBER('Master Stock'!J269),'Master Stock'!K269=""),SUMPRODUCT(--('Master Stock'!$D$2:$D$1000&lt;&gt;""),--('Master Stock'!$H$2:$H$1000="OCCUPIED"),--ISNUMBER('Master Stock'!$J$2:$J$1000),--('Master Stock'!$K$2:$K$1000=""),--('Master Stock'!$J$2:$J$1000&lt;'Master Stock'!J269))+COUNTIFS('Master Stock'!$J$2:J269,'Master Stock'!J269,'Master Stock'!$D$2:D269,"&lt;&gt;",'Master Stock'!$H$2:H269,"OCCUPIED",'Master Stock'!$K$2:K269,""),"")</f>
        <v/>
      </c>
      <c r="V269" s="149">
        <f>IF(AND('Master Stock'!D269&lt;&gt;"",'Master Stock'!H269="OCCUPIED",ISNUMBER('Master Stock'!L269),'Master Stock'!L269&lt;TODAY()-30),SUMPRODUCT(--('Master Stock'!$D$2:$D$1000&lt;&gt;""),--('Master Stock'!$H$2:$H$1000="OCCUPIED"),--ISNUMBER('Master Stock'!$L$2:$L$1000),--('Master Stock'!$L$2:$L$1000&lt;TODAY()-30),--('Master Stock'!$L$2:$L$1000&lt;'Master Stock'!L269))+COUNTIFS('Master Stock'!$L$2:L269,'Master Stock'!L269,'Master Stock'!$D$2:D269,"&lt;&gt;",'Master Stock'!$H$2:H269,"OCCUPIED"),"")</f>
        <v/>
      </c>
      <c r="W269" s="149" t="n"/>
      <c r="X269" s="149" t="n"/>
      <c r="Y269" s="149" t="n"/>
      <c r="Z269" s="149" t="n"/>
    </row>
    <row r="270" ht="15.75" customHeight="1" s="236">
      <c r="A270" s="148" t="n"/>
      <c r="B270" s="148" t="n"/>
      <c r="C270" s="124" t="n"/>
      <c r="D270" s="148" t="n"/>
      <c r="E270" s="148" t="n"/>
      <c r="F270" s="148" t="n"/>
      <c r="G270" s="124" t="n"/>
      <c r="H270" s="148" t="n"/>
      <c r="I270" s="148" t="n"/>
      <c r="J270" s="148" t="n"/>
      <c r="K270" s="148" t="n"/>
      <c r="L270" s="148" t="n"/>
      <c r="M270" s="148" t="n"/>
      <c r="N270" s="148" t="n"/>
      <c r="O270" s="148" t="n"/>
      <c r="P270" s="148" t="n"/>
      <c r="Q270" s="148" t="n"/>
      <c r="R270" s="148" t="n"/>
      <c r="S270" s="148" t="n"/>
      <c r="T270" s="148" t="n"/>
      <c r="U270" s="149">
        <f>IF(AND('Master Stock'!D270&lt;&gt;"",'Master Stock'!H270="OCCUPIED",ISNUMBER('Master Stock'!J270),'Master Stock'!K270=""),SUMPRODUCT(--('Master Stock'!$D$2:$D$1000&lt;&gt;""),--('Master Stock'!$H$2:$H$1000="OCCUPIED"),--ISNUMBER('Master Stock'!$J$2:$J$1000),--('Master Stock'!$K$2:$K$1000=""),--('Master Stock'!$J$2:$J$1000&lt;'Master Stock'!J270))+COUNTIFS('Master Stock'!$J$2:J270,'Master Stock'!J270,'Master Stock'!$D$2:D270,"&lt;&gt;",'Master Stock'!$H$2:H270,"OCCUPIED",'Master Stock'!$K$2:K270,""),"")</f>
        <v/>
      </c>
      <c r="V270" s="149">
        <f>IF(AND('Master Stock'!D270&lt;&gt;"",'Master Stock'!H270="OCCUPIED",ISNUMBER('Master Stock'!L270),'Master Stock'!L270&lt;TODAY()-30),SUMPRODUCT(--('Master Stock'!$D$2:$D$1000&lt;&gt;""),--('Master Stock'!$H$2:$H$1000="OCCUPIED"),--ISNUMBER('Master Stock'!$L$2:$L$1000),--('Master Stock'!$L$2:$L$1000&lt;TODAY()-30),--('Master Stock'!$L$2:$L$1000&lt;'Master Stock'!L270))+COUNTIFS('Master Stock'!$L$2:L270,'Master Stock'!L270,'Master Stock'!$D$2:D270,"&lt;&gt;",'Master Stock'!$H$2:H270,"OCCUPIED"),"")</f>
        <v/>
      </c>
      <c r="W270" s="149" t="n"/>
      <c r="X270" s="149" t="n"/>
      <c r="Y270" s="149" t="n"/>
      <c r="Z270" s="149" t="n"/>
    </row>
    <row r="271" ht="15.75" customHeight="1" s="236">
      <c r="A271" s="148" t="n"/>
      <c r="B271" s="148" t="n"/>
      <c r="C271" s="124" t="n"/>
      <c r="D271" s="148" t="n"/>
      <c r="E271" s="148" t="n"/>
      <c r="F271" s="148" t="n"/>
      <c r="G271" s="124" t="n"/>
      <c r="H271" s="148" t="n"/>
      <c r="I271" s="148" t="n"/>
      <c r="J271" s="148" t="n"/>
      <c r="K271" s="148" t="n"/>
      <c r="L271" s="148" t="n"/>
      <c r="M271" s="148" t="n"/>
      <c r="N271" s="148" t="n"/>
      <c r="O271" s="148" t="n"/>
      <c r="P271" s="148" t="n"/>
      <c r="Q271" s="148" t="n"/>
      <c r="R271" s="148" t="n"/>
      <c r="S271" s="148" t="n"/>
      <c r="T271" s="148" t="n"/>
      <c r="U271" s="149">
        <f>IF(AND('Master Stock'!D271&lt;&gt;"",'Master Stock'!H271="OCCUPIED",ISNUMBER('Master Stock'!J271),'Master Stock'!K271=""),SUMPRODUCT(--('Master Stock'!$D$2:$D$1000&lt;&gt;""),--('Master Stock'!$H$2:$H$1000="OCCUPIED"),--ISNUMBER('Master Stock'!$J$2:$J$1000),--('Master Stock'!$K$2:$K$1000=""),--('Master Stock'!$J$2:$J$1000&lt;'Master Stock'!J271))+COUNTIFS('Master Stock'!$J$2:J271,'Master Stock'!J271,'Master Stock'!$D$2:D271,"&lt;&gt;",'Master Stock'!$H$2:H271,"OCCUPIED",'Master Stock'!$K$2:K271,""),"")</f>
        <v/>
      </c>
      <c r="V271" s="149">
        <f>IF(AND('Master Stock'!D271&lt;&gt;"",'Master Stock'!H271="OCCUPIED",ISNUMBER('Master Stock'!L271),'Master Stock'!L271&lt;TODAY()-30),SUMPRODUCT(--('Master Stock'!$D$2:$D$1000&lt;&gt;""),--('Master Stock'!$H$2:$H$1000="OCCUPIED"),--ISNUMBER('Master Stock'!$L$2:$L$1000),--('Master Stock'!$L$2:$L$1000&lt;TODAY()-30),--('Master Stock'!$L$2:$L$1000&lt;'Master Stock'!L271))+COUNTIFS('Master Stock'!$L$2:L271,'Master Stock'!L271,'Master Stock'!$D$2:D271,"&lt;&gt;",'Master Stock'!$H$2:H271,"OCCUPIED"),"")</f>
        <v/>
      </c>
      <c r="W271" s="149" t="n"/>
      <c r="X271" s="149" t="n"/>
      <c r="Y271" s="149" t="n"/>
      <c r="Z271" s="149" t="n"/>
    </row>
    <row r="272" ht="15.75" customHeight="1" s="236">
      <c r="A272" s="148" t="n"/>
      <c r="B272" s="148" t="n"/>
      <c r="C272" s="124" t="n"/>
      <c r="D272" s="148" t="n"/>
      <c r="E272" s="148" t="n"/>
      <c r="F272" s="148" t="n"/>
      <c r="G272" s="124" t="n"/>
      <c r="H272" s="148" t="n"/>
      <c r="I272" s="148" t="n"/>
      <c r="J272" s="148" t="n"/>
      <c r="K272" s="148" t="n"/>
      <c r="L272" s="148" t="n"/>
      <c r="M272" s="148" t="n"/>
      <c r="N272" s="148" t="n"/>
      <c r="O272" s="148" t="n"/>
      <c r="P272" s="148" t="n"/>
      <c r="Q272" s="148" t="n"/>
      <c r="R272" s="148" t="n"/>
      <c r="S272" s="148" t="n"/>
      <c r="T272" s="148" t="n"/>
      <c r="U272" s="149">
        <f>IF(AND('Master Stock'!D272&lt;&gt;"",'Master Stock'!H272="OCCUPIED",ISNUMBER('Master Stock'!J272),'Master Stock'!K272=""),SUMPRODUCT(--('Master Stock'!$D$2:$D$1000&lt;&gt;""),--('Master Stock'!$H$2:$H$1000="OCCUPIED"),--ISNUMBER('Master Stock'!$J$2:$J$1000),--('Master Stock'!$K$2:$K$1000=""),--('Master Stock'!$J$2:$J$1000&lt;'Master Stock'!J272))+COUNTIFS('Master Stock'!$J$2:J272,'Master Stock'!J272,'Master Stock'!$D$2:D272,"&lt;&gt;",'Master Stock'!$H$2:H272,"OCCUPIED",'Master Stock'!$K$2:K272,""),"")</f>
        <v/>
      </c>
      <c r="V272" s="149">
        <f>IF(AND('Master Stock'!D272&lt;&gt;"",'Master Stock'!H272="OCCUPIED",ISNUMBER('Master Stock'!L272),'Master Stock'!L272&lt;TODAY()-30),SUMPRODUCT(--('Master Stock'!$D$2:$D$1000&lt;&gt;""),--('Master Stock'!$H$2:$H$1000="OCCUPIED"),--ISNUMBER('Master Stock'!$L$2:$L$1000),--('Master Stock'!$L$2:$L$1000&lt;TODAY()-30),--('Master Stock'!$L$2:$L$1000&lt;'Master Stock'!L272))+COUNTIFS('Master Stock'!$L$2:L272,'Master Stock'!L272,'Master Stock'!$D$2:D272,"&lt;&gt;",'Master Stock'!$H$2:H272,"OCCUPIED"),"")</f>
        <v/>
      </c>
      <c r="W272" s="149" t="n"/>
      <c r="X272" s="149" t="n"/>
      <c r="Y272" s="149" t="n"/>
      <c r="Z272" s="149" t="n"/>
    </row>
    <row r="273" ht="15.75" customHeight="1" s="236">
      <c r="A273" s="148" t="n"/>
      <c r="B273" s="148" t="n"/>
      <c r="C273" s="124" t="n"/>
      <c r="D273" s="148" t="n"/>
      <c r="E273" s="148" t="n"/>
      <c r="F273" s="148" t="n"/>
      <c r="G273" s="124" t="n"/>
      <c r="H273" s="148" t="n"/>
      <c r="I273" s="148" t="n"/>
      <c r="J273" s="148" t="n"/>
      <c r="K273" s="148" t="n"/>
      <c r="L273" s="148" t="n"/>
      <c r="M273" s="148" t="n"/>
      <c r="N273" s="148" t="n"/>
      <c r="O273" s="148" t="n"/>
      <c r="P273" s="148" t="n"/>
      <c r="Q273" s="148" t="n"/>
      <c r="R273" s="148" t="n"/>
      <c r="S273" s="148" t="n"/>
      <c r="T273" s="148" t="n"/>
      <c r="U273" s="149">
        <f>IF(AND('Master Stock'!D273&lt;&gt;"",'Master Stock'!H273="OCCUPIED",ISNUMBER('Master Stock'!J273),'Master Stock'!K273=""),SUMPRODUCT(--('Master Stock'!$D$2:$D$1000&lt;&gt;""),--('Master Stock'!$H$2:$H$1000="OCCUPIED"),--ISNUMBER('Master Stock'!$J$2:$J$1000),--('Master Stock'!$K$2:$K$1000=""),--('Master Stock'!$J$2:$J$1000&lt;'Master Stock'!J273))+COUNTIFS('Master Stock'!$J$2:J273,'Master Stock'!J273,'Master Stock'!$D$2:D273,"&lt;&gt;",'Master Stock'!$H$2:H273,"OCCUPIED",'Master Stock'!$K$2:K273,""),"")</f>
        <v/>
      </c>
      <c r="V273" s="149">
        <f>IF(AND('Master Stock'!D273&lt;&gt;"",'Master Stock'!H273="OCCUPIED",ISNUMBER('Master Stock'!L273),'Master Stock'!L273&lt;TODAY()-30),SUMPRODUCT(--('Master Stock'!$D$2:$D$1000&lt;&gt;""),--('Master Stock'!$H$2:$H$1000="OCCUPIED"),--ISNUMBER('Master Stock'!$L$2:$L$1000),--('Master Stock'!$L$2:$L$1000&lt;TODAY()-30),--('Master Stock'!$L$2:$L$1000&lt;'Master Stock'!L273))+COUNTIFS('Master Stock'!$L$2:L273,'Master Stock'!L273,'Master Stock'!$D$2:D273,"&lt;&gt;",'Master Stock'!$H$2:H273,"OCCUPIED"),"")</f>
        <v/>
      </c>
      <c r="W273" s="149" t="n"/>
      <c r="X273" s="149" t="n"/>
      <c r="Y273" s="149" t="n"/>
      <c r="Z273" s="149" t="n"/>
    </row>
    <row r="274" ht="15.75" customHeight="1" s="236">
      <c r="A274" s="148" t="n"/>
      <c r="B274" s="148" t="n"/>
      <c r="C274" s="124" t="n"/>
      <c r="D274" s="148" t="n"/>
      <c r="E274" s="148" t="n"/>
      <c r="F274" s="148" t="n"/>
      <c r="G274" s="124" t="n"/>
      <c r="H274" s="148" t="n"/>
      <c r="I274" s="148" t="n"/>
      <c r="J274" s="148" t="n"/>
      <c r="K274" s="148" t="n"/>
      <c r="L274" s="148" t="n"/>
      <c r="M274" s="148" t="n"/>
      <c r="N274" s="148" t="n"/>
      <c r="O274" s="148" t="n"/>
      <c r="P274" s="148" t="n"/>
      <c r="Q274" s="148" t="n"/>
      <c r="R274" s="148" t="n"/>
      <c r="S274" s="148" t="n"/>
      <c r="T274" s="148" t="n"/>
      <c r="U274" s="149">
        <f>IF(AND('Master Stock'!D274&lt;&gt;"",'Master Stock'!H274="OCCUPIED",ISNUMBER('Master Stock'!J274),'Master Stock'!K274=""),SUMPRODUCT(--('Master Stock'!$D$2:$D$1000&lt;&gt;""),--('Master Stock'!$H$2:$H$1000="OCCUPIED"),--ISNUMBER('Master Stock'!$J$2:$J$1000),--('Master Stock'!$K$2:$K$1000=""),--('Master Stock'!$J$2:$J$1000&lt;'Master Stock'!J274))+COUNTIFS('Master Stock'!$J$2:J274,'Master Stock'!J274,'Master Stock'!$D$2:D274,"&lt;&gt;",'Master Stock'!$H$2:H274,"OCCUPIED",'Master Stock'!$K$2:K274,""),"")</f>
        <v/>
      </c>
      <c r="V274" s="149">
        <f>IF(AND('Master Stock'!D274&lt;&gt;"",'Master Stock'!H274="OCCUPIED",ISNUMBER('Master Stock'!L274),'Master Stock'!L274&lt;TODAY()-30),SUMPRODUCT(--('Master Stock'!$D$2:$D$1000&lt;&gt;""),--('Master Stock'!$H$2:$H$1000="OCCUPIED"),--ISNUMBER('Master Stock'!$L$2:$L$1000),--('Master Stock'!$L$2:$L$1000&lt;TODAY()-30),--('Master Stock'!$L$2:$L$1000&lt;'Master Stock'!L274))+COUNTIFS('Master Stock'!$L$2:L274,'Master Stock'!L274,'Master Stock'!$D$2:D274,"&lt;&gt;",'Master Stock'!$H$2:H274,"OCCUPIED"),"")</f>
        <v/>
      </c>
      <c r="W274" s="149" t="n"/>
      <c r="X274" s="149" t="n"/>
      <c r="Y274" s="149" t="n"/>
      <c r="Z274" s="149" t="n"/>
    </row>
    <row r="275" ht="15.75" customHeight="1" s="236">
      <c r="A275" s="148" t="n"/>
      <c r="B275" s="148" t="n"/>
      <c r="C275" s="124" t="n"/>
      <c r="D275" s="148" t="n"/>
      <c r="E275" s="148" t="n"/>
      <c r="F275" s="148" t="n"/>
      <c r="G275" s="124" t="n"/>
      <c r="H275" s="148" t="n"/>
      <c r="I275" s="148" t="n"/>
      <c r="J275" s="148" t="n"/>
      <c r="K275" s="148" t="n"/>
      <c r="L275" s="148" t="n"/>
      <c r="M275" s="148" t="n"/>
      <c r="N275" s="148" t="n"/>
      <c r="O275" s="148" t="n"/>
      <c r="P275" s="148" t="n"/>
      <c r="Q275" s="148" t="n"/>
      <c r="R275" s="148" t="n"/>
      <c r="S275" s="148" t="n"/>
      <c r="T275" s="148" t="n"/>
      <c r="U275" s="149">
        <f>IF(AND('Master Stock'!D275&lt;&gt;"",'Master Stock'!H275="OCCUPIED",ISNUMBER('Master Stock'!J275),'Master Stock'!K275=""),SUMPRODUCT(--('Master Stock'!$D$2:$D$1000&lt;&gt;""),--('Master Stock'!$H$2:$H$1000="OCCUPIED"),--ISNUMBER('Master Stock'!$J$2:$J$1000),--('Master Stock'!$K$2:$K$1000=""),--('Master Stock'!$J$2:$J$1000&lt;'Master Stock'!J275))+COUNTIFS('Master Stock'!$J$2:J275,'Master Stock'!J275,'Master Stock'!$D$2:D275,"&lt;&gt;",'Master Stock'!$H$2:H275,"OCCUPIED",'Master Stock'!$K$2:K275,""),"")</f>
        <v/>
      </c>
      <c r="V275" s="149">
        <f>IF(AND('Master Stock'!D275&lt;&gt;"",'Master Stock'!H275="OCCUPIED",ISNUMBER('Master Stock'!L275),'Master Stock'!L275&lt;TODAY()-30),SUMPRODUCT(--('Master Stock'!$D$2:$D$1000&lt;&gt;""),--('Master Stock'!$H$2:$H$1000="OCCUPIED"),--ISNUMBER('Master Stock'!$L$2:$L$1000),--('Master Stock'!$L$2:$L$1000&lt;TODAY()-30),--('Master Stock'!$L$2:$L$1000&lt;'Master Stock'!L275))+COUNTIFS('Master Stock'!$L$2:L275,'Master Stock'!L275,'Master Stock'!$D$2:D275,"&lt;&gt;",'Master Stock'!$H$2:H275,"OCCUPIED"),"")</f>
        <v/>
      </c>
      <c r="W275" s="149" t="n"/>
      <c r="X275" s="149" t="n"/>
      <c r="Y275" s="149" t="n"/>
      <c r="Z275" s="149" t="n"/>
    </row>
    <row r="276" ht="15.75" customHeight="1" s="236">
      <c r="A276" s="148" t="n"/>
      <c r="B276" s="148" t="n"/>
      <c r="C276" s="124" t="n"/>
      <c r="D276" s="148" t="n"/>
      <c r="E276" s="148" t="n"/>
      <c r="F276" s="148" t="n"/>
      <c r="G276" s="124" t="n"/>
      <c r="H276" s="148" t="n"/>
      <c r="I276" s="148" t="n"/>
      <c r="J276" s="148" t="n"/>
      <c r="K276" s="148" t="n"/>
      <c r="L276" s="148" t="n"/>
      <c r="M276" s="148" t="n"/>
      <c r="N276" s="148" t="n"/>
      <c r="O276" s="148" t="n"/>
      <c r="P276" s="148" t="n"/>
      <c r="Q276" s="148" t="n"/>
      <c r="R276" s="148" t="n"/>
      <c r="S276" s="148" t="n"/>
      <c r="T276" s="148" t="n"/>
      <c r="U276" s="149">
        <f>IF(AND('Master Stock'!D276&lt;&gt;"",'Master Stock'!H276="OCCUPIED",ISNUMBER('Master Stock'!J276),'Master Stock'!K276=""),SUMPRODUCT(--('Master Stock'!$D$2:$D$1000&lt;&gt;""),--('Master Stock'!$H$2:$H$1000="OCCUPIED"),--ISNUMBER('Master Stock'!$J$2:$J$1000),--('Master Stock'!$K$2:$K$1000=""),--('Master Stock'!$J$2:$J$1000&lt;'Master Stock'!J276))+COUNTIFS('Master Stock'!$J$2:J276,'Master Stock'!J276,'Master Stock'!$D$2:D276,"&lt;&gt;",'Master Stock'!$H$2:H276,"OCCUPIED",'Master Stock'!$K$2:K276,""),"")</f>
        <v/>
      </c>
      <c r="V276" s="149">
        <f>IF(AND('Master Stock'!D276&lt;&gt;"",'Master Stock'!H276="OCCUPIED",ISNUMBER('Master Stock'!L276),'Master Stock'!L276&lt;TODAY()-30),SUMPRODUCT(--('Master Stock'!$D$2:$D$1000&lt;&gt;""),--('Master Stock'!$H$2:$H$1000="OCCUPIED"),--ISNUMBER('Master Stock'!$L$2:$L$1000),--('Master Stock'!$L$2:$L$1000&lt;TODAY()-30),--('Master Stock'!$L$2:$L$1000&lt;'Master Stock'!L276))+COUNTIFS('Master Stock'!$L$2:L276,'Master Stock'!L276,'Master Stock'!$D$2:D276,"&lt;&gt;",'Master Stock'!$H$2:H276,"OCCUPIED"),"")</f>
        <v/>
      </c>
      <c r="W276" s="149" t="n"/>
      <c r="X276" s="149" t="n"/>
      <c r="Y276" s="149" t="n"/>
      <c r="Z276" s="149" t="n"/>
    </row>
    <row r="277" ht="15.75" customHeight="1" s="236">
      <c r="A277" s="148" t="n"/>
      <c r="B277" s="148" t="n"/>
      <c r="C277" s="124" t="n"/>
      <c r="D277" s="148" t="n"/>
      <c r="E277" s="148" t="n"/>
      <c r="F277" s="148" t="n"/>
      <c r="G277" s="124" t="n"/>
      <c r="H277" s="148" t="n"/>
      <c r="I277" s="148" t="n"/>
      <c r="J277" s="148" t="n"/>
      <c r="K277" s="148" t="n"/>
      <c r="L277" s="148" t="n"/>
      <c r="M277" s="148" t="n"/>
      <c r="N277" s="148" t="n"/>
      <c r="O277" s="148" t="n"/>
      <c r="P277" s="148" t="n"/>
      <c r="Q277" s="148" t="n"/>
      <c r="R277" s="148" t="n"/>
      <c r="S277" s="148" t="n"/>
      <c r="T277" s="148" t="n"/>
      <c r="U277" s="149">
        <f>IF(AND('Master Stock'!D277&lt;&gt;"",'Master Stock'!H277="OCCUPIED",ISNUMBER('Master Stock'!J277),'Master Stock'!K277=""),SUMPRODUCT(--('Master Stock'!$D$2:$D$1000&lt;&gt;""),--('Master Stock'!$H$2:$H$1000="OCCUPIED"),--ISNUMBER('Master Stock'!$J$2:$J$1000),--('Master Stock'!$K$2:$K$1000=""),--('Master Stock'!$J$2:$J$1000&lt;'Master Stock'!J277))+COUNTIFS('Master Stock'!$J$2:J277,'Master Stock'!J277,'Master Stock'!$D$2:D277,"&lt;&gt;",'Master Stock'!$H$2:H277,"OCCUPIED",'Master Stock'!$K$2:K277,""),"")</f>
        <v/>
      </c>
      <c r="V277" s="149">
        <f>IF(AND('Master Stock'!D277&lt;&gt;"",'Master Stock'!H277="OCCUPIED",ISNUMBER('Master Stock'!L277),'Master Stock'!L277&lt;TODAY()-30),SUMPRODUCT(--('Master Stock'!$D$2:$D$1000&lt;&gt;""),--('Master Stock'!$H$2:$H$1000="OCCUPIED"),--ISNUMBER('Master Stock'!$L$2:$L$1000),--('Master Stock'!$L$2:$L$1000&lt;TODAY()-30),--('Master Stock'!$L$2:$L$1000&lt;'Master Stock'!L277))+COUNTIFS('Master Stock'!$L$2:L277,'Master Stock'!L277,'Master Stock'!$D$2:D277,"&lt;&gt;",'Master Stock'!$H$2:H277,"OCCUPIED"),"")</f>
        <v/>
      </c>
      <c r="W277" s="149" t="n"/>
      <c r="X277" s="149" t="n"/>
      <c r="Y277" s="149" t="n"/>
      <c r="Z277" s="149" t="n"/>
    </row>
    <row r="278" ht="15.75" customHeight="1" s="236">
      <c r="A278" s="148" t="n"/>
      <c r="B278" s="148" t="n"/>
      <c r="C278" s="124" t="n"/>
      <c r="D278" s="148" t="n"/>
      <c r="E278" s="148" t="n"/>
      <c r="F278" s="148" t="n"/>
      <c r="G278" s="124" t="n"/>
      <c r="H278" s="148" t="n"/>
      <c r="I278" s="148" t="n"/>
      <c r="J278" s="148" t="n"/>
      <c r="K278" s="148" t="n"/>
      <c r="L278" s="148" t="n"/>
      <c r="M278" s="148" t="n"/>
      <c r="N278" s="148" t="n"/>
      <c r="O278" s="148" t="n"/>
      <c r="P278" s="148" t="n"/>
      <c r="Q278" s="148" t="n"/>
      <c r="R278" s="148" t="n"/>
      <c r="S278" s="148" t="n"/>
      <c r="T278" s="148" t="n"/>
      <c r="U278" s="149">
        <f>IF(AND('Master Stock'!D278&lt;&gt;"",'Master Stock'!H278="OCCUPIED",ISNUMBER('Master Stock'!J278),'Master Stock'!K278=""),SUMPRODUCT(--('Master Stock'!$D$2:$D$1000&lt;&gt;""),--('Master Stock'!$H$2:$H$1000="OCCUPIED"),--ISNUMBER('Master Stock'!$J$2:$J$1000),--('Master Stock'!$K$2:$K$1000=""),--('Master Stock'!$J$2:$J$1000&lt;'Master Stock'!J278))+COUNTIFS('Master Stock'!$J$2:J278,'Master Stock'!J278,'Master Stock'!$D$2:D278,"&lt;&gt;",'Master Stock'!$H$2:H278,"OCCUPIED",'Master Stock'!$K$2:K278,""),"")</f>
        <v/>
      </c>
      <c r="V278" s="149">
        <f>IF(AND('Master Stock'!D278&lt;&gt;"",'Master Stock'!H278="OCCUPIED",ISNUMBER('Master Stock'!L278),'Master Stock'!L278&lt;TODAY()-30),SUMPRODUCT(--('Master Stock'!$D$2:$D$1000&lt;&gt;""),--('Master Stock'!$H$2:$H$1000="OCCUPIED"),--ISNUMBER('Master Stock'!$L$2:$L$1000),--('Master Stock'!$L$2:$L$1000&lt;TODAY()-30),--('Master Stock'!$L$2:$L$1000&lt;'Master Stock'!L278))+COUNTIFS('Master Stock'!$L$2:L278,'Master Stock'!L278,'Master Stock'!$D$2:D278,"&lt;&gt;",'Master Stock'!$H$2:H278,"OCCUPIED"),"")</f>
        <v/>
      </c>
      <c r="W278" s="149" t="n"/>
      <c r="X278" s="149" t="n"/>
      <c r="Y278" s="149" t="n"/>
      <c r="Z278" s="149" t="n"/>
    </row>
    <row r="279" ht="15.75" customHeight="1" s="236">
      <c r="A279" s="148" t="n"/>
      <c r="B279" s="148" t="n"/>
      <c r="C279" s="124" t="n"/>
      <c r="D279" s="148" t="n"/>
      <c r="E279" s="148" t="n"/>
      <c r="F279" s="148" t="n"/>
      <c r="G279" s="124" t="n"/>
      <c r="H279" s="148" t="n"/>
      <c r="I279" s="148" t="n"/>
      <c r="J279" s="148" t="n"/>
      <c r="K279" s="148" t="n"/>
      <c r="L279" s="148" t="n"/>
      <c r="M279" s="148" t="n"/>
      <c r="N279" s="148" t="n"/>
      <c r="O279" s="148" t="n"/>
      <c r="P279" s="148" t="n"/>
      <c r="Q279" s="148" t="n"/>
      <c r="R279" s="148" t="n"/>
      <c r="S279" s="148" t="n"/>
      <c r="T279" s="148" t="n"/>
      <c r="U279" s="149">
        <f>IF(AND('Master Stock'!D279&lt;&gt;"",'Master Stock'!H279="OCCUPIED",ISNUMBER('Master Stock'!J279),'Master Stock'!K279=""),SUMPRODUCT(--('Master Stock'!$D$2:$D$1000&lt;&gt;""),--('Master Stock'!$H$2:$H$1000="OCCUPIED"),--ISNUMBER('Master Stock'!$J$2:$J$1000),--('Master Stock'!$K$2:$K$1000=""),--('Master Stock'!$J$2:$J$1000&lt;'Master Stock'!J279))+COUNTIFS('Master Stock'!$J$2:J279,'Master Stock'!J279,'Master Stock'!$D$2:D279,"&lt;&gt;",'Master Stock'!$H$2:H279,"OCCUPIED",'Master Stock'!$K$2:K279,""),"")</f>
        <v/>
      </c>
      <c r="V279" s="149">
        <f>IF(AND('Master Stock'!D279&lt;&gt;"",'Master Stock'!H279="OCCUPIED",ISNUMBER('Master Stock'!L279),'Master Stock'!L279&lt;TODAY()-30),SUMPRODUCT(--('Master Stock'!$D$2:$D$1000&lt;&gt;""),--('Master Stock'!$H$2:$H$1000="OCCUPIED"),--ISNUMBER('Master Stock'!$L$2:$L$1000),--('Master Stock'!$L$2:$L$1000&lt;TODAY()-30),--('Master Stock'!$L$2:$L$1000&lt;'Master Stock'!L279))+COUNTIFS('Master Stock'!$L$2:L279,'Master Stock'!L279,'Master Stock'!$D$2:D279,"&lt;&gt;",'Master Stock'!$H$2:H279,"OCCUPIED"),"")</f>
        <v/>
      </c>
      <c r="W279" s="149" t="n"/>
      <c r="X279" s="149" t="n"/>
      <c r="Y279" s="149" t="n"/>
      <c r="Z279" s="149" t="n"/>
    </row>
    <row r="280" ht="15.75" customHeight="1" s="236">
      <c r="A280" s="148" t="n"/>
      <c r="B280" s="148" t="n"/>
      <c r="C280" s="124" t="n"/>
      <c r="D280" s="148" t="n"/>
      <c r="E280" s="148" t="n"/>
      <c r="F280" s="148" t="n"/>
      <c r="G280" s="124" t="n"/>
      <c r="H280" s="148" t="n"/>
      <c r="I280" s="148" t="n"/>
      <c r="J280" s="148" t="n"/>
      <c r="K280" s="148" t="n"/>
      <c r="L280" s="148" t="n"/>
      <c r="M280" s="148" t="n"/>
      <c r="N280" s="148" t="n"/>
      <c r="O280" s="148" t="n"/>
      <c r="P280" s="148" t="n"/>
      <c r="Q280" s="148" t="n"/>
      <c r="R280" s="148" t="n"/>
      <c r="S280" s="148" t="n"/>
      <c r="T280" s="148" t="n"/>
      <c r="U280" s="149">
        <f>IF(AND('Master Stock'!D280&lt;&gt;"",'Master Stock'!H280="OCCUPIED",ISNUMBER('Master Stock'!J280),'Master Stock'!K280=""),SUMPRODUCT(--('Master Stock'!$D$2:$D$1000&lt;&gt;""),--('Master Stock'!$H$2:$H$1000="OCCUPIED"),--ISNUMBER('Master Stock'!$J$2:$J$1000),--('Master Stock'!$K$2:$K$1000=""),--('Master Stock'!$J$2:$J$1000&lt;'Master Stock'!J280))+COUNTIFS('Master Stock'!$J$2:J280,'Master Stock'!J280,'Master Stock'!$D$2:D280,"&lt;&gt;",'Master Stock'!$H$2:H280,"OCCUPIED",'Master Stock'!$K$2:K280,""),"")</f>
        <v/>
      </c>
      <c r="V280" s="149">
        <f>IF(AND('Master Stock'!D280&lt;&gt;"",'Master Stock'!H280="OCCUPIED",ISNUMBER('Master Stock'!L280),'Master Stock'!L280&lt;TODAY()-30),SUMPRODUCT(--('Master Stock'!$D$2:$D$1000&lt;&gt;""),--('Master Stock'!$H$2:$H$1000="OCCUPIED"),--ISNUMBER('Master Stock'!$L$2:$L$1000),--('Master Stock'!$L$2:$L$1000&lt;TODAY()-30),--('Master Stock'!$L$2:$L$1000&lt;'Master Stock'!L280))+COUNTIFS('Master Stock'!$L$2:L280,'Master Stock'!L280,'Master Stock'!$D$2:D280,"&lt;&gt;",'Master Stock'!$H$2:H280,"OCCUPIED"),"")</f>
        <v/>
      </c>
      <c r="W280" s="149" t="n"/>
      <c r="X280" s="149" t="n"/>
      <c r="Y280" s="149" t="n"/>
      <c r="Z280" s="149" t="n"/>
    </row>
    <row r="281" ht="15.75" customHeight="1" s="236">
      <c r="A281" s="148" t="n"/>
      <c r="B281" s="148" t="n"/>
      <c r="C281" s="124" t="n"/>
      <c r="D281" s="148" t="n"/>
      <c r="E281" s="148" t="n"/>
      <c r="F281" s="148" t="n"/>
      <c r="G281" s="124" t="n"/>
      <c r="H281" s="148" t="n"/>
      <c r="I281" s="148" t="n"/>
      <c r="J281" s="148" t="n"/>
      <c r="K281" s="148" t="n"/>
      <c r="L281" s="148" t="n"/>
      <c r="M281" s="148" t="n"/>
      <c r="N281" s="148" t="n"/>
      <c r="O281" s="148" t="n"/>
      <c r="P281" s="148" t="n"/>
      <c r="Q281" s="148" t="n"/>
      <c r="R281" s="148" t="n"/>
      <c r="S281" s="148" t="n"/>
      <c r="T281" s="148" t="n"/>
      <c r="U281" s="149">
        <f>IF(AND('Master Stock'!D281&lt;&gt;"",'Master Stock'!H281="OCCUPIED",ISNUMBER('Master Stock'!J281),'Master Stock'!K281=""),SUMPRODUCT(--('Master Stock'!$D$2:$D$1000&lt;&gt;""),--('Master Stock'!$H$2:$H$1000="OCCUPIED"),--ISNUMBER('Master Stock'!$J$2:$J$1000),--('Master Stock'!$K$2:$K$1000=""),--('Master Stock'!$J$2:$J$1000&lt;'Master Stock'!J281))+COUNTIFS('Master Stock'!$J$2:J281,'Master Stock'!J281,'Master Stock'!$D$2:D281,"&lt;&gt;",'Master Stock'!$H$2:H281,"OCCUPIED",'Master Stock'!$K$2:K281,""),"")</f>
        <v/>
      </c>
      <c r="V281" s="149">
        <f>IF(AND('Master Stock'!D281&lt;&gt;"",'Master Stock'!H281="OCCUPIED",ISNUMBER('Master Stock'!L281),'Master Stock'!L281&lt;TODAY()-30),SUMPRODUCT(--('Master Stock'!$D$2:$D$1000&lt;&gt;""),--('Master Stock'!$H$2:$H$1000="OCCUPIED"),--ISNUMBER('Master Stock'!$L$2:$L$1000),--('Master Stock'!$L$2:$L$1000&lt;TODAY()-30),--('Master Stock'!$L$2:$L$1000&lt;'Master Stock'!L281))+COUNTIFS('Master Stock'!$L$2:L281,'Master Stock'!L281,'Master Stock'!$D$2:D281,"&lt;&gt;",'Master Stock'!$H$2:H281,"OCCUPIED"),"")</f>
        <v/>
      </c>
      <c r="W281" s="149" t="n"/>
      <c r="X281" s="149" t="n"/>
      <c r="Y281" s="149" t="n"/>
      <c r="Z281" s="149" t="n"/>
    </row>
    <row r="282" ht="15.75" customHeight="1" s="236">
      <c r="A282" s="148" t="n"/>
      <c r="B282" s="148" t="n"/>
      <c r="C282" s="124" t="n"/>
      <c r="D282" s="148" t="n"/>
      <c r="E282" s="148" t="n"/>
      <c r="F282" s="148" t="n"/>
      <c r="G282" s="124" t="n"/>
      <c r="H282" s="148" t="n"/>
      <c r="I282" s="148" t="n"/>
      <c r="J282" s="148" t="n"/>
      <c r="K282" s="148" t="n"/>
      <c r="L282" s="148" t="n"/>
      <c r="M282" s="148" t="n"/>
      <c r="N282" s="148" t="n"/>
      <c r="O282" s="148" t="n"/>
      <c r="P282" s="148" t="n"/>
      <c r="Q282" s="148" t="n"/>
      <c r="R282" s="148" t="n"/>
      <c r="S282" s="148" t="n"/>
      <c r="T282" s="148" t="n"/>
      <c r="U282" s="149">
        <f>IF(AND('Master Stock'!D282&lt;&gt;"",'Master Stock'!H282="OCCUPIED",ISNUMBER('Master Stock'!J282),'Master Stock'!K282=""),SUMPRODUCT(--('Master Stock'!$D$2:$D$1000&lt;&gt;""),--('Master Stock'!$H$2:$H$1000="OCCUPIED"),--ISNUMBER('Master Stock'!$J$2:$J$1000),--('Master Stock'!$K$2:$K$1000=""),--('Master Stock'!$J$2:$J$1000&lt;'Master Stock'!J282))+COUNTIFS('Master Stock'!$J$2:J282,'Master Stock'!J282,'Master Stock'!$D$2:D282,"&lt;&gt;",'Master Stock'!$H$2:H282,"OCCUPIED",'Master Stock'!$K$2:K282,""),"")</f>
        <v/>
      </c>
      <c r="V282" s="149">
        <f>IF(AND('Master Stock'!D282&lt;&gt;"",'Master Stock'!H282="OCCUPIED",ISNUMBER('Master Stock'!L282),'Master Stock'!L282&lt;TODAY()-30),SUMPRODUCT(--('Master Stock'!$D$2:$D$1000&lt;&gt;""),--('Master Stock'!$H$2:$H$1000="OCCUPIED"),--ISNUMBER('Master Stock'!$L$2:$L$1000),--('Master Stock'!$L$2:$L$1000&lt;TODAY()-30),--('Master Stock'!$L$2:$L$1000&lt;'Master Stock'!L282))+COUNTIFS('Master Stock'!$L$2:L282,'Master Stock'!L282,'Master Stock'!$D$2:D282,"&lt;&gt;",'Master Stock'!$H$2:H282,"OCCUPIED"),"")</f>
        <v/>
      </c>
      <c r="W282" s="149" t="n"/>
      <c r="X282" s="149" t="n"/>
      <c r="Y282" s="149" t="n"/>
      <c r="Z282" s="149" t="n"/>
    </row>
    <row r="283" ht="15.75" customHeight="1" s="236">
      <c r="A283" s="148" t="n"/>
      <c r="B283" s="148" t="n"/>
      <c r="C283" s="124" t="n"/>
      <c r="D283" s="148" t="n"/>
      <c r="E283" s="148" t="n"/>
      <c r="F283" s="148" t="n"/>
      <c r="G283" s="124" t="n"/>
      <c r="H283" s="148" t="n"/>
      <c r="I283" s="148" t="n"/>
      <c r="J283" s="148" t="n"/>
      <c r="K283" s="148" t="n"/>
      <c r="L283" s="148" t="n"/>
      <c r="M283" s="148" t="n"/>
      <c r="N283" s="148" t="n"/>
      <c r="O283" s="148" t="n"/>
      <c r="P283" s="148" t="n"/>
      <c r="Q283" s="148" t="n"/>
      <c r="R283" s="148" t="n"/>
      <c r="S283" s="148" t="n"/>
      <c r="T283" s="148" t="n"/>
      <c r="U283" s="149">
        <f>IF(AND('Master Stock'!D283&lt;&gt;"",'Master Stock'!H283="OCCUPIED",ISNUMBER('Master Stock'!J283),'Master Stock'!K283=""),SUMPRODUCT(--('Master Stock'!$D$2:$D$1000&lt;&gt;""),--('Master Stock'!$H$2:$H$1000="OCCUPIED"),--ISNUMBER('Master Stock'!$J$2:$J$1000),--('Master Stock'!$K$2:$K$1000=""),--('Master Stock'!$J$2:$J$1000&lt;'Master Stock'!J283))+COUNTIFS('Master Stock'!$J$2:J283,'Master Stock'!J283,'Master Stock'!$D$2:D283,"&lt;&gt;",'Master Stock'!$H$2:H283,"OCCUPIED",'Master Stock'!$K$2:K283,""),"")</f>
        <v/>
      </c>
      <c r="V283" s="149">
        <f>IF(AND('Master Stock'!D283&lt;&gt;"",'Master Stock'!H283="OCCUPIED",ISNUMBER('Master Stock'!L283),'Master Stock'!L283&lt;TODAY()-30),SUMPRODUCT(--('Master Stock'!$D$2:$D$1000&lt;&gt;""),--('Master Stock'!$H$2:$H$1000="OCCUPIED"),--ISNUMBER('Master Stock'!$L$2:$L$1000),--('Master Stock'!$L$2:$L$1000&lt;TODAY()-30),--('Master Stock'!$L$2:$L$1000&lt;'Master Stock'!L283))+COUNTIFS('Master Stock'!$L$2:L283,'Master Stock'!L283,'Master Stock'!$D$2:D283,"&lt;&gt;",'Master Stock'!$H$2:H283,"OCCUPIED"),"")</f>
        <v/>
      </c>
      <c r="W283" s="149" t="n"/>
      <c r="X283" s="149" t="n"/>
      <c r="Y283" s="149" t="n"/>
      <c r="Z283" s="149" t="n"/>
    </row>
    <row r="284" ht="15.75" customHeight="1" s="236">
      <c r="A284" s="148" t="n"/>
      <c r="B284" s="148" t="n"/>
      <c r="C284" s="124" t="n"/>
      <c r="D284" s="148" t="n"/>
      <c r="E284" s="148" t="n"/>
      <c r="F284" s="148" t="n"/>
      <c r="G284" s="124" t="n"/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 t="n"/>
      <c r="S284" s="148" t="n"/>
      <c r="T284" s="148" t="n"/>
      <c r="U284" s="149">
        <f>IF(AND('Master Stock'!D284&lt;&gt;"",'Master Stock'!H284="OCCUPIED",ISNUMBER('Master Stock'!J284),'Master Stock'!K284=""),SUMPRODUCT(--('Master Stock'!$D$2:$D$1000&lt;&gt;""),--('Master Stock'!$H$2:$H$1000="OCCUPIED"),--ISNUMBER('Master Stock'!$J$2:$J$1000),--('Master Stock'!$K$2:$K$1000=""),--('Master Stock'!$J$2:$J$1000&lt;'Master Stock'!J284))+COUNTIFS('Master Stock'!$J$2:J284,'Master Stock'!J284,'Master Stock'!$D$2:D284,"&lt;&gt;",'Master Stock'!$H$2:H284,"OCCUPIED",'Master Stock'!$K$2:K284,""),"")</f>
        <v/>
      </c>
      <c r="V284" s="149">
        <f>IF(AND('Master Stock'!D284&lt;&gt;"",'Master Stock'!H284="OCCUPIED",ISNUMBER('Master Stock'!L284),'Master Stock'!L284&lt;TODAY()-30),SUMPRODUCT(--('Master Stock'!$D$2:$D$1000&lt;&gt;""),--('Master Stock'!$H$2:$H$1000="OCCUPIED"),--ISNUMBER('Master Stock'!$L$2:$L$1000),--('Master Stock'!$L$2:$L$1000&lt;TODAY()-30),--('Master Stock'!$L$2:$L$1000&lt;'Master Stock'!L284))+COUNTIFS('Master Stock'!$L$2:L284,'Master Stock'!L284,'Master Stock'!$D$2:D284,"&lt;&gt;",'Master Stock'!$H$2:H284,"OCCUPIED"),"")</f>
        <v/>
      </c>
      <c r="W284" s="149" t="n"/>
      <c r="X284" s="149" t="n"/>
      <c r="Y284" s="149" t="n"/>
      <c r="Z284" s="149" t="n"/>
    </row>
    <row r="285" ht="15.75" customHeight="1" s="236">
      <c r="A285" s="148" t="n"/>
      <c r="B285" s="148" t="n"/>
      <c r="C285" s="124" t="n"/>
      <c r="D285" s="148" t="n"/>
      <c r="E285" s="148" t="n"/>
      <c r="F285" s="148" t="n"/>
      <c r="G285" s="124" t="n"/>
      <c r="H285" s="148" t="n"/>
      <c r="I285" s="148" t="n"/>
      <c r="J285" s="148" t="n"/>
      <c r="K285" s="148" t="n"/>
      <c r="L285" s="148" t="n"/>
      <c r="M285" s="148" t="n"/>
      <c r="N285" s="148" t="n"/>
      <c r="O285" s="148" t="n"/>
      <c r="P285" s="148" t="n"/>
      <c r="Q285" s="148" t="n"/>
      <c r="R285" s="148" t="n"/>
      <c r="S285" s="148" t="n"/>
      <c r="T285" s="148" t="n"/>
      <c r="U285" s="149">
        <f>IF(AND('Master Stock'!D285&lt;&gt;"",'Master Stock'!H285="OCCUPIED",ISNUMBER('Master Stock'!J285),'Master Stock'!K285=""),SUMPRODUCT(--('Master Stock'!$D$2:$D$1000&lt;&gt;""),--('Master Stock'!$H$2:$H$1000="OCCUPIED"),--ISNUMBER('Master Stock'!$J$2:$J$1000),--('Master Stock'!$K$2:$K$1000=""),--('Master Stock'!$J$2:$J$1000&lt;'Master Stock'!J285))+COUNTIFS('Master Stock'!$J$2:J285,'Master Stock'!J285,'Master Stock'!$D$2:D285,"&lt;&gt;",'Master Stock'!$H$2:H285,"OCCUPIED",'Master Stock'!$K$2:K285,""),"")</f>
        <v/>
      </c>
      <c r="V285" s="149">
        <f>IF(AND('Master Stock'!D285&lt;&gt;"",'Master Stock'!H285="OCCUPIED",ISNUMBER('Master Stock'!L285),'Master Stock'!L285&lt;TODAY()-30),SUMPRODUCT(--('Master Stock'!$D$2:$D$1000&lt;&gt;""),--('Master Stock'!$H$2:$H$1000="OCCUPIED"),--ISNUMBER('Master Stock'!$L$2:$L$1000),--('Master Stock'!$L$2:$L$1000&lt;TODAY()-30),--('Master Stock'!$L$2:$L$1000&lt;'Master Stock'!L285))+COUNTIFS('Master Stock'!$L$2:L285,'Master Stock'!L285,'Master Stock'!$D$2:D285,"&lt;&gt;",'Master Stock'!$H$2:H285,"OCCUPIED"),"")</f>
        <v/>
      </c>
      <c r="W285" s="149" t="n"/>
      <c r="X285" s="149" t="n"/>
      <c r="Y285" s="149" t="n"/>
      <c r="Z285" s="149" t="n"/>
    </row>
    <row r="286" ht="15.75" customHeight="1" s="236">
      <c r="A286" s="148" t="n"/>
      <c r="B286" s="148" t="n"/>
      <c r="C286" s="124" t="n"/>
      <c r="D286" s="148" t="n"/>
      <c r="E286" s="148" t="n"/>
      <c r="F286" s="148" t="n"/>
      <c r="G286" s="124" t="n"/>
      <c r="H286" s="148" t="n"/>
      <c r="I286" s="148" t="n"/>
      <c r="J286" s="148" t="n"/>
      <c r="K286" s="148" t="n"/>
      <c r="L286" s="148" t="n"/>
      <c r="M286" s="148" t="n"/>
      <c r="N286" s="148" t="n"/>
      <c r="O286" s="148" t="n"/>
      <c r="P286" s="148" t="n"/>
      <c r="Q286" s="148" t="n"/>
      <c r="R286" s="148" t="n"/>
      <c r="S286" s="148" t="n"/>
      <c r="T286" s="148" t="n"/>
      <c r="U286" s="149">
        <f>IF(AND('Master Stock'!D286&lt;&gt;"",'Master Stock'!H286="OCCUPIED",ISNUMBER('Master Stock'!J286),'Master Stock'!K286=""),SUMPRODUCT(--('Master Stock'!$D$2:$D$1000&lt;&gt;""),--('Master Stock'!$H$2:$H$1000="OCCUPIED"),--ISNUMBER('Master Stock'!$J$2:$J$1000),--('Master Stock'!$K$2:$K$1000=""),--('Master Stock'!$J$2:$J$1000&lt;'Master Stock'!J286))+COUNTIFS('Master Stock'!$J$2:J286,'Master Stock'!J286,'Master Stock'!$D$2:D286,"&lt;&gt;",'Master Stock'!$H$2:H286,"OCCUPIED",'Master Stock'!$K$2:K286,""),"")</f>
        <v/>
      </c>
      <c r="V286" s="149">
        <f>IF(AND('Master Stock'!D286&lt;&gt;"",'Master Stock'!H286="OCCUPIED",ISNUMBER('Master Stock'!L286),'Master Stock'!L286&lt;TODAY()-30),SUMPRODUCT(--('Master Stock'!$D$2:$D$1000&lt;&gt;""),--('Master Stock'!$H$2:$H$1000="OCCUPIED"),--ISNUMBER('Master Stock'!$L$2:$L$1000),--('Master Stock'!$L$2:$L$1000&lt;TODAY()-30),--('Master Stock'!$L$2:$L$1000&lt;'Master Stock'!L286))+COUNTIFS('Master Stock'!$L$2:L286,'Master Stock'!L286,'Master Stock'!$D$2:D286,"&lt;&gt;",'Master Stock'!$H$2:H286,"OCCUPIED"),"")</f>
        <v/>
      </c>
      <c r="W286" s="149" t="n"/>
      <c r="X286" s="149" t="n"/>
      <c r="Y286" s="149" t="n"/>
      <c r="Z286" s="149" t="n"/>
    </row>
    <row r="287" ht="15.75" customHeight="1" s="236">
      <c r="A287" s="148" t="n"/>
      <c r="B287" s="148" t="n"/>
      <c r="C287" s="124" t="n"/>
      <c r="D287" s="148" t="n"/>
      <c r="E287" s="148" t="n"/>
      <c r="F287" s="148" t="n"/>
      <c r="G287" s="124" t="n"/>
      <c r="H287" s="148" t="n"/>
      <c r="I287" s="148" t="n"/>
      <c r="J287" s="148" t="n"/>
      <c r="K287" s="148" t="n"/>
      <c r="L287" s="148" t="n"/>
      <c r="M287" s="148" t="n"/>
      <c r="N287" s="148" t="n"/>
      <c r="O287" s="148" t="n"/>
      <c r="P287" s="148" t="n"/>
      <c r="Q287" s="148" t="n"/>
      <c r="R287" s="148" t="n"/>
      <c r="S287" s="148" t="n"/>
      <c r="T287" s="148" t="n"/>
      <c r="U287" s="149">
        <f>IF(AND('Master Stock'!D287&lt;&gt;"",'Master Stock'!H287="OCCUPIED",ISNUMBER('Master Stock'!J287),'Master Stock'!K287=""),SUMPRODUCT(--('Master Stock'!$D$2:$D$1000&lt;&gt;""),--('Master Stock'!$H$2:$H$1000="OCCUPIED"),--ISNUMBER('Master Stock'!$J$2:$J$1000),--('Master Stock'!$K$2:$K$1000=""),--('Master Stock'!$J$2:$J$1000&lt;'Master Stock'!J287))+COUNTIFS('Master Stock'!$J$2:J287,'Master Stock'!J287,'Master Stock'!$D$2:D287,"&lt;&gt;",'Master Stock'!$H$2:H287,"OCCUPIED",'Master Stock'!$K$2:K287,""),"")</f>
        <v/>
      </c>
      <c r="V287" s="149">
        <f>IF(AND('Master Stock'!D287&lt;&gt;"",'Master Stock'!H287="OCCUPIED",ISNUMBER('Master Stock'!L287),'Master Stock'!L287&lt;TODAY()-30),SUMPRODUCT(--('Master Stock'!$D$2:$D$1000&lt;&gt;""),--('Master Stock'!$H$2:$H$1000="OCCUPIED"),--ISNUMBER('Master Stock'!$L$2:$L$1000),--('Master Stock'!$L$2:$L$1000&lt;TODAY()-30),--('Master Stock'!$L$2:$L$1000&lt;'Master Stock'!L287))+COUNTIFS('Master Stock'!$L$2:L287,'Master Stock'!L287,'Master Stock'!$D$2:D287,"&lt;&gt;",'Master Stock'!$H$2:H287,"OCCUPIED"),"")</f>
        <v/>
      </c>
      <c r="W287" s="149" t="n"/>
      <c r="X287" s="149" t="n"/>
      <c r="Y287" s="149" t="n"/>
      <c r="Z287" s="149" t="n"/>
    </row>
    <row r="288" ht="15.75" customHeight="1" s="236">
      <c r="A288" s="148" t="n"/>
      <c r="B288" s="148" t="n"/>
      <c r="C288" s="124" t="n"/>
      <c r="D288" s="148" t="n"/>
      <c r="E288" s="148" t="n"/>
      <c r="F288" s="148" t="n"/>
      <c r="G288" s="124" t="n"/>
      <c r="H288" s="148" t="n"/>
      <c r="I288" s="148" t="n"/>
      <c r="J288" s="148" t="n"/>
      <c r="K288" s="148" t="n"/>
      <c r="L288" s="148" t="n"/>
      <c r="M288" s="148" t="n"/>
      <c r="N288" s="148" t="n"/>
      <c r="O288" s="148" t="n"/>
      <c r="P288" s="148" t="n"/>
      <c r="Q288" s="148" t="n"/>
      <c r="R288" s="148" t="n"/>
      <c r="S288" s="148" t="n"/>
      <c r="T288" s="148" t="n"/>
      <c r="U288" s="149">
        <f>IF(AND('Master Stock'!D288&lt;&gt;"",'Master Stock'!H288="OCCUPIED",ISNUMBER('Master Stock'!J288),'Master Stock'!K288=""),SUMPRODUCT(--('Master Stock'!$D$2:$D$1000&lt;&gt;""),--('Master Stock'!$H$2:$H$1000="OCCUPIED"),--ISNUMBER('Master Stock'!$J$2:$J$1000),--('Master Stock'!$K$2:$K$1000=""),--('Master Stock'!$J$2:$J$1000&lt;'Master Stock'!J288))+COUNTIFS('Master Stock'!$J$2:J288,'Master Stock'!J288,'Master Stock'!$D$2:D288,"&lt;&gt;",'Master Stock'!$H$2:H288,"OCCUPIED",'Master Stock'!$K$2:K288,""),"")</f>
        <v/>
      </c>
      <c r="V288" s="149">
        <f>IF(AND('Master Stock'!D288&lt;&gt;"",'Master Stock'!H288="OCCUPIED",ISNUMBER('Master Stock'!L288),'Master Stock'!L288&lt;TODAY()-30),SUMPRODUCT(--('Master Stock'!$D$2:$D$1000&lt;&gt;""),--('Master Stock'!$H$2:$H$1000="OCCUPIED"),--ISNUMBER('Master Stock'!$L$2:$L$1000),--('Master Stock'!$L$2:$L$1000&lt;TODAY()-30),--('Master Stock'!$L$2:$L$1000&lt;'Master Stock'!L288))+COUNTIFS('Master Stock'!$L$2:L288,'Master Stock'!L288,'Master Stock'!$D$2:D288,"&lt;&gt;",'Master Stock'!$H$2:H288,"OCCUPIED"),"")</f>
        <v/>
      </c>
      <c r="W288" s="149" t="n"/>
      <c r="X288" s="149" t="n"/>
      <c r="Y288" s="149" t="n"/>
      <c r="Z288" s="149" t="n"/>
    </row>
    <row r="289" ht="15.75" customHeight="1" s="236">
      <c r="A289" s="148" t="n"/>
      <c r="B289" s="148" t="n"/>
      <c r="C289" s="124" t="n"/>
      <c r="D289" s="148" t="n"/>
      <c r="E289" s="148" t="n"/>
      <c r="F289" s="148" t="n"/>
      <c r="G289" s="124" t="n"/>
      <c r="H289" s="148" t="n"/>
      <c r="I289" s="148" t="n"/>
      <c r="J289" s="148" t="n"/>
      <c r="K289" s="148" t="n"/>
      <c r="L289" s="148" t="n"/>
      <c r="M289" s="148" t="n"/>
      <c r="N289" s="148" t="n"/>
      <c r="O289" s="148" t="n"/>
      <c r="P289" s="148" t="n"/>
      <c r="Q289" s="148" t="n"/>
      <c r="R289" s="148" t="n"/>
      <c r="S289" s="148" t="n"/>
      <c r="T289" s="148" t="n"/>
      <c r="U289" s="149">
        <f>IF(AND('Master Stock'!D289&lt;&gt;"",'Master Stock'!H289="OCCUPIED",ISNUMBER('Master Stock'!J289),'Master Stock'!K289=""),SUMPRODUCT(--('Master Stock'!$D$2:$D$1000&lt;&gt;""),--('Master Stock'!$H$2:$H$1000="OCCUPIED"),--ISNUMBER('Master Stock'!$J$2:$J$1000),--('Master Stock'!$K$2:$K$1000=""),--('Master Stock'!$J$2:$J$1000&lt;'Master Stock'!J289))+COUNTIFS('Master Stock'!$J$2:J289,'Master Stock'!J289,'Master Stock'!$D$2:D289,"&lt;&gt;",'Master Stock'!$H$2:H289,"OCCUPIED",'Master Stock'!$K$2:K289,""),"")</f>
        <v/>
      </c>
      <c r="V289" s="149">
        <f>IF(AND('Master Stock'!D289&lt;&gt;"",'Master Stock'!H289="OCCUPIED",ISNUMBER('Master Stock'!L289),'Master Stock'!L289&lt;TODAY()-30),SUMPRODUCT(--('Master Stock'!$D$2:$D$1000&lt;&gt;""),--('Master Stock'!$H$2:$H$1000="OCCUPIED"),--ISNUMBER('Master Stock'!$L$2:$L$1000),--('Master Stock'!$L$2:$L$1000&lt;TODAY()-30),--('Master Stock'!$L$2:$L$1000&lt;'Master Stock'!L289))+COUNTIFS('Master Stock'!$L$2:L289,'Master Stock'!L289,'Master Stock'!$D$2:D289,"&lt;&gt;",'Master Stock'!$H$2:H289,"OCCUPIED"),"")</f>
        <v/>
      </c>
      <c r="W289" s="149" t="n"/>
      <c r="X289" s="149" t="n"/>
      <c r="Y289" s="149" t="n"/>
      <c r="Z289" s="149" t="n"/>
    </row>
    <row r="290" ht="15.75" customHeight="1" s="236">
      <c r="A290" s="148" t="n"/>
      <c r="B290" s="148" t="n"/>
      <c r="C290" s="124" t="n"/>
      <c r="D290" s="148" t="n"/>
      <c r="E290" s="148" t="n"/>
      <c r="F290" s="148" t="n"/>
      <c r="G290" s="124" t="n"/>
      <c r="H290" s="148" t="n"/>
      <c r="I290" s="148" t="n"/>
      <c r="J290" s="148" t="n"/>
      <c r="K290" s="148" t="n"/>
      <c r="L290" s="148" t="n"/>
      <c r="M290" s="148" t="n"/>
      <c r="N290" s="148" t="n"/>
      <c r="O290" s="148" t="n"/>
      <c r="P290" s="148" t="n"/>
      <c r="Q290" s="148" t="n"/>
      <c r="R290" s="148" t="n"/>
      <c r="S290" s="148" t="n"/>
      <c r="T290" s="148" t="n"/>
      <c r="U290" s="149">
        <f>IF(AND('Master Stock'!D290&lt;&gt;"",'Master Stock'!H290="OCCUPIED",ISNUMBER('Master Stock'!J290),'Master Stock'!K290=""),SUMPRODUCT(--('Master Stock'!$D$2:$D$1000&lt;&gt;""),--('Master Stock'!$H$2:$H$1000="OCCUPIED"),--ISNUMBER('Master Stock'!$J$2:$J$1000),--('Master Stock'!$K$2:$K$1000=""),--('Master Stock'!$J$2:$J$1000&lt;'Master Stock'!J290))+COUNTIFS('Master Stock'!$J$2:J290,'Master Stock'!J290,'Master Stock'!$D$2:D290,"&lt;&gt;",'Master Stock'!$H$2:H290,"OCCUPIED",'Master Stock'!$K$2:K290,""),"")</f>
        <v/>
      </c>
      <c r="V290" s="149">
        <f>IF(AND('Master Stock'!D290&lt;&gt;"",'Master Stock'!H290="OCCUPIED",ISNUMBER('Master Stock'!L290),'Master Stock'!L290&lt;TODAY()-30),SUMPRODUCT(--('Master Stock'!$D$2:$D$1000&lt;&gt;""),--('Master Stock'!$H$2:$H$1000="OCCUPIED"),--ISNUMBER('Master Stock'!$L$2:$L$1000),--('Master Stock'!$L$2:$L$1000&lt;TODAY()-30),--('Master Stock'!$L$2:$L$1000&lt;'Master Stock'!L290))+COUNTIFS('Master Stock'!$L$2:L290,'Master Stock'!L290,'Master Stock'!$D$2:D290,"&lt;&gt;",'Master Stock'!$H$2:H290,"OCCUPIED"),"")</f>
        <v/>
      </c>
      <c r="W290" s="149" t="n"/>
      <c r="X290" s="149" t="n"/>
      <c r="Y290" s="149" t="n"/>
      <c r="Z290" s="149" t="n"/>
    </row>
    <row r="291" ht="15.75" customHeight="1" s="236">
      <c r="A291" s="148" t="n"/>
      <c r="B291" s="148" t="n"/>
      <c r="C291" s="124" t="n"/>
      <c r="D291" s="148" t="n"/>
      <c r="E291" s="148" t="n"/>
      <c r="F291" s="148" t="n"/>
      <c r="G291" s="124" t="n"/>
      <c r="H291" s="148" t="n"/>
      <c r="I291" s="148" t="n"/>
      <c r="J291" s="148" t="n"/>
      <c r="K291" s="148" t="n"/>
      <c r="L291" s="148" t="n"/>
      <c r="M291" s="148" t="n"/>
      <c r="N291" s="148" t="n"/>
      <c r="O291" s="148" t="n"/>
      <c r="P291" s="148" t="n"/>
      <c r="Q291" s="148" t="n"/>
      <c r="R291" s="148" t="n"/>
      <c r="S291" s="148" t="n"/>
      <c r="T291" s="148" t="n"/>
      <c r="U291" s="149">
        <f>IF(AND('Master Stock'!D291&lt;&gt;"",'Master Stock'!H291="OCCUPIED",ISNUMBER('Master Stock'!J291),'Master Stock'!K291=""),SUMPRODUCT(--('Master Stock'!$D$2:$D$1000&lt;&gt;""),--('Master Stock'!$H$2:$H$1000="OCCUPIED"),--ISNUMBER('Master Stock'!$J$2:$J$1000),--('Master Stock'!$K$2:$K$1000=""),--('Master Stock'!$J$2:$J$1000&lt;'Master Stock'!J291))+COUNTIFS('Master Stock'!$J$2:J291,'Master Stock'!J291,'Master Stock'!$D$2:D291,"&lt;&gt;",'Master Stock'!$H$2:H291,"OCCUPIED",'Master Stock'!$K$2:K291,""),"")</f>
        <v/>
      </c>
      <c r="V291" s="149">
        <f>IF(AND('Master Stock'!D291&lt;&gt;"",'Master Stock'!H291="OCCUPIED",ISNUMBER('Master Stock'!L291),'Master Stock'!L291&lt;TODAY()-30),SUMPRODUCT(--('Master Stock'!$D$2:$D$1000&lt;&gt;""),--('Master Stock'!$H$2:$H$1000="OCCUPIED"),--ISNUMBER('Master Stock'!$L$2:$L$1000),--('Master Stock'!$L$2:$L$1000&lt;TODAY()-30),--('Master Stock'!$L$2:$L$1000&lt;'Master Stock'!L291))+COUNTIFS('Master Stock'!$L$2:L291,'Master Stock'!L291,'Master Stock'!$D$2:D291,"&lt;&gt;",'Master Stock'!$H$2:H291,"OCCUPIED"),"")</f>
        <v/>
      </c>
      <c r="W291" s="149" t="n"/>
      <c r="X291" s="149" t="n"/>
      <c r="Y291" s="149" t="n"/>
      <c r="Z291" s="149" t="n"/>
    </row>
    <row r="292" ht="15.75" customHeight="1" s="236">
      <c r="A292" s="148" t="n"/>
      <c r="B292" s="148" t="n"/>
      <c r="C292" s="124" t="n"/>
      <c r="D292" s="148" t="n"/>
      <c r="E292" s="148" t="n"/>
      <c r="F292" s="148" t="n"/>
      <c r="G292" s="124" t="n"/>
      <c r="H292" s="148" t="n"/>
      <c r="I292" s="148" t="n"/>
      <c r="J292" s="148" t="n"/>
      <c r="K292" s="148" t="n"/>
      <c r="L292" s="148" t="n"/>
      <c r="M292" s="148" t="n"/>
      <c r="N292" s="148" t="n"/>
      <c r="O292" s="148" t="n"/>
      <c r="P292" s="148" t="n"/>
      <c r="Q292" s="148" t="n"/>
      <c r="R292" s="148" t="n"/>
      <c r="S292" s="148" t="n"/>
      <c r="T292" s="148" t="n"/>
      <c r="U292" s="149">
        <f>IF(AND('Master Stock'!D292&lt;&gt;"",'Master Stock'!H292="OCCUPIED",ISNUMBER('Master Stock'!J292),'Master Stock'!K292=""),SUMPRODUCT(--('Master Stock'!$D$2:$D$1000&lt;&gt;""),--('Master Stock'!$H$2:$H$1000="OCCUPIED"),--ISNUMBER('Master Stock'!$J$2:$J$1000),--('Master Stock'!$K$2:$K$1000=""),--('Master Stock'!$J$2:$J$1000&lt;'Master Stock'!J292))+COUNTIFS('Master Stock'!$J$2:J292,'Master Stock'!J292,'Master Stock'!$D$2:D292,"&lt;&gt;",'Master Stock'!$H$2:H292,"OCCUPIED",'Master Stock'!$K$2:K292,""),"")</f>
        <v/>
      </c>
      <c r="V292" s="149">
        <f>IF(AND('Master Stock'!D292&lt;&gt;"",'Master Stock'!H292="OCCUPIED",ISNUMBER('Master Stock'!L292),'Master Stock'!L292&lt;TODAY()-30),SUMPRODUCT(--('Master Stock'!$D$2:$D$1000&lt;&gt;""),--('Master Stock'!$H$2:$H$1000="OCCUPIED"),--ISNUMBER('Master Stock'!$L$2:$L$1000),--('Master Stock'!$L$2:$L$1000&lt;TODAY()-30),--('Master Stock'!$L$2:$L$1000&lt;'Master Stock'!L292))+COUNTIFS('Master Stock'!$L$2:L292,'Master Stock'!L292,'Master Stock'!$D$2:D292,"&lt;&gt;",'Master Stock'!$H$2:H292,"OCCUPIED"),"")</f>
        <v/>
      </c>
      <c r="W292" s="149" t="n"/>
      <c r="X292" s="149" t="n"/>
      <c r="Y292" s="149" t="n"/>
      <c r="Z292" s="149" t="n"/>
    </row>
    <row r="293" ht="15.75" customHeight="1" s="236">
      <c r="A293" s="148" t="n"/>
      <c r="B293" s="148" t="n"/>
      <c r="C293" s="124" t="n"/>
      <c r="D293" s="148" t="n"/>
      <c r="E293" s="148" t="n"/>
      <c r="F293" s="148" t="n"/>
      <c r="G293" s="124" t="n"/>
      <c r="H293" s="148" t="n"/>
      <c r="I293" s="148" t="n"/>
      <c r="J293" s="148" t="n"/>
      <c r="K293" s="148" t="n"/>
      <c r="L293" s="148" t="n"/>
      <c r="M293" s="148" t="n"/>
      <c r="N293" s="148" t="n"/>
      <c r="O293" s="148" t="n"/>
      <c r="P293" s="148" t="n"/>
      <c r="Q293" s="148" t="n"/>
      <c r="R293" s="148" t="n"/>
      <c r="S293" s="148" t="n"/>
      <c r="T293" s="148" t="n"/>
      <c r="U293" s="149">
        <f>IF(AND('Master Stock'!D293&lt;&gt;"",'Master Stock'!H293="OCCUPIED",ISNUMBER('Master Stock'!J293),'Master Stock'!K293=""),SUMPRODUCT(--('Master Stock'!$D$2:$D$1000&lt;&gt;""),--('Master Stock'!$H$2:$H$1000="OCCUPIED"),--ISNUMBER('Master Stock'!$J$2:$J$1000),--('Master Stock'!$K$2:$K$1000=""),--('Master Stock'!$J$2:$J$1000&lt;'Master Stock'!J293))+COUNTIFS('Master Stock'!$J$2:J293,'Master Stock'!J293,'Master Stock'!$D$2:D293,"&lt;&gt;",'Master Stock'!$H$2:H293,"OCCUPIED",'Master Stock'!$K$2:K293,""),"")</f>
        <v/>
      </c>
      <c r="V293" s="149">
        <f>IF(AND('Master Stock'!D293&lt;&gt;"",'Master Stock'!H293="OCCUPIED",ISNUMBER('Master Stock'!L293),'Master Stock'!L293&lt;TODAY()-30),SUMPRODUCT(--('Master Stock'!$D$2:$D$1000&lt;&gt;""),--('Master Stock'!$H$2:$H$1000="OCCUPIED"),--ISNUMBER('Master Stock'!$L$2:$L$1000),--('Master Stock'!$L$2:$L$1000&lt;TODAY()-30),--('Master Stock'!$L$2:$L$1000&lt;'Master Stock'!L293))+COUNTIFS('Master Stock'!$L$2:L293,'Master Stock'!L293,'Master Stock'!$D$2:D293,"&lt;&gt;",'Master Stock'!$H$2:H293,"OCCUPIED"),"")</f>
        <v/>
      </c>
      <c r="W293" s="149" t="n"/>
      <c r="X293" s="149" t="n"/>
      <c r="Y293" s="149" t="n"/>
      <c r="Z293" s="149" t="n"/>
    </row>
    <row r="294" ht="15.75" customHeight="1" s="236">
      <c r="A294" s="148" t="n"/>
      <c r="B294" s="148" t="n"/>
      <c r="C294" s="124" t="n"/>
      <c r="D294" s="148" t="n"/>
      <c r="E294" s="148" t="n"/>
      <c r="F294" s="148" t="n"/>
      <c r="G294" s="124" t="n"/>
      <c r="H294" s="148" t="n"/>
      <c r="I294" s="148" t="n"/>
      <c r="J294" s="148" t="n"/>
      <c r="K294" s="148" t="n"/>
      <c r="L294" s="148" t="n"/>
      <c r="M294" s="148" t="n"/>
      <c r="N294" s="148" t="n"/>
      <c r="O294" s="148" t="n"/>
      <c r="P294" s="148" t="n"/>
      <c r="Q294" s="148" t="n"/>
      <c r="R294" s="148" t="n"/>
      <c r="S294" s="148" t="n"/>
      <c r="T294" s="148" t="n"/>
      <c r="U294" s="149">
        <f>IF(AND('Master Stock'!D294&lt;&gt;"",'Master Stock'!H294="OCCUPIED",ISNUMBER('Master Stock'!J294),'Master Stock'!K294=""),SUMPRODUCT(--('Master Stock'!$D$2:$D$1000&lt;&gt;""),--('Master Stock'!$H$2:$H$1000="OCCUPIED"),--ISNUMBER('Master Stock'!$J$2:$J$1000),--('Master Stock'!$K$2:$K$1000=""),--('Master Stock'!$J$2:$J$1000&lt;'Master Stock'!J294))+COUNTIFS('Master Stock'!$J$2:J294,'Master Stock'!J294,'Master Stock'!$D$2:D294,"&lt;&gt;",'Master Stock'!$H$2:H294,"OCCUPIED",'Master Stock'!$K$2:K294,""),"")</f>
        <v/>
      </c>
      <c r="V294" s="149">
        <f>IF(AND('Master Stock'!D294&lt;&gt;"",'Master Stock'!H294="OCCUPIED",ISNUMBER('Master Stock'!L294),'Master Stock'!L294&lt;TODAY()-30),SUMPRODUCT(--('Master Stock'!$D$2:$D$1000&lt;&gt;""),--('Master Stock'!$H$2:$H$1000="OCCUPIED"),--ISNUMBER('Master Stock'!$L$2:$L$1000),--('Master Stock'!$L$2:$L$1000&lt;TODAY()-30),--('Master Stock'!$L$2:$L$1000&lt;'Master Stock'!L294))+COUNTIFS('Master Stock'!$L$2:L294,'Master Stock'!L294,'Master Stock'!$D$2:D294,"&lt;&gt;",'Master Stock'!$H$2:H294,"OCCUPIED"),"")</f>
        <v/>
      </c>
      <c r="W294" s="149" t="n"/>
      <c r="X294" s="149" t="n"/>
      <c r="Y294" s="149" t="n"/>
      <c r="Z294" s="149" t="n"/>
    </row>
    <row r="295" ht="15.75" customHeight="1" s="236">
      <c r="A295" s="148" t="n"/>
      <c r="B295" s="148" t="n"/>
      <c r="C295" s="124" t="n"/>
      <c r="D295" s="148" t="n"/>
      <c r="E295" s="148" t="n"/>
      <c r="F295" s="148" t="n"/>
      <c r="G295" s="124" t="n"/>
      <c r="H295" s="148" t="n"/>
      <c r="I295" s="148" t="n"/>
      <c r="J295" s="148" t="n"/>
      <c r="K295" s="148" t="n"/>
      <c r="L295" s="148" t="n"/>
      <c r="M295" s="148" t="n"/>
      <c r="N295" s="148" t="n"/>
      <c r="O295" s="148" t="n"/>
      <c r="P295" s="148" t="n"/>
      <c r="Q295" s="148" t="n"/>
      <c r="R295" s="148" t="n"/>
      <c r="S295" s="148" t="n"/>
      <c r="T295" s="148" t="n"/>
      <c r="U295" s="149">
        <f>IF(AND('Master Stock'!D295&lt;&gt;"",'Master Stock'!H295="OCCUPIED",ISNUMBER('Master Stock'!J295),'Master Stock'!K295=""),SUMPRODUCT(--('Master Stock'!$D$2:$D$1000&lt;&gt;""),--('Master Stock'!$H$2:$H$1000="OCCUPIED"),--ISNUMBER('Master Stock'!$J$2:$J$1000),--('Master Stock'!$K$2:$K$1000=""),--('Master Stock'!$J$2:$J$1000&lt;'Master Stock'!J295))+COUNTIFS('Master Stock'!$J$2:J295,'Master Stock'!J295,'Master Stock'!$D$2:D295,"&lt;&gt;",'Master Stock'!$H$2:H295,"OCCUPIED",'Master Stock'!$K$2:K295,""),"")</f>
        <v/>
      </c>
      <c r="V295" s="149">
        <f>IF(AND('Master Stock'!D295&lt;&gt;"",'Master Stock'!H295="OCCUPIED",ISNUMBER('Master Stock'!L295),'Master Stock'!L295&lt;TODAY()-30),SUMPRODUCT(--('Master Stock'!$D$2:$D$1000&lt;&gt;""),--('Master Stock'!$H$2:$H$1000="OCCUPIED"),--ISNUMBER('Master Stock'!$L$2:$L$1000),--('Master Stock'!$L$2:$L$1000&lt;TODAY()-30),--('Master Stock'!$L$2:$L$1000&lt;'Master Stock'!L295))+COUNTIFS('Master Stock'!$L$2:L295,'Master Stock'!L295,'Master Stock'!$D$2:D295,"&lt;&gt;",'Master Stock'!$H$2:H295,"OCCUPIED"),"")</f>
        <v/>
      </c>
      <c r="W295" s="149" t="n"/>
      <c r="X295" s="149" t="n"/>
      <c r="Y295" s="149" t="n"/>
      <c r="Z295" s="149" t="n"/>
    </row>
    <row r="296" ht="15.75" customHeight="1" s="236">
      <c r="A296" s="148" t="n"/>
      <c r="B296" s="148" t="n"/>
      <c r="C296" s="124" t="n"/>
      <c r="D296" s="148" t="n"/>
      <c r="E296" s="148" t="n"/>
      <c r="F296" s="148" t="n"/>
      <c r="G296" s="124" t="n"/>
      <c r="H296" s="148" t="n"/>
      <c r="I296" s="148" t="n"/>
      <c r="J296" s="148" t="n"/>
      <c r="K296" s="148" t="n"/>
      <c r="L296" s="148" t="n"/>
      <c r="M296" s="148" t="n"/>
      <c r="N296" s="148" t="n"/>
      <c r="O296" s="148" t="n"/>
      <c r="P296" s="148" t="n"/>
      <c r="Q296" s="148" t="n"/>
      <c r="R296" s="148" t="n"/>
      <c r="S296" s="148" t="n"/>
      <c r="T296" s="148" t="n"/>
      <c r="U296" s="149">
        <f>IF(AND('Master Stock'!D296&lt;&gt;"",'Master Stock'!H296="OCCUPIED",ISNUMBER('Master Stock'!J296),'Master Stock'!K296=""),SUMPRODUCT(--('Master Stock'!$D$2:$D$1000&lt;&gt;""),--('Master Stock'!$H$2:$H$1000="OCCUPIED"),--ISNUMBER('Master Stock'!$J$2:$J$1000),--('Master Stock'!$K$2:$K$1000=""),--('Master Stock'!$J$2:$J$1000&lt;'Master Stock'!J296))+COUNTIFS('Master Stock'!$J$2:J296,'Master Stock'!J296,'Master Stock'!$D$2:D296,"&lt;&gt;",'Master Stock'!$H$2:H296,"OCCUPIED",'Master Stock'!$K$2:K296,""),"")</f>
        <v/>
      </c>
      <c r="V296" s="149">
        <f>IF(AND('Master Stock'!D296&lt;&gt;"",'Master Stock'!H296="OCCUPIED",ISNUMBER('Master Stock'!L296),'Master Stock'!L296&lt;TODAY()-30),SUMPRODUCT(--('Master Stock'!$D$2:$D$1000&lt;&gt;""),--('Master Stock'!$H$2:$H$1000="OCCUPIED"),--ISNUMBER('Master Stock'!$L$2:$L$1000),--('Master Stock'!$L$2:$L$1000&lt;TODAY()-30),--('Master Stock'!$L$2:$L$1000&lt;'Master Stock'!L296))+COUNTIFS('Master Stock'!$L$2:L296,'Master Stock'!L296,'Master Stock'!$D$2:D296,"&lt;&gt;",'Master Stock'!$H$2:H296,"OCCUPIED"),"")</f>
        <v/>
      </c>
      <c r="W296" s="149" t="n"/>
      <c r="X296" s="149" t="n"/>
      <c r="Y296" s="149" t="n"/>
      <c r="Z296" s="149" t="n"/>
    </row>
    <row r="297" ht="15.75" customHeight="1" s="236">
      <c r="A297" s="148" t="n"/>
      <c r="B297" s="148" t="n"/>
      <c r="C297" s="124" t="n"/>
      <c r="D297" s="148" t="n"/>
      <c r="E297" s="148" t="n"/>
      <c r="F297" s="148" t="n"/>
      <c r="G297" s="124" t="n"/>
      <c r="H297" s="148" t="n"/>
      <c r="I297" s="148" t="n"/>
      <c r="J297" s="148" t="n"/>
      <c r="K297" s="148" t="n"/>
      <c r="L297" s="148" t="n"/>
      <c r="M297" s="148" t="n"/>
      <c r="N297" s="148" t="n"/>
      <c r="O297" s="148" t="n"/>
      <c r="P297" s="148" t="n"/>
      <c r="Q297" s="148" t="n"/>
      <c r="R297" s="148" t="n"/>
      <c r="S297" s="148" t="n"/>
      <c r="T297" s="148" t="n"/>
      <c r="U297" s="149">
        <f>IF(AND('Master Stock'!D297&lt;&gt;"",'Master Stock'!H297="OCCUPIED",ISNUMBER('Master Stock'!J297),'Master Stock'!K297=""),SUMPRODUCT(--('Master Stock'!$D$2:$D$1000&lt;&gt;""),--('Master Stock'!$H$2:$H$1000="OCCUPIED"),--ISNUMBER('Master Stock'!$J$2:$J$1000),--('Master Stock'!$K$2:$K$1000=""),--('Master Stock'!$J$2:$J$1000&lt;'Master Stock'!J297))+COUNTIFS('Master Stock'!$J$2:J297,'Master Stock'!J297,'Master Stock'!$D$2:D297,"&lt;&gt;",'Master Stock'!$H$2:H297,"OCCUPIED",'Master Stock'!$K$2:K297,""),"")</f>
        <v/>
      </c>
      <c r="V297" s="149">
        <f>IF(AND('Master Stock'!D297&lt;&gt;"",'Master Stock'!H297="OCCUPIED",ISNUMBER('Master Stock'!L297),'Master Stock'!L297&lt;TODAY()-30),SUMPRODUCT(--('Master Stock'!$D$2:$D$1000&lt;&gt;""),--('Master Stock'!$H$2:$H$1000="OCCUPIED"),--ISNUMBER('Master Stock'!$L$2:$L$1000),--('Master Stock'!$L$2:$L$1000&lt;TODAY()-30),--('Master Stock'!$L$2:$L$1000&lt;'Master Stock'!L297))+COUNTIFS('Master Stock'!$L$2:L297,'Master Stock'!L297,'Master Stock'!$D$2:D297,"&lt;&gt;",'Master Stock'!$H$2:H297,"OCCUPIED"),"")</f>
        <v/>
      </c>
      <c r="W297" s="149" t="n"/>
      <c r="X297" s="149" t="n"/>
      <c r="Y297" s="149" t="n"/>
      <c r="Z297" s="149" t="n"/>
    </row>
    <row r="298" ht="15.75" customHeight="1" s="236">
      <c r="A298" s="148" t="n"/>
      <c r="B298" s="148" t="n"/>
      <c r="C298" s="124" t="n"/>
      <c r="D298" s="148" t="n"/>
      <c r="E298" s="148" t="n"/>
      <c r="F298" s="148" t="n"/>
      <c r="G298" s="124" t="n"/>
      <c r="H298" s="148" t="n"/>
      <c r="I298" s="148" t="n"/>
      <c r="J298" s="148" t="n"/>
      <c r="K298" s="148" t="n"/>
      <c r="L298" s="148" t="n"/>
      <c r="M298" s="148" t="n"/>
      <c r="N298" s="148" t="n"/>
      <c r="O298" s="148" t="n"/>
      <c r="P298" s="148" t="n"/>
      <c r="Q298" s="148" t="n"/>
      <c r="R298" s="148" t="n"/>
      <c r="S298" s="148" t="n"/>
      <c r="T298" s="148" t="n"/>
      <c r="U298" s="149">
        <f>IF(AND('Master Stock'!D298&lt;&gt;"",'Master Stock'!H298="OCCUPIED",ISNUMBER('Master Stock'!J298),'Master Stock'!K298=""),SUMPRODUCT(--('Master Stock'!$D$2:$D$1000&lt;&gt;""),--('Master Stock'!$H$2:$H$1000="OCCUPIED"),--ISNUMBER('Master Stock'!$J$2:$J$1000),--('Master Stock'!$K$2:$K$1000=""),--('Master Stock'!$J$2:$J$1000&lt;'Master Stock'!J298))+COUNTIFS('Master Stock'!$J$2:J298,'Master Stock'!J298,'Master Stock'!$D$2:D298,"&lt;&gt;",'Master Stock'!$H$2:H298,"OCCUPIED",'Master Stock'!$K$2:K298,""),"")</f>
        <v/>
      </c>
      <c r="V298" s="149">
        <f>IF(AND('Master Stock'!D298&lt;&gt;"",'Master Stock'!H298="OCCUPIED",ISNUMBER('Master Stock'!L298),'Master Stock'!L298&lt;TODAY()-30),SUMPRODUCT(--('Master Stock'!$D$2:$D$1000&lt;&gt;""),--('Master Stock'!$H$2:$H$1000="OCCUPIED"),--ISNUMBER('Master Stock'!$L$2:$L$1000),--('Master Stock'!$L$2:$L$1000&lt;TODAY()-30),--('Master Stock'!$L$2:$L$1000&lt;'Master Stock'!L298))+COUNTIFS('Master Stock'!$L$2:L298,'Master Stock'!L298,'Master Stock'!$D$2:D298,"&lt;&gt;",'Master Stock'!$H$2:H298,"OCCUPIED"),"")</f>
        <v/>
      </c>
      <c r="W298" s="149" t="n"/>
      <c r="X298" s="149" t="n"/>
      <c r="Y298" s="149" t="n"/>
      <c r="Z298" s="149" t="n"/>
    </row>
    <row r="299" ht="15.75" customHeight="1" s="236">
      <c r="A299" s="148" t="n"/>
      <c r="B299" s="148" t="n"/>
      <c r="C299" s="124" t="n"/>
      <c r="D299" s="148" t="n"/>
      <c r="E299" s="148" t="n"/>
      <c r="F299" s="148" t="n"/>
      <c r="G299" s="124" t="n"/>
      <c r="H299" s="148" t="n"/>
      <c r="I299" s="148" t="n"/>
      <c r="J299" s="148" t="n"/>
      <c r="K299" s="148" t="n"/>
      <c r="L299" s="148" t="n"/>
      <c r="M299" s="148" t="n"/>
      <c r="N299" s="148" t="n"/>
      <c r="O299" s="148" t="n"/>
      <c r="P299" s="148" t="n"/>
      <c r="Q299" s="148" t="n"/>
      <c r="R299" s="148" t="n"/>
      <c r="S299" s="148" t="n"/>
      <c r="T299" s="148" t="n"/>
      <c r="U299" s="149">
        <f>IF(AND('Master Stock'!D299&lt;&gt;"",'Master Stock'!H299="OCCUPIED",ISNUMBER('Master Stock'!J299),'Master Stock'!K299=""),SUMPRODUCT(--('Master Stock'!$D$2:$D$1000&lt;&gt;""),--('Master Stock'!$H$2:$H$1000="OCCUPIED"),--ISNUMBER('Master Stock'!$J$2:$J$1000),--('Master Stock'!$K$2:$K$1000=""),--('Master Stock'!$J$2:$J$1000&lt;'Master Stock'!J299))+COUNTIFS('Master Stock'!$J$2:J299,'Master Stock'!J299,'Master Stock'!$D$2:D299,"&lt;&gt;",'Master Stock'!$H$2:H299,"OCCUPIED",'Master Stock'!$K$2:K299,""),"")</f>
        <v/>
      </c>
      <c r="V299" s="149">
        <f>IF(AND('Master Stock'!D299&lt;&gt;"",'Master Stock'!H299="OCCUPIED",ISNUMBER('Master Stock'!L299),'Master Stock'!L299&lt;TODAY()-30),SUMPRODUCT(--('Master Stock'!$D$2:$D$1000&lt;&gt;""),--('Master Stock'!$H$2:$H$1000="OCCUPIED"),--ISNUMBER('Master Stock'!$L$2:$L$1000),--('Master Stock'!$L$2:$L$1000&lt;TODAY()-30),--('Master Stock'!$L$2:$L$1000&lt;'Master Stock'!L299))+COUNTIFS('Master Stock'!$L$2:L299,'Master Stock'!L299,'Master Stock'!$D$2:D299,"&lt;&gt;",'Master Stock'!$H$2:H299,"OCCUPIED"),"")</f>
        <v/>
      </c>
      <c r="W299" s="149" t="n"/>
      <c r="X299" s="149" t="n"/>
      <c r="Y299" s="149" t="n"/>
      <c r="Z299" s="149" t="n"/>
    </row>
    <row r="300" ht="15.75" customHeight="1" s="236">
      <c r="A300" s="148" t="n"/>
      <c r="B300" s="148" t="n"/>
      <c r="C300" s="124" t="n"/>
      <c r="D300" s="148" t="n"/>
      <c r="E300" s="148" t="n"/>
      <c r="F300" s="148" t="n"/>
      <c r="G300" s="124" t="n"/>
      <c r="H300" s="148" t="n"/>
      <c r="I300" s="148" t="n"/>
      <c r="J300" s="148" t="n"/>
      <c r="K300" s="148" t="n"/>
      <c r="L300" s="148" t="n"/>
      <c r="M300" s="148" t="n"/>
      <c r="N300" s="148" t="n"/>
      <c r="O300" s="148" t="n"/>
      <c r="P300" s="148" t="n"/>
      <c r="Q300" s="148" t="n"/>
      <c r="R300" s="148" t="n"/>
      <c r="S300" s="148" t="n"/>
      <c r="T300" s="148" t="n"/>
      <c r="U300" s="149">
        <f>IF(AND('Master Stock'!D300&lt;&gt;"",'Master Stock'!H300="OCCUPIED",ISNUMBER('Master Stock'!J300),'Master Stock'!K300=""),SUMPRODUCT(--('Master Stock'!$D$2:$D$1000&lt;&gt;""),--('Master Stock'!$H$2:$H$1000="OCCUPIED"),--ISNUMBER('Master Stock'!$J$2:$J$1000),--('Master Stock'!$K$2:$K$1000=""),--('Master Stock'!$J$2:$J$1000&lt;'Master Stock'!J300))+COUNTIFS('Master Stock'!$J$2:J300,'Master Stock'!J300,'Master Stock'!$D$2:D300,"&lt;&gt;",'Master Stock'!$H$2:H300,"OCCUPIED",'Master Stock'!$K$2:K300,""),"")</f>
        <v/>
      </c>
      <c r="V300" s="149">
        <f>IF(AND('Master Stock'!D300&lt;&gt;"",'Master Stock'!H300="OCCUPIED",ISNUMBER('Master Stock'!L300),'Master Stock'!L300&lt;TODAY()-30),SUMPRODUCT(--('Master Stock'!$D$2:$D$1000&lt;&gt;""),--('Master Stock'!$H$2:$H$1000="OCCUPIED"),--ISNUMBER('Master Stock'!$L$2:$L$1000),--('Master Stock'!$L$2:$L$1000&lt;TODAY()-30),--('Master Stock'!$L$2:$L$1000&lt;'Master Stock'!L300))+COUNTIFS('Master Stock'!$L$2:L300,'Master Stock'!L300,'Master Stock'!$D$2:D300,"&lt;&gt;",'Master Stock'!$H$2:H300,"OCCUPIED"),"")</f>
        <v/>
      </c>
      <c r="W300" s="149" t="n"/>
      <c r="X300" s="149" t="n"/>
      <c r="Y300" s="149" t="n"/>
      <c r="Z300" s="149" t="n"/>
    </row>
    <row r="301" ht="15.75" customHeight="1" s="236">
      <c r="A301" s="148" t="n"/>
      <c r="B301" s="148" t="n"/>
      <c r="C301" s="124" t="n"/>
      <c r="D301" s="148" t="n"/>
      <c r="E301" s="148" t="n"/>
      <c r="F301" s="148" t="n"/>
      <c r="G301" s="124" t="n"/>
      <c r="H301" s="148" t="n"/>
      <c r="I301" s="148" t="n"/>
      <c r="J301" s="148" t="n"/>
      <c r="K301" s="148" t="n"/>
      <c r="L301" s="148" t="n"/>
      <c r="M301" s="148" t="n"/>
      <c r="N301" s="148" t="n"/>
      <c r="O301" s="148" t="n"/>
      <c r="P301" s="148" t="n"/>
      <c r="Q301" s="148" t="n"/>
      <c r="R301" s="148" t="n"/>
      <c r="S301" s="148" t="n"/>
      <c r="T301" s="148" t="n"/>
      <c r="U301" s="149">
        <f>IF(AND('Master Stock'!D301&lt;&gt;"",'Master Stock'!H301="OCCUPIED",ISNUMBER('Master Stock'!J301),'Master Stock'!K301=""),SUMPRODUCT(--('Master Stock'!$D$2:$D$1000&lt;&gt;""),--('Master Stock'!$H$2:$H$1000="OCCUPIED"),--ISNUMBER('Master Stock'!$J$2:$J$1000),--('Master Stock'!$K$2:$K$1000=""),--('Master Stock'!$J$2:$J$1000&lt;'Master Stock'!J301))+COUNTIFS('Master Stock'!$J$2:J301,'Master Stock'!J301,'Master Stock'!$D$2:D301,"&lt;&gt;",'Master Stock'!$H$2:H301,"OCCUPIED",'Master Stock'!$K$2:K301,""),"")</f>
        <v/>
      </c>
      <c r="V301" s="149">
        <f>IF(AND('Master Stock'!D301&lt;&gt;"",'Master Stock'!H301="OCCUPIED",ISNUMBER('Master Stock'!L301),'Master Stock'!L301&lt;TODAY()-30),SUMPRODUCT(--('Master Stock'!$D$2:$D$1000&lt;&gt;""),--('Master Stock'!$H$2:$H$1000="OCCUPIED"),--ISNUMBER('Master Stock'!$L$2:$L$1000),--('Master Stock'!$L$2:$L$1000&lt;TODAY()-30),--('Master Stock'!$L$2:$L$1000&lt;'Master Stock'!L301))+COUNTIFS('Master Stock'!$L$2:L301,'Master Stock'!L301,'Master Stock'!$D$2:D301,"&lt;&gt;",'Master Stock'!$H$2:H301,"OCCUPIED"),"")</f>
        <v/>
      </c>
      <c r="W301" s="149" t="n"/>
      <c r="X301" s="149" t="n"/>
      <c r="Y301" s="149" t="n"/>
      <c r="Z301" s="149" t="n"/>
    </row>
    <row r="302" ht="15.75" customHeight="1" s="236">
      <c r="A302" s="148" t="n"/>
      <c r="B302" s="148" t="n"/>
      <c r="C302" s="124" t="n"/>
      <c r="D302" s="148" t="n"/>
      <c r="E302" s="148" t="n"/>
      <c r="F302" s="148" t="n"/>
      <c r="G302" s="124" t="n"/>
      <c r="H302" s="148" t="n"/>
      <c r="I302" s="148" t="n"/>
      <c r="J302" s="148" t="n"/>
      <c r="K302" s="148" t="n"/>
      <c r="L302" s="148" t="n"/>
      <c r="M302" s="148" t="n"/>
      <c r="N302" s="148" t="n"/>
      <c r="O302" s="148" t="n"/>
      <c r="P302" s="148" t="n"/>
      <c r="Q302" s="148" t="n"/>
      <c r="R302" s="148" t="n"/>
      <c r="S302" s="148" t="n"/>
      <c r="T302" s="148" t="n"/>
      <c r="U302" s="149">
        <f>IF(AND('Master Stock'!D302&lt;&gt;"",'Master Stock'!H302="OCCUPIED",ISNUMBER('Master Stock'!J302),'Master Stock'!K302=""),SUMPRODUCT(--('Master Stock'!$D$2:$D$1000&lt;&gt;""),--('Master Stock'!$H$2:$H$1000="OCCUPIED"),--ISNUMBER('Master Stock'!$J$2:$J$1000),--('Master Stock'!$K$2:$K$1000=""),--('Master Stock'!$J$2:$J$1000&lt;'Master Stock'!J302))+COUNTIFS('Master Stock'!$J$2:J302,'Master Stock'!J302,'Master Stock'!$D$2:D302,"&lt;&gt;",'Master Stock'!$H$2:H302,"OCCUPIED",'Master Stock'!$K$2:K302,""),"")</f>
        <v/>
      </c>
      <c r="V302" s="149">
        <f>IF(AND('Master Stock'!D302&lt;&gt;"",'Master Stock'!H302="OCCUPIED",ISNUMBER('Master Stock'!L302),'Master Stock'!L302&lt;TODAY()-30),SUMPRODUCT(--('Master Stock'!$D$2:$D$1000&lt;&gt;""),--('Master Stock'!$H$2:$H$1000="OCCUPIED"),--ISNUMBER('Master Stock'!$L$2:$L$1000),--('Master Stock'!$L$2:$L$1000&lt;TODAY()-30),--('Master Stock'!$L$2:$L$1000&lt;'Master Stock'!L302))+COUNTIFS('Master Stock'!$L$2:L302,'Master Stock'!L302,'Master Stock'!$D$2:D302,"&lt;&gt;",'Master Stock'!$H$2:H302,"OCCUPIED"),"")</f>
        <v/>
      </c>
      <c r="W302" s="149" t="n"/>
      <c r="X302" s="149" t="n"/>
      <c r="Y302" s="149" t="n"/>
      <c r="Z302" s="149" t="n"/>
    </row>
    <row r="303" ht="15.75" customHeight="1" s="236">
      <c r="A303" s="148" t="n"/>
      <c r="B303" s="148" t="n"/>
      <c r="C303" s="124" t="n"/>
      <c r="D303" s="148" t="n"/>
      <c r="E303" s="148" t="n"/>
      <c r="F303" s="148" t="n"/>
      <c r="G303" s="124" t="n"/>
      <c r="H303" s="148" t="n"/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 t="n"/>
      <c r="S303" s="148" t="n"/>
      <c r="T303" s="148" t="n"/>
      <c r="U303" s="149">
        <f>IF(AND('Master Stock'!D303&lt;&gt;"",'Master Stock'!H303="OCCUPIED",ISNUMBER('Master Stock'!J303),'Master Stock'!K303=""),SUMPRODUCT(--('Master Stock'!$D$2:$D$1000&lt;&gt;""),--('Master Stock'!$H$2:$H$1000="OCCUPIED"),--ISNUMBER('Master Stock'!$J$2:$J$1000),--('Master Stock'!$K$2:$K$1000=""),--('Master Stock'!$J$2:$J$1000&lt;'Master Stock'!J303))+COUNTIFS('Master Stock'!$J$2:J303,'Master Stock'!J303,'Master Stock'!$D$2:D303,"&lt;&gt;",'Master Stock'!$H$2:H303,"OCCUPIED",'Master Stock'!$K$2:K303,""),"")</f>
        <v/>
      </c>
      <c r="V303" s="149">
        <f>IF(AND('Master Stock'!D303&lt;&gt;"",'Master Stock'!H303="OCCUPIED",ISNUMBER('Master Stock'!L303),'Master Stock'!L303&lt;TODAY()-30),SUMPRODUCT(--('Master Stock'!$D$2:$D$1000&lt;&gt;""),--('Master Stock'!$H$2:$H$1000="OCCUPIED"),--ISNUMBER('Master Stock'!$L$2:$L$1000),--('Master Stock'!$L$2:$L$1000&lt;TODAY()-30),--('Master Stock'!$L$2:$L$1000&lt;'Master Stock'!L303))+COUNTIFS('Master Stock'!$L$2:L303,'Master Stock'!L303,'Master Stock'!$D$2:D303,"&lt;&gt;",'Master Stock'!$H$2:H303,"OCCUPIED"),"")</f>
        <v/>
      </c>
      <c r="W303" s="149" t="n"/>
      <c r="X303" s="149" t="n"/>
      <c r="Y303" s="149" t="n"/>
      <c r="Z303" s="149" t="n"/>
    </row>
    <row r="304" ht="15.75" customHeight="1" s="236">
      <c r="A304" s="148" t="n"/>
      <c r="B304" s="148" t="n"/>
      <c r="C304" s="124" t="n"/>
      <c r="D304" s="148" t="n"/>
      <c r="E304" s="148" t="n"/>
      <c r="F304" s="148" t="n"/>
      <c r="G304" s="124" t="n"/>
      <c r="H304" s="148" t="n"/>
      <c r="I304" s="148" t="n"/>
      <c r="J304" s="148" t="n"/>
      <c r="K304" s="148" t="n"/>
      <c r="L304" s="148" t="n"/>
      <c r="M304" s="148" t="n"/>
      <c r="N304" s="148" t="n"/>
      <c r="O304" s="148" t="n"/>
      <c r="P304" s="148" t="n"/>
      <c r="Q304" s="148" t="n"/>
      <c r="R304" s="148" t="n"/>
      <c r="S304" s="148" t="n"/>
      <c r="T304" s="148" t="n"/>
      <c r="U304" s="149">
        <f>IF(AND('Master Stock'!D304&lt;&gt;"",'Master Stock'!H304="OCCUPIED",ISNUMBER('Master Stock'!J304),'Master Stock'!K304=""),SUMPRODUCT(--('Master Stock'!$D$2:$D$1000&lt;&gt;""),--('Master Stock'!$H$2:$H$1000="OCCUPIED"),--ISNUMBER('Master Stock'!$J$2:$J$1000),--('Master Stock'!$K$2:$K$1000=""),--('Master Stock'!$J$2:$J$1000&lt;'Master Stock'!J304))+COUNTIFS('Master Stock'!$J$2:J304,'Master Stock'!J304,'Master Stock'!$D$2:D304,"&lt;&gt;",'Master Stock'!$H$2:H304,"OCCUPIED",'Master Stock'!$K$2:K304,""),"")</f>
        <v/>
      </c>
      <c r="V304" s="149">
        <f>IF(AND('Master Stock'!D304&lt;&gt;"",'Master Stock'!H304="OCCUPIED",ISNUMBER('Master Stock'!L304),'Master Stock'!L304&lt;TODAY()-30),SUMPRODUCT(--('Master Stock'!$D$2:$D$1000&lt;&gt;""),--('Master Stock'!$H$2:$H$1000="OCCUPIED"),--ISNUMBER('Master Stock'!$L$2:$L$1000),--('Master Stock'!$L$2:$L$1000&lt;TODAY()-30),--('Master Stock'!$L$2:$L$1000&lt;'Master Stock'!L304))+COUNTIFS('Master Stock'!$L$2:L304,'Master Stock'!L304,'Master Stock'!$D$2:D304,"&lt;&gt;",'Master Stock'!$H$2:H304,"OCCUPIED"),"")</f>
        <v/>
      </c>
      <c r="W304" s="149" t="n"/>
      <c r="X304" s="149" t="n"/>
      <c r="Y304" s="149" t="n"/>
      <c r="Z304" s="149" t="n"/>
    </row>
    <row r="305" ht="15.75" customHeight="1" s="236">
      <c r="A305" s="148" t="n"/>
      <c r="B305" s="148" t="n"/>
      <c r="C305" s="124" t="n"/>
      <c r="D305" s="148" t="n"/>
      <c r="E305" s="148" t="n"/>
      <c r="F305" s="148" t="n"/>
      <c r="G305" s="124" t="n"/>
      <c r="H305" s="148" t="n"/>
      <c r="I305" s="148" t="n"/>
      <c r="J305" s="148" t="n"/>
      <c r="K305" s="148" t="n"/>
      <c r="L305" s="148" t="n"/>
      <c r="M305" s="148" t="n"/>
      <c r="N305" s="148" t="n"/>
      <c r="O305" s="148" t="n"/>
      <c r="P305" s="148" t="n"/>
      <c r="Q305" s="148" t="n"/>
      <c r="R305" s="148" t="n"/>
      <c r="S305" s="148" t="n"/>
      <c r="T305" s="148" t="n"/>
      <c r="U305" s="149">
        <f>IF(AND('Master Stock'!D305&lt;&gt;"",'Master Stock'!H305="OCCUPIED",ISNUMBER('Master Stock'!J305),'Master Stock'!K305=""),SUMPRODUCT(--('Master Stock'!$D$2:$D$1000&lt;&gt;""),--('Master Stock'!$H$2:$H$1000="OCCUPIED"),--ISNUMBER('Master Stock'!$J$2:$J$1000),--('Master Stock'!$K$2:$K$1000=""),--('Master Stock'!$J$2:$J$1000&lt;'Master Stock'!J305))+COUNTIFS('Master Stock'!$J$2:J305,'Master Stock'!J305,'Master Stock'!$D$2:D305,"&lt;&gt;",'Master Stock'!$H$2:H305,"OCCUPIED",'Master Stock'!$K$2:K305,""),"")</f>
        <v/>
      </c>
      <c r="V305" s="149">
        <f>IF(AND('Master Stock'!D305&lt;&gt;"",'Master Stock'!H305="OCCUPIED",ISNUMBER('Master Stock'!L305),'Master Stock'!L305&lt;TODAY()-30),SUMPRODUCT(--('Master Stock'!$D$2:$D$1000&lt;&gt;""),--('Master Stock'!$H$2:$H$1000="OCCUPIED"),--ISNUMBER('Master Stock'!$L$2:$L$1000),--('Master Stock'!$L$2:$L$1000&lt;TODAY()-30),--('Master Stock'!$L$2:$L$1000&lt;'Master Stock'!L305))+COUNTIFS('Master Stock'!$L$2:L305,'Master Stock'!L305,'Master Stock'!$D$2:D305,"&lt;&gt;",'Master Stock'!$H$2:H305,"OCCUPIED"),"")</f>
        <v/>
      </c>
      <c r="W305" s="149" t="n"/>
      <c r="X305" s="149" t="n"/>
      <c r="Y305" s="149" t="n"/>
      <c r="Z305" s="149" t="n"/>
    </row>
    <row r="306" ht="15.75" customHeight="1" s="236">
      <c r="A306" s="148" t="n"/>
      <c r="B306" s="148" t="n"/>
      <c r="C306" s="124" t="n"/>
      <c r="D306" s="148" t="n"/>
      <c r="E306" s="148" t="n"/>
      <c r="F306" s="148" t="n"/>
      <c r="G306" s="124" t="n"/>
      <c r="H306" s="148" t="n"/>
      <c r="I306" s="148" t="n"/>
      <c r="J306" s="148" t="n"/>
      <c r="K306" s="148" t="n"/>
      <c r="L306" s="148" t="n"/>
      <c r="M306" s="148" t="n"/>
      <c r="N306" s="148" t="n"/>
      <c r="O306" s="148" t="n"/>
      <c r="P306" s="148" t="n"/>
      <c r="Q306" s="148" t="n"/>
      <c r="R306" s="148" t="n"/>
      <c r="S306" s="148" t="n"/>
      <c r="T306" s="148" t="n"/>
      <c r="U306" s="149">
        <f>IF(AND('Master Stock'!D306&lt;&gt;"",'Master Stock'!H306="OCCUPIED",ISNUMBER('Master Stock'!J306),'Master Stock'!K306=""),SUMPRODUCT(--('Master Stock'!$D$2:$D$1000&lt;&gt;""),--('Master Stock'!$H$2:$H$1000="OCCUPIED"),--ISNUMBER('Master Stock'!$J$2:$J$1000),--('Master Stock'!$K$2:$K$1000=""),--('Master Stock'!$J$2:$J$1000&lt;'Master Stock'!J306))+COUNTIFS('Master Stock'!$J$2:J306,'Master Stock'!J306,'Master Stock'!$D$2:D306,"&lt;&gt;",'Master Stock'!$H$2:H306,"OCCUPIED",'Master Stock'!$K$2:K306,""),"")</f>
        <v/>
      </c>
      <c r="V306" s="149">
        <f>IF(AND('Master Stock'!D306&lt;&gt;"",'Master Stock'!H306="OCCUPIED",ISNUMBER('Master Stock'!L306),'Master Stock'!L306&lt;TODAY()-30),SUMPRODUCT(--('Master Stock'!$D$2:$D$1000&lt;&gt;""),--('Master Stock'!$H$2:$H$1000="OCCUPIED"),--ISNUMBER('Master Stock'!$L$2:$L$1000),--('Master Stock'!$L$2:$L$1000&lt;TODAY()-30),--('Master Stock'!$L$2:$L$1000&lt;'Master Stock'!L306))+COUNTIFS('Master Stock'!$L$2:L306,'Master Stock'!L306,'Master Stock'!$D$2:D306,"&lt;&gt;",'Master Stock'!$H$2:H306,"OCCUPIED"),"")</f>
        <v/>
      </c>
      <c r="W306" s="149" t="n"/>
      <c r="X306" s="149" t="n"/>
      <c r="Y306" s="149" t="n"/>
      <c r="Z306" s="149" t="n"/>
    </row>
    <row r="307" ht="15.75" customHeight="1" s="236">
      <c r="A307" s="148" t="n"/>
      <c r="B307" s="148" t="n"/>
      <c r="C307" s="124" t="n"/>
      <c r="D307" s="148" t="n"/>
      <c r="E307" s="148" t="n"/>
      <c r="F307" s="148" t="n"/>
      <c r="G307" s="124" t="n"/>
      <c r="H307" s="148" t="n"/>
      <c r="I307" s="148" t="n"/>
      <c r="J307" s="148" t="n"/>
      <c r="K307" s="148" t="n"/>
      <c r="L307" s="148" t="n"/>
      <c r="M307" s="148" t="n"/>
      <c r="N307" s="148" t="n"/>
      <c r="O307" s="148" t="n"/>
      <c r="P307" s="148" t="n"/>
      <c r="Q307" s="148" t="n"/>
      <c r="R307" s="148" t="n"/>
      <c r="S307" s="148" t="n"/>
      <c r="T307" s="148" t="n"/>
      <c r="U307" s="149">
        <f>IF(AND('Master Stock'!D307&lt;&gt;"",'Master Stock'!H307="OCCUPIED",ISNUMBER('Master Stock'!J307),'Master Stock'!K307=""),SUMPRODUCT(--('Master Stock'!$D$2:$D$1000&lt;&gt;""),--('Master Stock'!$H$2:$H$1000="OCCUPIED"),--ISNUMBER('Master Stock'!$J$2:$J$1000),--('Master Stock'!$K$2:$K$1000=""),--('Master Stock'!$J$2:$J$1000&lt;'Master Stock'!J307))+COUNTIFS('Master Stock'!$J$2:J307,'Master Stock'!J307,'Master Stock'!$D$2:D307,"&lt;&gt;",'Master Stock'!$H$2:H307,"OCCUPIED",'Master Stock'!$K$2:K307,""),"")</f>
        <v/>
      </c>
      <c r="V307" s="149">
        <f>IF(AND('Master Stock'!D307&lt;&gt;"",'Master Stock'!H307="OCCUPIED",ISNUMBER('Master Stock'!L307),'Master Stock'!L307&lt;TODAY()-30),SUMPRODUCT(--('Master Stock'!$D$2:$D$1000&lt;&gt;""),--('Master Stock'!$H$2:$H$1000="OCCUPIED"),--ISNUMBER('Master Stock'!$L$2:$L$1000),--('Master Stock'!$L$2:$L$1000&lt;TODAY()-30),--('Master Stock'!$L$2:$L$1000&lt;'Master Stock'!L307))+COUNTIFS('Master Stock'!$L$2:L307,'Master Stock'!L307,'Master Stock'!$D$2:D307,"&lt;&gt;",'Master Stock'!$H$2:H307,"OCCUPIED"),"")</f>
        <v/>
      </c>
      <c r="W307" s="149" t="n"/>
      <c r="X307" s="149" t="n"/>
      <c r="Y307" s="149" t="n"/>
      <c r="Z307" s="149" t="n"/>
    </row>
    <row r="308" ht="15.75" customHeight="1" s="236">
      <c r="A308" s="148" t="n"/>
      <c r="B308" s="148" t="n"/>
      <c r="C308" s="124" t="n"/>
      <c r="D308" s="148" t="n"/>
      <c r="E308" s="148" t="n"/>
      <c r="F308" s="148" t="n"/>
      <c r="G308" s="124" t="n"/>
      <c r="H308" s="148" t="n"/>
      <c r="I308" s="148" t="n"/>
      <c r="J308" s="148" t="n"/>
      <c r="K308" s="148" t="n"/>
      <c r="L308" s="148" t="n"/>
      <c r="M308" s="148" t="n"/>
      <c r="N308" s="148" t="n"/>
      <c r="O308" s="148" t="n"/>
      <c r="P308" s="148" t="n"/>
      <c r="Q308" s="148" t="n"/>
      <c r="R308" s="148" t="n"/>
      <c r="S308" s="148" t="n"/>
      <c r="T308" s="148" t="n"/>
      <c r="U308" s="149">
        <f>IF(AND('Master Stock'!D308&lt;&gt;"",'Master Stock'!H308="OCCUPIED",ISNUMBER('Master Stock'!J308),'Master Stock'!K308=""),SUMPRODUCT(--('Master Stock'!$D$2:$D$1000&lt;&gt;""),--('Master Stock'!$H$2:$H$1000="OCCUPIED"),--ISNUMBER('Master Stock'!$J$2:$J$1000),--('Master Stock'!$K$2:$K$1000=""),--('Master Stock'!$J$2:$J$1000&lt;'Master Stock'!J308))+COUNTIFS('Master Stock'!$J$2:J308,'Master Stock'!J308,'Master Stock'!$D$2:D308,"&lt;&gt;",'Master Stock'!$H$2:H308,"OCCUPIED",'Master Stock'!$K$2:K308,""),"")</f>
        <v/>
      </c>
      <c r="V308" s="149">
        <f>IF(AND('Master Stock'!D308&lt;&gt;"",'Master Stock'!H308="OCCUPIED",ISNUMBER('Master Stock'!L308),'Master Stock'!L308&lt;TODAY()-30),SUMPRODUCT(--('Master Stock'!$D$2:$D$1000&lt;&gt;""),--('Master Stock'!$H$2:$H$1000="OCCUPIED"),--ISNUMBER('Master Stock'!$L$2:$L$1000),--('Master Stock'!$L$2:$L$1000&lt;TODAY()-30),--('Master Stock'!$L$2:$L$1000&lt;'Master Stock'!L308))+COUNTIFS('Master Stock'!$L$2:L308,'Master Stock'!L308,'Master Stock'!$D$2:D308,"&lt;&gt;",'Master Stock'!$H$2:H308,"OCCUPIED"),"")</f>
        <v/>
      </c>
      <c r="W308" s="149" t="n"/>
      <c r="X308" s="149" t="n"/>
      <c r="Y308" s="149" t="n"/>
      <c r="Z308" s="149" t="n"/>
    </row>
    <row r="309" ht="15.75" customHeight="1" s="236">
      <c r="A309" s="148" t="n"/>
      <c r="B309" s="148" t="n"/>
      <c r="C309" s="124" t="n"/>
      <c r="D309" s="148" t="n"/>
      <c r="E309" s="148" t="n"/>
      <c r="F309" s="148" t="n"/>
      <c r="G309" s="124" t="n"/>
      <c r="H309" s="148" t="n"/>
      <c r="I309" s="148" t="n"/>
      <c r="J309" s="148" t="n"/>
      <c r="K309" s="148" t="n"/>
      <c r="L309" s="148" t="n"/>
      <c r="M309" s="148" t="n"/>
      <c r="N309" s="148" t="n"/>
      <c r="O309" s="148" t="n"/>
      <c r="P309" s="148" t="n"/>
      <c r="Q309" s="148" t="n"/>
      <c r="R309" s="148" t="n"/>
      <c r="S309" s="148" t="n"/>
      <c r="T309" s="148" t="n"/>
      <c r="U309" s="149">
        <f>IF(AND('Master Stock'!D309&lt;&gt;"",'Master Stock'!H309="OCCUPIED",ISNUMBER('Master Stock'!J309),'Master Stock'!K309=""),SUMPRODUCT(--('Master Stock'!$D$2:$D$1000&lt;&gt;""),--('Master Stock'!$H$2:$H$1000="OCCUPIED"),--ISNUMBER('Master Stock'!$J$2:$J$1000),--('Master Stock'!$K$2:$K$1000=""),--('Master Stock'!$J$2:$J$1000&lt;'Master Stock'!J309))+COUNTIFS('Master Stock'!$J$2:J309,'Master Stock'!J309,'Master Stock'!$D$2:D309,"&lt;&gt;",'Master Stock'!$H$2:H309,"OCCUPIED",'Master Stock'!$K$2:K309,""),"")</f>
        <v/>
      </c>
      <c r="V309" s="149">
        <f>IF(AND('Master Stock'!D309&lt;&gt;"",'Master Stock'!H309="OCCUPIED",ISNUMBER('Master Stock'!L309),'Master Stock'!L309&lt;TODAY()-30),SUMPRODUCT(--('Master Stock'!$D$2:$D$1000&lt;&gt;""),--('Master Stock'!$H$2:$H$1000="OCCUPIED"),--ISNUMBER('Master Stock'!$L$2:$L$1000),--('Master Stock'!$L$2:$L$1000&lt;TODAY()-30),--('Master Stock'!$L$2:$L$1000&lt;'Master Stock'!L309))+COUNTIFS('Master Stock'!$L$2:L309,'Master Stock'!L309,'Master Stock'!$D$2:D309,"&lt;&gt;",'Master Stock'!$H$2:H309,"OCCUPIED"),"")</f>
        <v/>
      </c>
      <c r="W309" s="149" t="n"/>
      <c r="X309" s="149" t="n"/>
      <c r="Y309" s="149" t="n"/>
      <c r="Z309" s="149" t="n"/>
    </row>
    <row r="310" ht="15.75" customHeight="1" s="236">
      <c r="A310" s="148" t="n"/>
      <c r="B310" s="148" t="n"/>
      <c r="C310" s="124" t="n"/>
      <c r="D310" s="148" t="n"/>
      <c r="E310" s="148" t="n"/>
      <c r="F310" s="148" t="n"/>
      <c r="G310" s="124" t="n"/>
      <c r="H310" s="148" t="n"/>
      <c r="I310" s="148" t="n"/>
      <c r="J310" s="148" t="n"/>
      <c r="K310" s="148" t="n"/>
      <c r="L310" s="148" t="n"/>
      <c r="M310" s="148" t="n"/>
      <c r="N310" s="148" t="n"/>
      <c r="O310" s="148" t="n"/>
      <c r="P310" s="148" t="n"/>
      <c r="Q310" s="148" t="n"/>
      <c r="R310" s="148" t="n"/>
      <c r="S310" s="148" t="n"/>
      <c r="T310" s="148" t="n"/>
      <c r="U310" s="149">
        <f>IF(AND('Master Stock'!D310&lt;&gt;"",'Master Stock'!H310="OCCUPIED",ISNUMBER('Master Stock'!J310),'Master Stock'!K310=""),SUMPRODUCT(--('Master Stock'!$D$2:$D$1000&lt;&gt;""),--('Master Stock'!$H$2:$H$1000="OCCUPIED"),--ISNUMBER('Master Stock'!$J$2:$J$1000),--('Master Stock'!$K$2:$K$1000=""),--('Master Stock'!$J$2:$J$1000&lt;'Master Stock'!J310))+COUNTIFS('Master Stock'!$J$2:J310,'Master Stock'!J310,'Master Stock'!$D$2:D310,"&lt;&gt;",'Master Stock'!$H$2:H310,"OCCUPIED",'Master Stock'!$K$2:K310,""),"")</f>
        <v/>
      </c>
      <c r="V310" s="149">
        <f>IF(AND('Master Stock'!D310&lt;&gt;"",'Master Stock'!H310="OCCUPIED",ISNUMBER('Master Stock'!L310),'Master Stock'!L310&lt;TODAY()-30),SUMPRODUCT(--('Master Stock'!$D$2:$D$1000&lt;&gt;""),--('Master Stock'!$H$2:$H$1000="OCCUPIED"),--ISNUMBER('Master Stock'!$L$2:$L$1000),--('Master Stock'!$L$2:$L$1000&lt;TODAY()-30),--('Master Stock'!$L$2:$L$1000&lt;'Master Stock'!L310))+COUNTIFS('Master Stock'!$L$2:L310,'Master Stock'!L310,'Master Stock'!$D$2:D310,"&lt;&gt;",'Master Stock'!$H$2:H310,"OCCUPIED"),"")</f>
        <v/>
      </c>
      <c r="W310" s="149" t="n"/>
      <c r="X310" s="149" t="n"/>
      <c r="Y310" s="149" t="n"/>
      <c r="Z310" s="149" t="n"/>
    </row>
    <row r="311" ht="15.75" customHeight="1" s="236">
      <c r="A311" s="148" t="n"/>
      <c r="B311" s="148" t="n"/>
      <c r="C311" s="124" t="n"/>
      <c r="D311" s="148" t="n"/>
      <c r="E311" s="148" t="n"/>
      <c r="F311" s="148" t="n"/>
      <c r="G311" s="124" t="n"/>
      <c r="H311" s="148" t="n"/>
      <c r="I311" s="148" t="n"/>
      <c r="J311" s="148" t="n"/>
      <c r="K311" s="148" t="n"/>
      <c r="L311" s="148" t="n"/>
      <c r="M311" s="148" t="n"/>
      <c r="N311" s="148" t="n"/>
      <c r="O311" s="148" t="n"/>
      <c r="P311" s="148" t="n"/>
      <c r="Q311" s="148" t="n"/>
      <c r="R311" s="148" t="n"/>
      <c r="S311" s="148" t="n"/>
      <c r="T311" s="148" t="n"/>
      <c r="U311" s="149">
        <f>IF(AND('Master Stock'!D311&lt;&gt;"",'Master Stock'!H311="OCCUPIED",ISNUMBER('Master Stock'!J311),'Master Stock'!K311=""),SUMPRODUCT(--('Master Stock'!$D$2:$D$1000&lt;&gt;""),--('Master Stock'!$H$2:$H$1000="OCCUPIED"),--ISNUMBER('Master Stock'!$J$2:$J$1000),--('Master Stock'!$K$2:$K$1000=""),--('Master Stock'!$J$2:$J$1000&lt;'Master Stock'!J311))+COUNTIFS('Master Stock'!$J$2:J311,'Master Stock'!J311,'Master Stock'!$D$2:D311,"&lt;&gt;",'Master Stock'!$H$2:H311,"OCCUPIED",'Master Stock'!$K$2:K311,""),"")</f>
        <v/>
      </c>
      <c r="V311" s="149">
        <f>IF(AND('Master Stock'!D311&lt;&gt;"",'Master Stock'!H311="OCCUPIED",ISNUMBER('Master Stock'!L311),'Master Stock'!L311&lt;TODAY()-30),SUMPRODUCT(--('Master Stock'!$D$2:$D$1000&lt;&gt;""),--('Master Stock'!$H$2:$H$1000="OCCUPIED"),--ISNUMBER('Master Stock'!$L$2:$L$1000),--('Master Stock'!$L$2:$L$1000&lt;TODAY()-30),--('Master Stock'!$L$2:$L$1000&lt;'Master Stock'!L311))+COUNTIFS('Master Stock'!$L$2:L311,'Master Stock'!L311,'Master Stock'!$D$2:D311,"&lt;&gt;",'Master Stock'!$H$2:H311,"OCCUPIED"),"")</f>
        <v/>
      </c>
      <c r="W311" s="149" t="n"/>
      <c r="X311" s="149" t="n"/>
      <c r="Y311" s="149" t="n"/>
      <c r="Z311" s="149" t="n"/>
    </row>
    <row r="312" ht="15.75" customHeight="1" s="236">
      <c r="A312" s="148" t="n"/>
      <c r="B312" s="148" t="n"/>
      <c r="C312" s="124" t="n"/>
      <c r="D312" s="148" t="n"/>
      <c r="E312" s="148" t="n"/>
      <c r="F312" s="148" t="n"/>
      <c r="G312" s="124" t="n"/>
      <c r="H312" s="148" t="n"/>
      <c r="I312" s="148" t="n"/>
      <c r="J312" s="148" t="n"/>
      <c r="K312" s="148" t="n"/>
      <c r="L312" s="148" t="n"/>
      <c r="M312" s="148" t="n"/>
      <c r="N312" s="148" t="n"/>
      <c r="O312" s="148" t="n"/>
      <c r="P312" s="148" t="n"/>
      <c r="Q312" s="148" t="n"/>
      <c r="R312" s="148" t="n"/>
      <c r="S312" s="148" t="n"/>
      <c r="T312" s="148" t="n"/>
      <c r="U312" s="149">
        <f>IF(AND('Master Stock'!D312&lt;&gt;"",'Master Stock'!H312="OCCUPIED",ISNUMBER('Master Stock'!J312),'Master Stock'!K312=""),SUMPRODUCT(--('Master Stock'!$D$2:$D$1000&lt;&gt;""),--('Master Stock'!$H$2:$H$1000="OCCUPIED"),--ISNUMBER('Master Stock'!$J$2:$J$1000),--('Master Stock'!$K$2:$K$1000=""),--('Master Stock'!$J$2:$J$1000&lt;'Master Stock'!J312))+COUNTIFS('Master Stock'!$J$2:J312,'Master Stock'!J312,'Master Stock'!$D$2:D312,"&lt;&gt;",'Master Stock'!$H$2:H312,"OCCUPIED",'Master Stock'!$K$2:K312,""),"")</f>
        <v/>
      </c>
      <c r="V312" s="149">
        <f>IF(AND('Master Stock'!D312&lt;&gt;"",'Master Stock'!H312="OCCUPIED",ISNUMBER('Master Stock'!L312),'Master Stock'!L312&lt;TODAY()-30),SUMPRODUCT(--('Master Stock'!$D$2:$D$1000&lt;&gt;""),--('Master Stock'!$H$2:$H$1000="OCCUPIED"),--ISNUMBER('Master Stock'!$L$2:$L$1000),--('Master Stock'!$L$2:$L$1000&lt;TODAY()-30),--('Master Stock'!$L$2:$L$1000&lt;'Master Stock'!L312))+COUNTIFS('Master Stock'!$L$2:L312,'Master Stock'!L312,'Master Stock'!$D$2:D312,"&lt;&gt;",'Master Stock'!$H$2:H312,"OCCUPIED"),"")</f>
        <v/>
      </c>
      <c r="W312" s="149" t="n"/>
      <c r="X312" s="149" t="n"/>
      <c r="Y312" s="149" t="n"/>
      <c r="Z312" s="149" t="n"/>
    </row>
    <row r="313" ht="15.75" customHeight="1" s="236">
      <c r="A313" s="148" t="n"/>
      <c r="B313" s="148" t="n"/>
      <c r="C313" s="124" t="n"/>
      <c r="D313" s="148" t="n"/>
      <c r="E313" s="148" t="n"/>
      <c r="F313" s="148" t="n"/>
      <c r="G313" s="124" t="n"/>
      <c r="H313" s="148" t="n"/>
      <c r="I313" s="148" t="n"/>
      <c r="J313" s="148" t="n"/>
      <c r="K313" s="148" t="n"/>
      <c r="L313" s="148" t="n"/>
      <c r="M313" s="148" t="n"/>
      <c r="N313" s="148" t="n"/>
      <c r="O313" s="148" t="n"/>
      <c r="P313" s="148" t="n"/>
      <c r="Q313" s="148" t="n"/>
      <c r="R313" s="148" t="n"/>
      <c r="S313" s="148" t="n"/>
      <c r="T313" s="148" t="n"/>
      <c r="U313" s="149">
        <f>IF(AND('Master Stock'!D313&lt;&gt;"",'Master Stock'!H313="OCCUPIED",ISNUMBER('Master Stock'!J313),'Master Stock'!K313=""),SUMPRODUCT(--('Master Stock'!$D$2:$D$1000&lt;&gt;""),--('Master Stock'!$H$2:$H$1000="OCCUPIED"),--ISNUMBER('Master Stock'!$J$2:$J$1000),--('Master Stock'!$K$2:$K$1000=""),--('Master Stock'!$J$2:$J$1000&lt;'Master Stock'!J313))+COUNTIFS('Master Stock'!$J$2:J313,'Master Stock'!J313,'Master Stock'!$D$2:D313,"&lt;&gt;",'Master Stock'!$H$2:H313,"OCCUPIED",'Master Stock'!$K$2:K313,""),"")</f>
        <v/>
      </c>
      <c r="V313" s="149">
        <f>IF(AND('Master Stock'!D313&lt;&gt;"",'Master Stock'!H313="OCCUPIED",ISNUMBER('Master Stock'!L313),'Master Stock'!L313&lt;TODAY()-30),SUMPRODUCT(--('Master Stock'!$D$2:$D$1000&lt;&gt;""),--('Master Stock'!$H$2:$H$1000="OCCUPIED"),--ISNUMBER('Master Stock'!$L$2:$L$1000),--('Master Stock'!$L$2:$L$1000&lt;TODAY()-30),--('Master Stock'!$L$2:$L$1000&lt;'Master Stock'!L313))+COUNTIFS('Master Stock'!$L$2:L313,'Master Stock'!L313,'Master Stock'!$D$2:D313,"&lt;&gt;",'Master Stock'!$H$2:H313,"OCCUPIED"),"")</f>
        <v/>
      </c>
      <c r="W313" s="149" t="n"/>
      <c r="X313" s="149" t="n"/>
      <c r="Y313" s="149" t="n"/>
      <c r="Z313" s="149" t="n"/>
    </row>
    <row r="314" ht="15.75" customHeight="1" s="236">
      <c r="A314" s="148" t="n"/>
      <c r="B314" s="148" t="n"/>
      <c r="C314" s="124" t="n"/>
      <c r="D314" s="148" t="n"/>
      <c r="E314" s="148" t="n"/>
      <c r="F314" s="148" t="n"/>
      <c r="G314" s="124" t="n"/>
      <c r="H314" s="148" t="n"/>
      <c r="I314" s="148" t="n"/>
      <c r="J314" s="148" t="n"/>
      <c r="K314" s="148" t="n"/>
      <c r="L314" s="148" t="n"/>
      <c r="M314" s="148" t="n"/>
      <c r="N314" s="148" t="n"/>
      <c r="O314" s="148" t="n"/>
      <c r="P314" s="148" t="n"/>
      <c r="Q314" s="148" t="n"/>
      <c r="R314" s="148" t="n"/>
      <c r="S314" s="148" t="n"/>
      <c r="T314" s="148" t="n"/>
      <c r="U314" s="149">
        <f>IF(AND('Master Stock'!D314&lt;&gt;"",'Master Stock'!H314="OCCUPIED",ISNUMBER('Master Stock'!J314),'Master Stock'!K314=""),SUMPRODUCT(--('Master Stock'!$D$2:$D$1000&lt;&gt;""),--('Master Stock'!$H$2:$H$1000="OCCUPIED"),--ISNUMBER('Master Stock'!$J$2:$J$1000),--('Master Stock'!$K$2:$K$1000=""),--('Master Stock'!$J$2:$J$1000&lt;'Master Stock'!J314))+COUNTIFS('Master Stock'!$J$2:J314,'Master Stock'!J314,'Master Stock'!$D$2:D314,"&lt;&gt;",'Master Stock'!$H$2:H314,"OCCUPIED",'Master Stock'!$K$2:K314,""),"")</f>
        <v/>
      </c>
      <c r="V314" s="149">
        <f>IF(AND('Master Stock'!D314&lt;&gt;"",'Master Stock'!H314="OCCUPIED",ISNUMBER('Master Stock'!L314),'Master Stock'!L314&lt;TODAY()-30),SUMPRODUCT(--('Master Stock'!$D$2:$D$1000&lt;&gt;""),--('Master Stock'!$H$2:$H$1000="OCCUPIED"),--ISNUMBER('Master Stock'!$L$2:$L$1000),--('Master Stock'!$L$2:$L$1000&lt;TODAY()-30),--('Master Stock'!$L$2:$L$1000&lt;'Master Stock'!L314))+COUNTIFS('Master Stock'!$L$2:L314,'Master Stock'!L314,'Master Stock'!$D$2:D314,"&lt;&gt;",'Master Stock'!$H$2:H314,"OCCUPIED"),"")</f>
        <v/>
      </c>
      <c r="W314" s="149" t="n"/>
      <c r="X314" s="149" t="n"/>
      <c r="Y314" s="149" t="n"/>
      <c r="Z314" s="149" t="n"/>
    </row>
    <row r="315" ht="15.75" customHeight="1" s="236">
      <c r="A315" s="148" t="n"/>
      <c r="B315" s="148" t="n"/>
      <c r="C315" s="124" t="n"/>
      <c r="D315" s="148" t="n"/>
      <c r="E315" s="148" t="n"/>
      <c r="F315" s="148" t="n"/>
      <c r="G315" s="124" t="n"/>
      <c r="H315" s="148" t="n"/>
      <c r="I315" s="148" t="n"/>
      <c r="J315" s="148" t="n"/>
      <c r="K315" s="148" t="n"/>
      <c r="L315" s="148" t="n"/>
      <c r="M315" s="148" t="n"/>
      <c r="N315" s="148" t="n"/>
      <c r="O315" s="148" t="n"/>
      <c r="P315" s="148" t="n"/>
      <c r="Q315" s="148" t="n"/>
      <c r="R315" s="148" t="n"/>
      <c r="S315" s="148" t="n"/>
      <c r="T315" s="148" t="n"/>
      <c r="U315" s="149">
        <f>IF(AND('Master Stock'!D315&lt;&gt;"",'Master Stock'!H315="OCCUPIED",ISNUMBER('Master Stock'!J315),'Master Stock'!K315=""),SUMPRODUCT(--('Master Stock'!$D$2:$D$1000&lt;&gt;""),--('Master Stock'!$H$2:$H$1000="OCCUPIED"),--ISNUMBER('Master Stock'!$J$2:$J$1000),--('Master Stock'!$K$2:$K$1000=""),--('Master Stock'!$J$2:$J$1000&lt;'Master Stock'!J315))+COUNTIFS('Master Stock'!$J$2:J315,'Master Stock'!J315,'Master Stock'!$D$2:D315,"&lt;&gt;",'Master Stock'!$H$2:H315,"OCCUPIED",'Master Stock'!$K$2:K315,""),"")</f>
        <v/>
      </c>
      <c r="V315" s="149">
        <f>IF(AND('Master Stock'!D315&lt;&gt;"",'Master Stock'!H315="OCCUPIED",ISNUMBER('Master Stock'!L315),'Master Stock'!L315&lt;TODAY()-30),SUMPRODUCT(--('Master Stock'!$D$2:$D$1000&lt;&gt;""),--('Master Stock'!$H$2:$H$1000="OCCUPIED"),--ISNUMBER('Master Stock'!$L$2:$L$1000),--('Master Stock'!$L$2:$L$1000&lt;TODAY()-30),--('Master Stock'!$L$2:$L$1000&lt;'Master Stock'!L315))+COUNTIFS('Master Stock'!$L$2:L315,'Master Stock'!L315,'Master Stock'!$D$2:D315,"&lt;&gt;",'Master Stock'!$H$2:H315,"OCCUPIED"),"")</f>
        <v/>
      </c>
      <c r="W315" s="149" t="n"/>
      <c r="X315" s="149" t="n"/>
      <c r="Y315" s="149" t="n"/>
      <c r="Z315" s="149" t="n"/>
    </row>
    <row r="316" ht="15.75" customHeight="1" s="236">
      <c r="A316" s="148" t="n"/>
      <c r="B316" s="148" t="n"/>
      <c r="C316" s="124" t="n"/>
      <c r="D316" s="148" t="n"/>
      <c r="E316" s="148" t="n"/>
      <c r="F316" s="148" t="n"/>
      <c r="G316" s="124" t="n"/>
      <c r="H316" s="148" t="n"/>
      <c r="I316" s="148" t="n"/>
      <c r="J316" s="148" t="n"/>
      <c r="K316" s="148" t="n"/>
      <c r="L316" s="148" t="n"/>
      <c r="M316" s="148" t="n"/>
      <c r="N316" s="148" t="n"/>
      <c r="O316" s="148" t="n"/>
      <c r="P316" s="148" t="n"/>
      <c r="Q316" s="148" t="n"/>
      <c r="R316" s="148" t="n"/>
      <c r="S316" s="148" t="n"/>
      <c r="T316" s="148" t="n"/>
      <c r="U316" s="149">
        <f>IF(AND('Master Stock'!D316&lt;&gt;"",'Master Stock'!H316="OCCUPIED",ISNUMBER('Master Stock'!J316),'Master Stock'!K316=""),SUMPRODUCT(--('Master Stock'!$D$2:$D$1000&lt;&gt;""),--('Master Stock'!$H$2:$H$1000="OCCUPIED"),--ISNUMBER('Master Stock'!$J$2:$J$1000),--('Master Stock'!$K$2:$K$1000=""),--('Master Stock'!$J$2:$J$1000&lt;'Master Stock'!J316))+COUNTIFS('Master Stock'!$J$2:J316,'Master Stock'!J316,'Master Stock'!$D$2:D316,"&lt;&gt;",'Master Stock'!$H$2:H316,"OCCUPIED",'Master Stock'!$K$2:K316,""),"")</f>
        <v/>
      </c>
      <c r="V316" s="149">
        <f>IF(AND('Master Stock'!D316&lt;&gt;"",'Master Stock'!H316="OCCUPIED",ISNUMBER('Master Stock'!L316),'Master Stock'!L316&lt;TODAY()-30),SUMPRODUCT(--('Master Stock'!$D$2:$D$1000&lt;&gt;""),--('Master Stock'!$H$2:$H$1000="OCCUPIED"),--ISNUMBER('Master Stock'!$L$2:$L$1000),--('Master Stock'!$L$2:$L$1000&lt;TODAY()-30),--('Master Stock'!$L$2:$L$1000&lt;'Master Stock'!L316))+COUNTIFS('Master Stock'!$L$2:L316,'Master Stock'!L316,'Master Stock'!$D$2:D316,"&lt;&gt;",'Master Stock'!$H$2:H316,"OCCUPIED"),"")</f>
        <v/>
      </c>
      <c r="W316" s="149" t="n"/>
      <c r="X316" s="149" t="n"/>
      <c r="Y316" s="149" t="n"/>
      <c r="Z316" s="149" t="n"/>
    </row>
    <row r="317" ht="15.75" customHeight="1" s="236">
      <c r="A317" s="148" t="n"/>
      <c r="B317" s="148" t="n"/>
      <c r="C317" s="124" t="n"/>
      <c r="D317" s="148" t="n"/>
      <c r="E317" s="148" t="n"/>
      <c r="F317" s="148" t="n"/>
      <c r="G317" s="124" t="n"/>
      <c r="H317" s="148" t="n"/>
      <c r="I317" s="148" t="n"/>
      <c r="J317" s="148" t="n"/>
      <c r="K317" s="148" t="n"/>
      <c r="L317" s="148" t="n"/>
      <c r="M317" s="148" t="n"/>
      <c r="N317" s="148" t="n"/>
      <c r="O317" s="148" t="n"/>
      <c r="P317" s="148" t="n"/>
      <c r="Q317" s="148" t="n"/>
      <c r="R317" s="148" t="n"/>
      <c r="S317" s="148" t="n"/>
      <c r="T317" s="148" t="n"/>
      <c r="U317" s="149">
        <f>IF(AND('Master Stock'!D317&lt;&gt;"",'Master Stock'!H317="OCCUPIED",ISNUMBER('Master Stock'!J317),'Master Stock'!K317=""),SUMPRODUCT(--('Master Stock'!$D$2:$D$1000&lt;&gt;""),--('Master Stock'!$H$2:$H$1000="OCCUPIED"),--ISNUMBER('Master Stock'!$J$2:$J$1000),--('Master Stock'!$K$2:$K$1000=""),--('Master Stock'!$J$2:$J$1000&lt;'Master Stock'!J317))+COUNTIFS('Master Stock'!$J$2:J317,'Master Stock'!J317,'Master Stock'!$D$2:D317,"&lt;&gt;",'Master Stock'!$H$2:H317,"OCCUPIED",'Master Stock'!$K$2:K317,""),"")</f>
        <v/>
      </c>
      <c r="V317" s="149">
        <f>IF(AND('Master Stock'!D317&lt;&gt;"",'Master Stock'!H317="OCCUPIED",ISNUMBER('Master Stock'!L317),'Master Stock'!L317&lt;TODAY()-30),SUMPRODUCT(--('Master Stock'!$D$2:$D$1000&lt;&gt;""),--('Master Stock'!$H$2:$H$1000="OCCUPIED"),--ISNUMBER('Master Stock'!$L$2:$L$1000),--('Master Stock'!$L$2:$L$1000&lt;TODAY()-30),--('Master Stock'!$L$2:$L$1000&lt;'Master Stock'!L317))+COUNTIFS('Master Stock'!$L$2:L317,'Master Stock'!L317,'Master Stock'!$D$2:D317,"&lt;&gt;",'Master Stock'!$H$2:H317,"OCCUPIED"),"")</f>
        <v/>
      </c>
      <c r="W317" s="149" t="n"/>
      <c r="X317" s="149" t="n"/>
      <c r="Y317" s="149" t="n"/>
      <c r="Z317" s="149" t="n"/>
    </row>
    <row r="318" ht="15.75" customHeight="1" s="236">
      <c r="A318" s="148" t="n"/>
      <c r="B318" s="148" t="n"/>
      <c r="C318" s="124" t="n"/>
      <c r="D318" s="148" t="n"/>
      <c r="E318" s="148" t="n"/>
      <c r="F318" s="148" t="n"/>
      <c r="G318" s="124" t="n"/>
      <c r="H318" s="148" t="n"/>
      <c r="I318" s="148" t="n"/>
      <c r="J318" s="148" t="n"/>
      <c r="K318" s="148" t="n"/>
      <c r="L318" s="148" t="n"/>
      <c r="M318" s="148" t="n"/>
      <c r="N318" s="148" t="n"/>
      <c r="O318" s="148" t="n"/>
      <c r="P318" s="148" t="n"/>
      <c r="Q318" s="148" t="n"/>
      <c r="R318" s="148" t="n"/>
      <c r="S318" s="148" t="n"/>
      <c r="T318" s="148" t="n"/>
      <c r="U318" s="149">
        <f>IF(AND('Master Stock'!D318&lt;&gt;"",'Master Stock'!H318="OCCUPIED",ISNUMBER('Master Stock'!J318),'Master Stock'!K318=""),SUMPRODUCT(--('Master Stock'!$D$2:$D$1000&lt;&gt;""),--('Master Stock'!$H$2:$H$1000="OCCUPIED"),--ISNUMBER('Master Stock'!$J$2:$J$1000),--('Master Stock'!$K$2:$K$1000=""),--('Master Stock'!$J$2:$J$1000&lt;'Master Stock'!J318))+COUNTIFS('Master Stock'!$J$2:J318,'Master Stock'!J318,'Master Stock'!$D$2:D318,"&lt;&gt;",'Master Stock'!$H$2:H318,"OCCUPIED",'Master Stock'!$K$2:K318,""),"")</f>
        <v/>
      </c>
      <c r="V318" s="149">
        <f>IF(AND('Master Stock'!D318&lt;&gt;"",'Master Stock'!H318="OCCUPIED",ISNUMBER('Master Stock'!L318),'Master Stock'!L318&lt;TODAY()-30),SUMPRODUCT(--('Master Stock'!$D$2:$D$1000&lt;&gt;""),--('Master Stock'!$H$2:$H$1000="OCCUPIED"),--ISNUMBER('Master Stock'!$L$2:$L$1000),--('Master Stock'!$L$2:$L$1000&lt;TODAY()-30),--('Master Stock'!$L$2:$L$1000&lt;'Master Stock'!L318))+COUNTIFS('Master Stock'!$L$2:L318,'Master Stock'!L318,'Master Stock'!$D$2:D318,"&lt;&gt;",'Master Stock'!$H$2:H318,"OCCUPIED"),"")</f>
        <v/>
      </c>
      <c r="W318" s="149" t="n"/>
      <c r="X318" s="149" t="n"/>
      <c r="Y318" s="149" t="n"/>
      <c r="Z318" s="149" t="n"/>
    </row>
    <row r="319" ht="15.75" customHeight="1" s="236">
      <c r="A319" s="148" t="n"/>
      <c r="B319" s="148" t="n"/>
      <c r="C319" s="124" t="n"/>
      <c r="D319" s="148" t="n"/>
      <c r="E319" s="148" t="n"/>
      <c r="F319" s="148" t="n"/>
      <c r="G319" s="124" t="n"/>
      <c r="H319" s="148" t="n"/>
      <c r="I319" s="148" t="n"/>
      <c r="J319" s="148" t="n"/>
      <c r="K319" s="148" t="n"/>
      <c r="L319" s="148" t="n"/>
      <c r="M319" s="148" t="n"/>
      <c r="N319" s="148" t="n"/>
      <c r="O319" s="148" t="n"/>
      <c r="P319" s="148" t="n"/>
      <c r="Q319" s="148" t="n"/>
      <c r="R319" s="148" t="n"/>
      <c r="S319" s="148" t="n"/>
      <c r="T319" s="148" t="n"/>
      <c r="U319" s="149">
        <f>IF(AND('Master Stock'!D319&lt;&gt;"",'Master Stock'!H319="OCCUPIED",ISNUMBER('Master Stock'!J319),'Master Stock'!K319=""),SUMPRODUCT(--('Master Stock'!$D$2:$D$1000&lt;&gt;""),--('Master Stock'!$H$2:$H$1000="OCCUPIED"),--ISNUMBER('Master Stock'!$J$2:$J$1000),--('Master Stock'!$K$2:$K$1000=""),--('Master Stock'!$J$2:$J$1000&lt;'Master Stock'!J319))+COUNTIFS('Master Stock'!$J$2:J319,'Master Stock'!J319,'Master Stock'!$D$2:D319,"&lt;&gt;",'Master Stock'!$H$2:H319,"OCCUPIED",'Master Stock'!$K$2:K319,""),"")</f>
        <v/>
      </c>
      <c r="V319" s="149">
        <f>IF(AND('Master Stock'!D319&lt;&gt;"",'Master Stock'!H319="OCCUPIED",ISNUMBER('Master Stock'!L319),'Master Stock'!L319&lt;TODAY()-30),SUMPRODUCT(--('Master Stock'!$D$2:$D$1000&lt;&gt;""),--('Master Stock'!$H$2:$H$1000="OCCUPIED"),--ISNUMBER('Master Stock'!$L$2:$L$1000),--('Master Stock'!$L$2:$L$1000&lt;TODAY()-30),--('Master Stock'!$L$2:$L$1000&lt;'Master Stock'!L319))+COUNTIFS('Master Stock'!$L$2:L319,'Master Stock'!L319,'Master Stock'!$D$2:D319,"&lt;&gt;",'Master Stock'!$H$2:H319,"OCCUPIED"),"")</f>
        <v/>
      </c>
      <c r="W319" s="149" t="n"/>
      <c r="X319" s="149" t="n"/>
      <c r="Y319" s="149" t="n"/>
      <c r="Z319" s="149" t="n"/>
    </row>
    <row r="320" ht="15.75" customHeight="1" s="236">
      <c r="A320" s="148" t="n"/>
      <c r="B320" s="148" t="n"/>
      <c r="C320" s="124" t="n"/>
      <c r="D320" s="148" t="n"/>
      <c r="E320" s="148" t="n"/>
      <c r="F320" s="148" t="n"/>
      <c r="G320" s="124" t="n"/>
      <c r="H320" s="148" t="n"/>
      <c r="I320" s="148" t="n"/>
      <c r="J320" s="148" t="n"/>
      <c r="K320" s="148" t="n"/>
      <c r="L320" s="148" t="n"/>
      <c r="M320" s="148" t="n"/>
      <c r="N320" s="148" t="n"/>
      <c r="O320" s="148" t="n"/>
      <c r="P320" s="148" t="n"/>
      <c r="Q320" s="148" t="n"/>
      <c r="R320" s="148" t="n"/>
      <c r="S320" s="148" t="n"/>
      <c r="T320" s="148" t="n"/>
      <c r="U320" s="149">
        <f>IF(AND('Master Stock'!D320&lt;&gt;"",'Master Stock'!H320="OCCUPIED",ISNUMBER('Master Stock'!J320),'Master Stock'!K320=""),SUMPRODUCT(--('Master Stock'!$D$2:$D$1000&lt;&gt;""),--('Master Stock'!$H$2:$H$1000="OCCUPIED"),--ISNUMBER('Master Stock'!$J$2:$J$1000),--('Master Stock'!$K$2:$K$1000=""),--('Master Stock'!$J$2:$J$1000&lt;'Master Stock'!J320))+COUNTIFS('Master Stock'!$J$2:J320,'Master Stock'!J320,'Master Stock'!$D$2:D320,"&lt;&gt;",'Master Stock'!$H$2:H320,"OCCUPIED",'Master Stock'!$K$2:K320,""),"")</f>
        <v/>
      </c>
      <c r="V320" s="149">
        <f>IF(AND('Master Stock'!D320&lt;&gt;"",'Master Stock'!H320="OCCUPIED",ISNUMBER('Master Stock'!L320),'Master Stock'!L320&lt;TODAY()-30),SUMPRODUCT(--('Master Stock'!$D$2:$D$1000&lt;&gt;""),--('Master Stock'!$H$2:$H$1000="OCCUPIED"),--ISNUMBER('Master Stock'!$L$2:$L$1000),--('Master Stock'!$L$2:$L$1000&lt;TODAY()-30),--('Master Stock'!$L$2:$L$1000&lt;'Master Stock'!L320))+COUNTIFS('Master Stock'!$L$2:L320,'Master Stock'!L320,'Master Stock'!$D$2:D320,"&lt;&gt;",'Master Stock'!$H$2:H320,"OCCUPIED"),"")</f>
        <v/>
      </c>
      <c r="W320" s="149" t="n"/>
      <c r="X320" s="149" t="n"/>
      <c r="Y320" s="149" t="n"/>
      <c r="Z320" s="149" t="n"/>
    </row>
    <row r="321" ht="15.75" customHeight="1" s="236">
      <c r="A321" s="148" t="n"/>
      <c r="B321" s="148" t="n"/>
      <c r="C321" s="124" t="n"/>
      <c r="D321" s="148" t="n"/>
      <c r="E321" s="148" t="n"/>
      <c r="F321" s="148" t="n"/>
      <c r="G321" s="124" t="n"/>
      <c r="H321" s="148" t="n"/>
      <c r="I321" s="148" t="n"/>
      <c r="J321" s="148" t="n"/>
      <c r="K321" s="148" t="n"/>
      <c r="L321" s="148" t="n"/>
      <c r="M321" s="148" t="n"/>
      <c r="N321" s="148" t="n"/>
      <c r="O321" s="148" t="n"/>
      <c r="P321" s="148" t="n"/>
      <c r="Q321" s="148" t="n"/>
      <c r="R321" s="148" t="n"/>
      <c r="S321" s="148" t="n"/>
      <c r="T321" s="148" t="n"/>
      <c r="U321" s="149">
        <f>IF(AND('Master Stock'!D321&lt;&gt;"",'Master Stock'!H321="OCCUPIED",ISNUMBER('Master Stock'!J321),'Master Stock'!K321=""),SUMPRODUCT(--('Master Stock'!$D$2:$D$1000&lt;&gt;""),--('Master Stock'!$H$2:$H$1000="OCCUPIED"),--ISNUMBER('Master Stock'!$J$2:$J$1000),--('Master Stock'!$K$2:$K$1000=""),--('Master Stock'!$J$2:$J$1000&lt;'Master Stock'!J321))+COUNTIFS('Master Stock'!$J$2:J321,'Master Stock'!J321,'Master Stock'!$D$2:D321,"&lt;&gt;",'Master Stock'!$H$2:H321,"OCCUPIED",'Master Stock'!$K$2:K321,""),"")</f>
        <v/>
      </c>
      <c r="V321" s="149">
        <f>IF(AND('Master Stock'!D321&lt;&gt;"",'Master Stock'!H321="OCCUPIED",ISNUMBER('Master Stock'!L321),'Master Stock'!L321&lt;TODAY()-30),SUMPRODUCT(--('Master Stock'!$D$2:$D$1000&lt;&gt;""),--('Master Stock'!$H$2:$H$1000="OCCUPIED"),--ISNUMBER('Master Stock'!$L$2:$L$1000),--('Master Stock'!$L$2:$L$1000&lt;TODAY()-30),--('Master Stock'!$L$2:$L$1000&lt;'Master Stock'!L321))+COUNTIFS('Master Stock'!$L$2:L321,'Master Stock'!L321,'Master Stock'!$D$2:D321,"&lt;&gt;",'Master Stock'!$H$2:H321,"OCCUPIED"),"")</f>
        <v/>
      </c>
      <c r="W321" s="149" t="n"/>
      <c r="X321" s="149" t="n"/>
      <c r="Y321" s="149" t="n"/>
      <c r="Z321" s="149" t="n"/>
    </row>
    <row r="322" ht="15.75" customHeight="1" s="236">
      <c r="A322" s="148" t="n"/>
      <c r="B322" s="148" t="n"/>
      <c r="C322" s="124" t="n"/>
      <c r="D322" s="148" t="n"/>
      <c r="E322" s="148" t="n"/>
      <c r="F322" s="148" t="n"/>
      <c r="G322" s="124" t="n"/>
      <c r="H322" s="148" t="n"/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 t="n"/>
      <c r="S322" s="148" t="n"/>
      <c r="T322" s="148" t="n"/>
      <c r="U322" s="149">
        <f>IF(AND('Master Stock'!D322&lt;&gt;"",'Master Stock'!H322="OCCUPIED",ISNUMBER('Master Stock'!J322),'Master Stock'!K322=""),SUMPRODUCT(--('Master Stock'!$D$2:$D$1000&lt;&gt;""),--('Master Stock'!$H$2:$H$1000="OCCUPIED"),--ISNUMBER('Master Stock'!$J$2:$J$1000),--('Master Stock'!$K$2:$K$1000=""),--('Master Stock'!$J$2:$J$1000&lt;'Master Stock'!J322))+COUNTIFS('Master Stock'!$J$2:J322,'Master Stock'!J322,'Master Stock'!$D$2:D322,"&lt;&gt;",'Master Stock'!$H$2:H322,"OCCUPIED",'Master Stock'!$K$2:K322,""),"")</f>
        <v/>
      </c>
      <c r="V322" s="149">
        <f>IF(AND('Master Stock'!D322&lt;&gt;"",'Master Stock'!H322="OCCUPIED",ISNUMBER('Master Stock'!L322),'Master Stock'!L322&lt;TODAY()-30),SUMPRODUCT(--('Master Stock'!$D$2:$D$1000&lt;&gt;""),--('Master Stock'!$H$2:$H$1000="OCCUPIED"),--ISNUMBER('Master Stock'!$L$2:$L$1000),--('Master Stock'!$L$2:$L$1000&lt;TODAY()-30),--('Master Stock'!$L$2:$L$1000&lt;'Master Stock'!L322))+COUNTIFS('Master Stock'!$L$2:L322,'Master Stock'!L322,'Master Stock'!$D$2:D322,"&lt;&gt;",'Master Stock'!$H$2:H322,"OCCUPIED"),"")</f>
        <v/>
      </c>
      <c r="W322" s="149" t="n"/>
      <c r="X322" s="149" t="n"/>
      <c r="Y322" s="149" t="n"/>
      <c r="Z322" s="149" t="n"/>
    </row>
    <row r="323" ht="15.75" customHeight="1" s="236">
      <c r="A323" s="148" t="n"/>
      <c r="B323" s="148" t="n"/>
      <c r="C323" s="124" t="n"/>
      <c r="D323" s="148" t="n"/>
      <c r="E323" s="148" t="n"/>
      <c r="F323" s="148" t="n"/>
      <c r="G323" s="124" t="n"/>
      <c r="H323" s="148" t="n"/>
      <c r="I323" s="148" t="n"/>
      <c r="J323" s="148" t="n"/>
      <c r="K323" s="148" t="n"/>
      <c r="L323" s="148" t="n"/>
      <c r="M323" s="148" t="n"/>
      <c r="N323" s="148" t="n"/>
      <c r="O323" s="148" t="n"/>
      <c r="P323" s="148" t="n"/>
      <c r="Q323" s="148" t="n"/>
      <c r="R323" s="148" t="n"/>
      <c r="S323" s="148" t="n"/>
      <c r="T323" s="148" t="n"/>
      <c r="U323" s="149">
        <f>IF(AND('Master Stock'!D323&lt;&gt;"",'Master Stock'!H323="OCCUPIED",ISNUMBER('Master Stock'!J323),'Master Stock'!K323=""),SUMPRODUCT(--('Master Stock'!$D$2:$D$1000&lt;&gt;""),--('Master Stock'!$H$2:$H$1000="OCCUPIED"),--ISNUMBER('Master Stock'!$J$2:$J$1000),--('Master Stock'!$K$2:$K$1000=""),--('Master Stock'!$J$2:$J$1000&lt;'Master Stock'!J323))+COUNTIFS('Master Stock'!$J$2:J323,'Master Stock'!J323,'Master Stock'!$D$2:D323,"&lt;&gt;",'Master Stock'!$H$2:H323,"OCCUPIED",'Master Stock'!$K$2:K323,""),"")</f>
        <v/>
      </c>
      <c r="V323" s="149">
        <f>IF(AND('Master Stock'!D323&lt;&gt;"",'Master Stock'!H323="OCCUPIED",ISNUMBER('Master Stock'!L323),'Master Stock'!L323&lt;TODAY()-30),SUMPRODUCT(--('Master Stock'!$D$2:$D$1000&lt;&gt;""),--('Master Stock'!$H$2:$H$1000="OCCUPIED"),--ISNUMBER('Master Stock'!$L$2:$L$1000),--('Master Stock'!$L$2:$L$1000&lt;TODAY()-30),--('Master Stock'!$L$2:$L$1000&lt;'Master Stock'!L323))+COUNTIFS('Master Stock'!$L$2:L323,'Master Stock'!L323,'Master Stock'!$D$2:D323,"&lt;&gt;",'Master Stock'!$H$2:H323,"OCCUPIED"),"")</f>
        <v/>
      </c>
      <c r="W323" s="149" t="n"/>
      <c r="X323" s="149" t="n"/>
      <c r="Y323" s="149" t="n"/>
      <c r="Z323" s="149" t="n"/>
    </row>
    <row r="324" ht="15.75" customHeight="1" s="236">
      <c r="A324" s="148" t="n"/>
      <c r="B324" s="148" t="n"/>
      <c r="C324" s="124" t="n"/>
      <c r="D324" s="148" t="n"/>
      <c r="E324" s="148" t="n"/>
      <c r="F324" s="148" t="n"/>
      <c r="G324" s="124" t="n"/>
      <c r="H324" s="148" t="n"/>
      <c r="I324" s="148" t="n"/>
      <c r="J324" s="148" t="n"/>
      <c r="K324" s="148" t="n"/>
      <c r="L324" s="148" t="n"/>
      <c r="M324" s="148" t="n"/>
      <c r="N324" s="148" t="n"/>
      <c r="O324" s="148" t="n"/>
      <c r="P324" s="148" t="n"/>
      <c r="Q324" s="148" t="n"/>
      <c r="R324" s="148" t="n"/>
      <c r="S324" s="148" t="n"/>
      <c r="T324" s="148" t="n"/>
      <c r="U324" s="149">
        <f>IF(AND('Master Stock'!D324&lt;&gt;"",'Master Stock'!H324="OCCUPIED",ISNUMBER('Master Stock'!J324),'Master Stock'!K324=""),SUMPRODUCT(--('Master Stock'!$D$2:$D$1000&lt;&gt;""),--('Master Stock'!$H$2:$H$1000="OCCUPIED"),--ISNUMBER('Master Stock'!$J$2:$J$1000),--('Master Stock'!$K$2:$K$1000=""),--('Master Stock'!$J$2:$J$1000&lt;'Master Stock'!J324))+COUNTIFS('Master Stock'!$J$2:J324,'Master Stock'!J324,'Master Stock'!$D$2:D324,"&lt;&gt;",'Master Stock'!$H$2:H324,"OCCUPIED",'Master Stock'!$K$2:K324,""),"")</f>
        <v/>
      </c>
      <c r="V324" s="149">
        <f>IF(AND('Master Stock'!D324&lt;&gt;"",'Master Stock'!H324="OCCUPIED",ISNUMBER('Master Stock'!L324),'Master Stock'!L324&lt;TODAY()-30),SUMPRODUCT(--('Master Stock'!$D$2:$D$1000&lt;&gt;""),--('Master Stock'!$H$2:$H$1000="OCCUPIED"),--ISNUMBER('Master Stock'!$L$2:$L$1000),--('Master Stock'!$L$2:$L$1000&lt;TODAY()-30),--('Master Stock'!$L$2:$L$1000&lt;'Master Stock'!L324))+COUNTIFS('Master Stock'!$L$2:L324,'Master Stock'!L324,'Master Stock'!$D$2:D324,"&lt;&gt;",'Master Stock'!$H$2:H324,"OCCUPIED"),"")</f>
        <v/>
      </c>
      <c r="W324" s="149" t="n"/>
      <c r="X324" s="149" t="n"/>
      <c r="Y324" s="149" t="n"/>
      <c r="Z324" s="149" t="n"/>
    </row>
    <row r="325" ht="15.75" customHeight="1" s="236">
      <c r="A325" s="148" t="n"/>
      <c r="B325" s="148" t="n"/>
      <c r="C325" s="124" t="n"/>
      <c r="D325" s="148" t="n"/>
      <c r="E325" s="148" t="n"/>
      <c r="F325" s="148" t="n"/>
      <c r="G325" s="124" t="n"/>
      <c r="H325" s="148" t="n"/>
      <c r="I325" s="148" t="n"/>
      <c r="J325" s="148" t="n"/>
      <c r="K325" s="148" t="n"/>
      <c r="L325" s="148" t="n"/>
      <c r="M325" s="148" t="n"/>
      <c r="N325" s="148" t="n"/>
      <c r="O325" s="148" t="n"/>
      <c r="P325" s="148" t="n"/>
      <c r="Q325" s="148" t="n"/>
      <c r="R325" s="148" t="n"/>
      <c r="S325" s="148" t="n"/>
      <c r="T325" s="148" t="n"/>
      <c r="U325" s="149">
        <f>IF(AND('Master Stock'!D325&lt;&gt;"",'Master Stock'!H325="OCCUPIED",ISNUMBER('Master Stock'!J325),'Master Stock'!K325=""),SUMPRODUCT(--('Master Stock'!$D$2:$D$1000&lt;&gt;""),--('Master Stock'!$H$2:$H$1000="OCCUPIED"),--ISNUMBER('Master Stock'!$J$2:$J$1000),--('Master Stock'!$K$2:$K$1000=""),--('Master Stock'!$J$2:$J$1000&lt;'Master Stock'!J325))+COUNTIFS('Master Stock'!$J$2:J325,'Master Stock'!J325,'Master Stock'!$D$2:D325,"&lt;&gt;",'Master Stock'!$H$2:H325,"OCCUPIED",'Master Stock'!$K$2:K325,""),"")</f>
        <v/>
      </c>
      <c r="V325" s="149">
        <f>IF(AND('Master Stock'!D325&lt;&gt;"",'Master Stock'!H325="OCCUPIED",ISNUMBER('Master Stock'!L325),'Master Stock'!L325&lt;TODAY()-30),SUMPRODUCT(--('Master Stock'!$D$2:$D$1000&lt;&gt;""),--('Master Stock'!$H$2:$H$1000="OCCUPIED"),--ISNUMBER('Master Stock'!$L$2:$L$1000),--('Master Stock'!$L$2:$L$1000&lt;TODAY()-30),--('Master Stock'!$L$2:$L$1000&lt;'Master Stock'!L325))+COUNTIFS('Master Stock'!$L$2:L325,'Master Stock'!L325,'Master Stock'!$D$2:D325,"&lt;&gt;",'Master Stock'!$H$2:H325,"OCCUPIED"),"")</f>
        <v/>
      </c>
      <c r="W325" s="149" t="n"/>
      <c r="X325" s="149" t="n"/>
      <c r="Y325" s="149" t="n"/>
      <c r="Z325" s="149" t="n"/>
    </row>
    <row r="326" ht="15.75" customHeight="1" s="236">
      <c r="A326" s="148" t="n"/>
      <c r="B326" s="148" t="n"/>
      <c r="C326" s="124" t="n"/>
      <c r="D326" s="148" t="n"/>
      <c r="E326" s="148" t="n"/>
      <c r="F326" s="148" t="n"/>
      <c r="G326" s="124" t="n"/>
      <c r="H326" s="148" t="n"/>
      <c r="I326" s="148" t="n"/>
      <c r="J326" s="148" t="n"/>
      <c r="K326" s="148" t="n"/>
      <c r="L326" s="148" t="n"/>
      <c r="M326" s="148" t="n"/>
      <c r="N326" s="148" t="n"/>
      <c r="O326" s="148" t="n"/>
      <c r="P326" s="148" t="n"/>
      <c r="Q326" s="148" t="n"/>
      <c r="R326" s="148" t="n"/>
      <c r="S326" s="148" t="n"/>
      <c r="T326" s="148" t="n"/>
      <c r="U326" s="149">
        <f>IF(AND('Master Stock'!D326&lt;&gt;"",'Master Stock'!H326="OCCUPIED",ISNUMBER('Master Stock'!J326),'Master Stock'!K326=""),SUMPRODUCT(--('Master Stock'!$D$2:$D$1000&lt;&gt;""),--('Master Stock'!$H$2:$H$1000="OCCUPIED"),--ISNUMBER('Master Stock'!$J$2:$J$1000),--('Master Stock'!$K$2:$K$1000=""),--('Master Stock'!$J$2:$J$1000&lt;'Master Stock'!J326))+COUNTIFS('Master Stock'!$J$2:J326,'Master Stock'!J326,'Master Stock'!$D$2:D326,"&lt;&gt;",'Master Stock'!$H$2:H326,"OCCUPIED",'Master Stock'!$K$2:K326,""),"")</f>
        <v/>
      </c>
      <c r="V326" s="149">
        <f>IF(AND('Master Stock'!D326&lt;&gt;"",'Master Stock'!H326="OCCUPIED",ISNUMBER('Master Stock'!L326),'Master Stock'!L326&lt;TODAY()-30),SUMPRODUCT(--('Master Stock'!$D$2:$D$1000&lt;&gt;""),--('Master Stock'!$H$2:$H$1000="OCCUPIED"),--ISNUMBER('Master Stock'!$L$2:$L$1000),--('Master Stock'!$L$2:$L$1000&lt;TODAY()-30),--('Master Stock'!$L$2:$L$1000&lt;'Master Stock'!L326))+COUNTIFS('Master Stock'!$L$2:L326,'Master Stock'!L326,'Master Stock'!$D$2:D326,"&lt;&gt;",'Master Stock'!$H$2:H326,"OCCUPIED"),"")</f>
        <v/>
      </c>
      <c r="W326" s="149" t="n"/>
      <c r="X326" s="149" t="n"/>
      <c r="Y326" s="149" t="n"/>
      <c r="Z326" s="149" t="n"/>
    </row>
    <row r="327" ht="15.75" customHeight="1" s="236">
      <c r="A327" s="148" t="n"/>
      <c r="B327" s="148" t="n"/>
      <c r="C327" s="124" t="n"/>
      <c r="D327" s="148" t="n"/>
      <c r="E327" s="148" t="n"/>
      <c r="F327" s="148" t="n"/>
      <c r="G327" s="124" t="n"/>
      <c r="H327" s="148" t="n"/>
      <c r="I327" s="148" t="n"/>
      <c r="J327" s="148" t="n"/>
      <c r="K327" s="148" t="n"/>
      <c r="L327" s="148" t="n"/>
      <c r="M327" s="148" t="n"/>
      <c r="N327" s="148" t="n"/>
      <c r="O327" s="148" t="n"/>
      <c r="P327" s="148" t="n"/>
      <c r="Q327" s="148" t="n"/>
      <c r="R327" s="148" t="n"/>
      <c r="S327" s="148" t="n"/>
      <c r="T327" s="148" t="n"/>
      <c r="U327" s="149">
        <f>IF(AND('Master Stock'!D327&lt;&gt;"",'Master Stock'!H327="OCCUPIED",ISNUMBER('Master Stock'!J327),'Master Stock'!K327=""),SUMPRODUCT(--('Master Stock'!$D$2:$D$1000&lt;&gt;""),--('Master Stock'!$H$2:$H$1000="OCCUPIED"),--ISNUMBER('Master Stock'!$J$2:$J$1000),--('Master Stock'!$K$2:$K$1000=""),--('Master Stock'!$J$2:$J$1000&lt;'Master Stock'!J327))+COUNTIFS('Master Stock'!$J$2:J327,'Master Stock'!J327,'Master Stock'!$D$2:D327,"&lt;&gt;",'Master Stock'!$H$2:H327,"OCCUPIED",'Master Stock'!$K$2:K327,""),"")</f>
        <v/>
      </c>
      <c r="V327" s="149">
        <f>IF(AND('Master Stock'!D327&lt;&gt;"",'Master Stock'!H327="OCCUPIED",ISNUMBER('Master Stock'!L327),'Master Stock'!L327&lt;TODAY()-30),SUMPRODUCT(--('Master Stock'!$D$2:$D$1000&lt;&gt;""),--('Master Stock'!$H$2:$H$1000="OCCUPIED"),--ISNUMBER('Master Stock'!$L$2:$L$1000),--('Master Stock'!$L$2:$L$1000&lt;TODAY()-30),--('Master Stock'!$L$2:$L$1000&lt;'Master Stock'!L327))+COUNTIFS('Master Stock'!$L$2:L327,'Master Stock'!L327,'Master Stock'!$D$2:D327,"&lt;&gt;",'Master Stock'!$H$2:H327,"OCCUPIED"),"")</f>
        <v/>
      </c>
      <c r="W327" s="149" t="n"/>
      <c r="X327" s="149" t="n"/>
      <c r="Y327" s="149" t="n"/>
      <c r="Z327" s="149" t="n"/>
    </row>
    <row r="328" ht="15.75" customHeight="1" s="236">
      <c r="A328" s="148" t="n"/>
      <c r="B328" s="148" t="n"/>
      <c r="C328" s="124" t="n"/>
      <c r="D328" s="148" t="n"/>
      <c r="E328" s="148" t="n"/>
      <c r="F328" s="148" t="n"/>
      <c r="G328" s="124" t="n"/>
      <c r="H328" s="148" t="n"/>
      <c r="I328" s="148" t="n"/>
      <c r="J328" s="148" t="n"/>
      <c r="K328" s="148" t="n"/>
      <c r="L328" s="148" t="n"/>
      <c r="M328" s="148" t="n"/>
      <c r="N328" s="148" t="n"/>
      <c r="O328" s="148" t="n"/>
      <c r="P328" s="148" t="n"/>
      <c r="Q328" s="148" t="n"/>
      <c r="R328" s="148" t="n"/>
      <c r="S328" s="148" t="n"/>
      <c r="T328" s="148" t="n"/>
      <c r="U328" s="149">
        <f>IF(AND('Master Stock'!D328&lt;&gt;"",'Master Stock'!H328="OCCUPIED",ISNUMBER('Master Stock'!J328),'Master Stock'!K328=""),SUMPRODUCT(--('Master Stock'!$D$2:$D$1000&lt;&gt;""),--('Master Stock'!$H$2:$H$1000="OCCUPIED"),--ISNUMBER('Master Stock'!$J$2:$J$1000),--('Master Stock'!$K$2:$K$1000=""),--('Master Stock'!$J$2:$J$1000&lt;'Master Stock'!J328))+COUNTIFS('Master Stock'!$J$2:J328,'Master Stock'!J328,'Master Stock'!$D$2:D328,"&lt;&gt;",'Master Stock'!$H$2:H328,"OCCUPIED",'Master Stock'!$K$2:K328,""),"")</f>
        <v/>
      </c>
      <c r="V328" s="149">
        <f>IF(AND('Master Stock'!D328&lt;&gt;"",'Master Stock'!H328="OCCUPIED",ISNUMBER('Master Stock'!L328),'Master Stock'!L328&lt;TODAY()-30),SUMPRODUCT(--('Master Stock'!$D$2:$D$1000&lt;&gt;""),--('Master Stock'!$H$2:$H$1000="OCCUPIED"),--ISNUMBER('Master Stock'!$L$2:$L$1000),--('Master Stock'!$L$2:$L$1000&lt;TODAY()-30),--('Master Stock'!$L$2:$L$1000&lt;'Master Stock'!L328))+COUNTIFS('Master Stock'!$L$2:L328,'Master Stock'!L328,'Master Stock'!$D$2:D328,"&lt;&gt;",'Master Stock'!$H$2:H328,"OCCUPIED"),"")</f>
        <v/>
      </c>
      <c r="W328" s="149" t="n"/>
      <c r="X328" s="149" t="n"/>
      <c r="Y328" s="149" t="n"/>
      <c r="Z328" s="149" t="n"/>
    </row>
    <row r="329" ht="15.75" customHeight="1" s="236">
      <c r="A329" s="148" t="n"/>
      <c r="B329" s="148" t="n"/>
      <c r="C329" s="124" t="n"/>
      <c r="D329" s="148" t="n"/>
      <c r="E329" s="148" t="n"/>
      <c r="F329" s="148" t="n"/>
      <c r="G329" s="124" t="n"/>
      <c r="H329" s="148" t="n"/>
      <c r="I329" s="148" t="n"/>
      <c r="J329" s="148" t="n"/>
      <c r="K329" s="148" t="n"/>
      <c r="L329" s="148" t="n"/>
      <c r="M329" s="148" t="n"/>
      <c r="N329" s="148" t="n"/>
      <c r="O329" s="148" t="n"/>
      <c r="P329" s="148" t="n"/>
      <c r="Q329" s="148" t="n"/>
      <c r="R329" s="148" t="n"/>
      <c r="S329" s="148" t="n"/>
      <c r="T329" s="148" t="n"/>
      <c r="U329" s="149">
        <f>IF(AND('Master Stock'!D329&lt;&gt;"",'Master Stock'!H329="OCCUPIED",ISNUMBER('Master Stock'!J329),'Master Stock'!K329=""),SUMPRODUCT(--('Master Stock'!$D$2:$D$1000&lt;&gt;""),--('Master Stock'!$H$2:$H$1000="OCCUPIED"),--ISNUMBER('Master Stock'!$J$2:$J$1000),--('Master Stock'!$K$2:$K$1000=""),--('Master Stock'!$J$2:$J$1000&lt;'Master Stock'!J329))+COUNTIFS('Master Stock'!$J$2:J329,'Master Stock'!J329,'Master Stock'!$D$2:D329,"&lt;&gt;",'Master Stock'!$H$2:H329,"OCCUPIED",'Master Stock'!$K$2:K329,""),"")</f>
        <v/>
      </c>
      <c r="V329" s="149">
        <f>IF(AND('Master Stock'!D329&lt;&gt;"",'Master Stock'!H329="OCCUPIED",ISNUMBER('Master Stock'!L329),'Master Stock'!L329&lt;TODAY()-30),SUMPRODUCT(--('Master Stock'!$D$2:$D$1000&lt;&gt;""),--('Master Stock'!$H$2:$H$1000="OCCUPIED"),--ISNUMBER('Master Stock'!$L$2:$L$1000),--('Master Stock'!$L$2:$L$1000&lt;TODAY()-30),--('Master Stock'!$L$2:$L$1000&lt;'Master Stock'!L329))+COUNTIFS('Master Stock'!$L$2:L329,'Master Stock'!L329,'Master Stock'!$D$2:D329,"&lt;&gt;",'Master Stock'!$H$2:H329,"OCCUPIED"),"")</f>
        <v/>
      </c>
      <c r="W329" s="149" t="n"/>
      <c r="X329" s="149" t="n"/>
      <c r="Y329" s="149" t="n"/>
      <c r="Z329" s="149" t="n"/>
    </row>
    <row r="330" ht="15.75" customHeight="1" s="236">
      <c r="A330" s="148" t="n"/>
      <c r="B330" s="148" t="n"/>
      <c r="C330" s="124" t="n"/>
      <c r="D330" s="148" t="n"/>
      <c r="E330" s="148" t="n"/>
      <c r="F330" s="148" t="n"/>
      <c r="G330" s="124" t="n"/>
      <c r="H330" s="148" t="n"/>
      <c r="I330" s="148" t="n"/>
      <c r="J330" s="148" t="n"/>
      <c r="K330" s="148" t="n"/>
      <c r="L330" s="148" t="n"/>
      <c r="M330" s="148" t="n"/>
      <c r="N330" s="148" t="n"/>
      <c r="O330" s="148" t="n"/>
      <c r="P330" s="148" t="n"/>
      <c r="Q330" s="148" t="n"/>
      <c r="R330" s="148" t="n"/>
      <c r="S330" s="148" t="n"/>
      <c r="T330" s="148" t="n"/>
      <c r="U330" s="149">
        <f>IF(AND('Master Stock'!D330&lt;&gt;"",'Master Stock'!H330="OCCUPIED",ISNUMBER('Master Stock'!J330),'Master Stock'!K330=""),SUMPRODUCT(--('Master Stock'!$D$2:$D$1000&lt;&gt;""),--('Master Stock'!$H$2:$H$1000="OCCUPIED"),--ISNUMBER('Master Stock'!$J$2:$J$1000),--('Master Stock'!$K$2:$K$1000=""),--('Master Stock'!$J$2:$J$1000&lt;'Master Stock'!J330))+COUNTIFS('Master Stock'!$J$2:J330,'Master Stock'!J330,'Master Stock'!$D$2:D330,"&lt;&gt;",'Master Stock'!$H$2:H330,"OCCUPIED",'Master Stock'!$K$2:K330,""),"")</f>
        <v/>
      </c>
      <c r="V330" s="149">
        <f>IF(AND('Master Stock'!D330&lt;&gt;"",'Master Stock'!H330="OCCUPIED",ISNUMBER('Master Stock'!L330),'Master Stock'!L330&lt;TODAY()-30),SUMPRODUCT(--('Master Stock'!$D$2:$D$1000&lt;&gt;""),--('Master Stock'!$H$2:$H$1000="OCCUPIED"),--ISNUMBER('Master Stock'!$L$2:$L$1000),--('Master Stock'!$L$2:$L$1000&lt;TODAY()-30),--('Master Stock'!$L$2:$L$1000&lt;'Master Stock'!L330))+COUNTIFS('Master Stock'!$L$2:L330,'Master Stock'!L330,'Master Stock'!$D$2:D330,"&lt;&gt;",'Master Stock'!$H$2:H330,"OCCUPIED"),"")</f>
        <v/>
      </c>
      <c r="W330" s="149" t="n"/>
      <c r="X330" s="149" t="n"/>
      <c r="Y330" s="149" t="n"/>
      <c r="Z330" s="149" t="n"/>
    </row>
    <row r="331" ht="15.75" customHeight="1" s="236">
      <c r="A331" s="148" t="n"/>
      <c r="B331" s="148" t="n"/>
      <c r="C331" s="124" t="n"/>
      <c r="D331" s="148" t="n"/>
      <c r="E331" s="148" t="n"/>
      <c r="F331" s="148" t="n"/>
      <c r="G331" s="124" t="n"/>
      <c r="H331" s="148" t="n"/>
      <c r="I331" s="148" t="n"/>
      <c r="J331" s="148" t="n"/>
      <c r="K331" s="148" t="n"/>
      <c r="L331" s="148" t="n"/>
      <c r="M331" s="148" t="n"/>
      <c r="N331" s="148" t="n"/>
      <c r="O331" s="148" t="n"/>
      <c r="P331" s="148" t="n"/>
      <c r="Q331" s="148" t="n"/>
      <c r="R331" s="148" t="n"/>
      <c r="S331" s="148" t="n"/>
      <c r="T331" s="148" t="n"/>
      <c r="U331" s="149">
        <f>IF(AND('Master Stock'!D331&lt;&gt;"",'Master Stock'!H331="OCCUPIED",ISNUMBER('Master Stock'!J331),'Master Stock'!K331=""),SUMPRODUCT(--('Master Stock'!$D$2:$D$1000&lt;&gt;""),--('Master Stock'!$H$2:$H$1000="OCCUPIED"),--ISNUMBER('Master Stock'!$J$2:$J$1000),--('Master Stock'!$K$2:$K$1000=""),--('Master Stock'!$J$2:$J$1000&lt;'Master Stock'!J331))+COUNTIFS('Master Stock'!$J$2:J331,'Master Stock'!J331,'Master Stock'!$D$2:D331,"&lt;&gt;",'Master Stock'!$H$2:H331,"OCCUPIED",'Master Stock'!$K$2:K331,""),"")</f>
        <v/>
      </c>
      <c r="V331" s="149">
        <f>IF(AND('Master Stock'!D331&lt;&gt;"",'Master Stock'!H331="OCCUPIED",ISNUMBER('Master Stock'!L331),'Master Stock'!L331&lt;TODAY()-30),SUMPRODUCT(--('Master Stock'!$D$2:$D$1000&lt;&gt;""),--('Master Stock'!$H$2:$H$1000="OCCUPIED"),--ISNUMBER('Master Stock'!$L$2:$L$1000),--('Master Stock'!$L$2:$L$1000&lt;TODAY()-30),--('Master Stock'!$L$2:$L$1000&lt;'Master Stock'!L331))+COUNTIFS('Master Stock'!$L$2:L331,'Master Stock'!L331,'Master Stock'!$D$2:D331,"&lt;&gt;",'Master Stock'!$H$2:H331,"OCCUPIED"),"")</f>
        <v/>
      </c>
      <c r="W331" s="149" t="n"/>
      <c r="X331" s="149" t="n"/>
      <c r="Y331" s="149" t="n"/>
      <c r="Z331" s="149" t="n"/>
    </row>
    <row r="332" ht="15.75" customHeight="1" s="236">
      <c r="A332" s="148" t="n"/>
      <c r="B332" s="148" t="n"/>
      <c r="C332" s="124" t="n"/>
      <c r="D332" s="148" t="n"/>
      <c r="E332" s="148" t="n"/>
      <c r="F332" s="148" t="n"/>
      <c r="G332" s="124" t="n"/>
      <c r="H332" s="148" t="n"/>
      <c r="I332" s="148" t="n"/>
      <c r="J332" s="148" t="n"/>
      <c r="K332" s="148" t="n"/>
      <c r="L332" s="148" t="n"/>
      <c r="M332" s="148" t="n"/>
      <c r="N332" s="148" t="n"/>
      <c r="O332" s="148" t="n"/>
      <c r="P332" s="148" t="n"/>
      <c r="Q332" s="148" t="n"/>
      <c r="R332" s="148" t="n"/>
      <c r="S332" s="148" t="n"/>
      <c r="T332" s="148" t="n"/>
      <c r="U332" s="149">
        <f>IF(AND('Master Stock'!D332&lt;&gt;"",'Master Stock'!H332="OCCUPIED",ISNUMBER('Master Stock'!J332),'Master Stock'!K332=""),SUMPRODUCT(--('Master Stock'!$D$2:$D$1000&lt;&gt;""),--('Master Stock'!$H$2:$H$1000="OCCUPIED"),--ISNUMBER('Master Stock'!$J$2:$J$1000),--('Master Stock'!$K$2:$K$1000=""),--('Master Stock'!$J$2:$J$1000&lt;'Master Stock'!J332))+COUNTIFS('Master Stock'!$J$2:J332,'Master Stock'!J332,'Master Stock'!$D$2:D332,"&lt;&gt;",'Master Stock'!$H$2:H332,"OCCUPIED",'Master Stock'!$K$2:K332,""),"")</f>
        <v/>
      </c>
      <c r="V332" s="149">
        <f>IF(AND('Master Stock'!D332&lt;&gt;"",'Master Stock'!H332="OCCUPIED",ISNUMBER('Master Stock'!L332),'Master Stock'!L332&lt;TODAY()-30),SUMPRODUCT(--('Master Stock'!$D$2:$D$1000&lt;&gt;""),--('Master Stock'!$H$2:$H$1000="OCCUPIED"),--ISNUMBER('Master Stock'!$L$2:$L$1000),--('Master Stock'!$L$2:$L$1000&lt;TODAY()-30),--('Master Stock'!$L$2:$L$1000&lt;'Master Stock'!L332))+COUNTIFS('Master Stock'!$L$2:L332,'Master Stock'!L332,'Master Stock'!$D$2:D332,"&lt;&gt;",'Master Stock'!$H$2:H332,"OCCUPIED"),"")</f>
        <v/>
      </c>
      <c r="W332" s="149" t="n"/>
      <c r="X332" s="149" t="n"/>
      <c r="Y332" s="149" t="n"/>
      <c r="Z332" s="149" t="n"/>
    </row>
    <row r="333" ht="15.75" customHeight="1" s="236">
      <c r="A333" s="148" t="n"/>
      <c r="B333" s="148" t="n"/>
      <c r="C333" s="124" t="n"/>
      <c r="D333" s="148" t="n"/>
      <c r="E333" s="148" t="n"/>
      <c r="F333" s="148" t="n"/>
      <c r="G333" s="124" t="n"/>
      <c r="H333" s="148" t="n"/>
      <c r="I333" s="148" t="n"/>
      <c r="J333" s="148" t="n"/>
      <c r="K333" s="148" t="n"/>
      <c r="L333" s="148" t="n"/>
      <c r="M333" s="148" t="n"/>
      <c r="N333" s="148" t="n"/>
      <c r="O333" s="148" t="n"/>
      <c r="P333" s="148" t="n"/>
      <c r="Q333" s="148" t="n"/>
      <c r="R333" s="148" t="n"/>
      <c r="S333" s="148" t="n"/>
      <c r="T333" s="148" t="n"/>
      <c r="U333" s="149">
        <f>IF(AND('Master Stock'!D333&lt;&gt;"",'Master Stock'!H333="OCCUPIED",ISNUMBER('Master Stock'!J333),'Master Stock'!K333=""),SUMPRODUCT(--('Master Stock'!$D$2:$D$1000&lt;&gt;""),--('Master Stock'!$H$2:$H$1000="OCCUPIED"),--ISNUMBER('Master Stock'!$J$2:$J$1000),--('Master Stock'!$K$2:$K$1000=""),--('Master Stock'!$J$2:$J$1000&lt;'Master Stock'!J333))+COUNTIFS('Master Stock'!$J$2:J333,'Master Stock'!J333,'Master Stock'!$D$2:D333,"&lt;&gt;",'Master Stock'!$H$2:H333,"OCCUPIED",'Master Stock'!$K$2:K333,""),"")</f>
        <v/>
      </c>
      <c r="V333" s="149">
        <f>IF(AND('Master Stock'!D333&lt;&gt;"",'Master Stock'!H333="OCCUPIED",ISNUMBER('Master Stock'!L333),'Master Stock'!L333&lt;TODAY()-30),SUMPRODUCT(--('Master Stock'!$D$2:$D$1000&lt;&gt;""),--('Master Stock'!$H$2:$H$1000="OCCUPIED"),--ISNUMBER('Master Stock'!$L$2:$L$1000),--('Master Stock'!$L$2:$L$1000&lt;TODAY()-30),--('Master Stock'!$L$2:$L$1000&lt;'Master Stock'!L333))+COUNTIFS('Master Stock'!$L$2:L333,'Master Stock'!L333,'Master Stock'!$D$2:D333,"&lt;&gt;",'Master Stock'!$H$2:H333,"OCCUPIED"),"")</f>
        <v/>
      </c>
      <c r="W333" s="149" t="n"/>
      <c r="X333" s="149" t="n"/>
      <c r="Y333" s="149" t="n"/>
      <c r="Z333" s="149" t="n"/>
    </row>
    <row r="334" ht="15.75" customHeight="1" s="236">
      <c r="A334" s="148" t="n"/>
      <c r="B334" s="148" t="n"/>
      <c r="C334" s="124" t="n"/>
      <c r="D334" s="148" t="n"/>
      <c r="E334" s="148" t="n"/>
      <c r="F334" s="148" t="n"/>
      <c r="G334" s="124" t="n"/>
      <c r="H334" s="148" t="n"/>
      <c r="I334" s="148" t="n"/>
      <c r="J334" s="148" t="n"/>
      <c r="K334" s="148" t="n"/>
      <c r="L334" s="148" t="n"/>
      <c r="M334" s="148" t="n"/>
      <c r="N334" s="148" t="n"/>
      <c r="O334" s="148" t="n"/>
      <c r="P334" s="148" t="n"/>
      <c r="Q334" s="148" t="n"/>
      <c r="R334" s="148" t="n"/>
      <c r="S334" s="148" t="n"/>
      <c r="T334" s="148" t="n"/>
      <c r="U334" s="149">
        <f>IF(AND('Master Stock'!D334&lt;&gt;"",'Master Stock'!H334="OCCUPIED",ISNUMBER('Master Stock'!J334),'Master Stock'!K334=""),SUMPRODUCT(--('Master Stock'!$D$2:$D$1000&lt;&gt;""),--('Master Stock'!$H$2:$H$1000="OCCUPIED"),--ISNUMBER('Master Stock'!$J$2:$J$1000),--('Master Stock'!$K$2:$K$1000=""),--('Master Stock'!$J$2:$J$1000&lt;'Master Stock'!J334))+COUNTIFS('Master Stock'!$J$2:J334,'Master Stock'!J334,'Master Stock'!$D$2:D334,"&lt;&gt;",'Master Stock'!$H$2:H334,"OCCUPIED",'Master Stock'!$K$2:K334,""),"")</f>
        <v/>
      </c>
      <c r="V334" s="149">
        <f>IF(AND('Master Stock'!D334&lt;&gt;"",'Master Stock'!H334="OCCUPIED",ISNUMBER('Master Stock'!L334),'Master Stock'!L334&lt;TODAY()-30),SUMPRODUCT(--('Master Stock'!$D$2:$D$1000&lt;&gt;""),--('Master Stock'!$H$2:$H$1000="OCCUPIED"),--ISNUMBER('Master Stock'!$L$2:$L$1000),--('Master Stock'!$L$2:$L$1000&lt;TODAY()-30),--('Master Stock'!$L$2:$L$1000&lt;'Master Stock'!L334))+COUNTIFS('Master Stock'!$L$2:L334,'Master Stock'!L334,'Master Stock'!$D$2:D334,"&lt;&gt;",'Master Stock'!$H$2:H334,"OCCUPIED"),"")</f>
        <v/>
      </c>
      <c r="W334" s="149" t="n"/>
      <c r="X334" s="149" t="n"/>
      <c r="Y334" s="149" t="n"/>
      <c r="Z334" s="149" t="n"/>
    </row>
    <row r="335" ht="15.75" customHeight="1" s="236">
      <c r="A335" s="148" t="n"/>
      <c r="B335" s="148" t="n"/>
      <c r="C335" s="124" t="n"/>
      <c r="D335" s="148" t="n"/>
      <c r="E335" s="148" t="n"/>
      <c r="F335" s="148" t="n"/>
      <c r="G335" s="124" t="n"/>
      <c r="H335" s="148" t="n"/>
      <c r="I335" s="148" t="n"/>
      <c r="J335" s="148" t="n"/>
      <c r="K335" s="148" t="n"/>
      <c r="L335" s="148" t="n"/>
      <c r="M335" s="148" t="n"/>
      <c r="N335" s="148" t="n"/>
      <c r="O335" s="148" t="n"/>
      <c r="P335" s="148" t="n"/>
      <c r="Q335" s="148" t="n"/>
      <c r="R335" s="148" t="n"/>
      <c r="S335" s="148" t="n"/>
      <c r="T335" s="148" t="n"/>
      <c r="U335" s="149">
        <f>IF(AND('Master Stock'!D335&lt;&gt;"",'Master Stock'!H335="OCCUPIED",ISNUMBER('Master Stock'!J335),'Master Stock'!K335=""),SUMPRODUCT(--('Master Stock'!$D$2:$D$1000&lt;&gt;""),--('Master Stock'!$H$2:$H$1000="OCCUPIED"),--ISNUMBER('Master Stock'!$J$2:$J$1000),--('Master Stock'!$K$2:$K$1000=""),--('Master Stock'!$J$2:$J$1000&lt;'Master Stock'!J335))+COUNTIFS('Master Stock'!$J$2:J335,'Master Stock'!J335,'Master Stock'!$D$2:D335,"&lt;&gt;",'Master Stock'!$H$2:H335,"OCCUPIED",'Master Stock'!$K$2:K335,""),"")</f>
        <v/>
      </c>
      <c r="V335" s="149">
        <f>IF(AND('Master Stock'!D335&lt;&gt;"",'Master Stock'!H335="OCCUPIED",ISNUMBER('Master Stock'!L335),'Master Stock'!L335&lt;TODAY()-30),SUMPRODUCT(--('Master Stock'!$D$2:$D$1000&lt;&gt;""),--('Master Stock'!$H$2:$H$1000="OCCUPIED"),--ISNUMBER('Master Stock'!$L$2:$L$1000),--('Master Stock'!$L$2:$L$1000&lt;TODAY()-30),--('Master Stock'!$L$2:$L$1000&lt;'Master Stock'!L335))+COUNTIFS('Master Stock'!$L$2:L335,'Master Stock'!L335,'Master Stock'!$D$2:D335,"&lt;&gt;",'Master Stock'!$H$2:H335,"OCCUPIED"),"")</f>
        <v/>
      </c>
      <c r="W335" s="149" t="n"/>
      <c r="X335" s="149" t="n"/>
      <c r="Y335" s="149" t="n"/>
      <c r="Z335" s="149" t="n"/>
    </row>
    <row r="336" ht="15.75" customHeight="1" s="236">
      <c r="A336" s="148" t="n"/>
      <c r="B336" s="148" t="n"/>
      <c r="C336" s="124" t="n"/>
      <c r="D336" s="148" t="n"/>
      <c r="E336" s="148" t="n"/>
      <c r="F336" s="148" t="n"/>
      <c r="G336" s="124" t="n"/>
      <c r="H336" s="148" t="n"/>
      <c r="I336" s="148" t="n"/>
      <c r="J336" s="148" t="n"/>
      <c r="K336" s="148" t="n"/>
      <c r="L336" s="148" t="n"/>
      <c r="M336" s="148" t="n"/>
      <c r="N336" s="148" t="n"/>
      <c r="O336" s="148" t="n"/>
      <c r="P336" s="148" t="n"/>
      <c r="Q336" s="148" t="n"/>
      <c r="R336" s="148" t="n"/>
      <c r="S336" s="148" t="n"/>
      <c r="T336" s="148" t="n"/>
      <c r="U336" s="149">
        <f>IF(AND('Master Stock'!D336&lt;&gt;"",'Master Stock'!H336="OCCUPIED",ISNUMBER('Master Stock'!J336),'Master Stock'!K336=""),SUMPRODUCT(--('Master Stock'!$D$2:$D$1000&lt;&gt;""),--('Master Stock'!$H$2:$H$1000="OCCUPIED"),--ISNUMBER('Master Stock'!$J$2:$J$1000),--('Master Stock'!$K$2:$K$1000=""),--('Master Stock'!$J$2:$J$1000&lt;'Master Stock'!J336))+COUNTIFS('Master Stock'!$J$2:J336,'Master Stock'!J336,'Master Stock'!$D$2:D336,"&lt;&gt;",'Master Stock'!$H$2:H336,"OCCUPIED",'Master Stock'!$K$2:K336,""),"")</f>
        <v/>
      </c>
      <c r="V336" s="149">
        <f>IF(AND('Master Stock'!D336&lt;&gt;"",'Master Stock'!H336="OCCUPIED",ISNUMBER('Master Stock'!L336),'Master Stock'!L336&lt;TODAY()-30),SUMPRODUCT(--('Master Stock'!$D$2:$D$1000&lt;&gt;""),--('Master Stock'!$H$2:$H$1000="OCCUPIED"),--ISNUMBER('Master Stock'!$L$2:$L$1000),--('Master Stock'!$L$2:$L$1000&lt;TODAY()-30),--('Master Stock'!$L$2:$L$1000&lt;'Master Stock'!L336))+COUNTIFS('Master Stock'!$L$2:L336,'Master Stock'!L336,'Master Stock'!$D$2:D336,"&lt;&gt;",'Master Stock'!$H$2:H336,"OCCUPIED"),"")</f>
        <v/>
      </c>
      <c r="W336" s="149" t="n"/>
      <c r="X336" s="149" t="n"/>
      <c r="Y336" s="149" t="n"/>
      <c r="Z336" s="149" t="n"/>
    </row>
    <row r="337" ht="15.75" customHeight="1" s="236">
      <c r="A337" s="148" t="n"/>
      <c r="B337" s="148" t="n"/>
      <c r="C337" s="124" t="n"/>
      <c r="D337" s="148" t="n"/>
      <c r="E337" s="148" t="n"/>
      <c r="F337" s="148" t="n"/>
      <c r="G337" s="124" t="n"/>
      <c r="H337" s="148" t="n"/>
      <c r="I337" s="148" t="n"/>
      <c r="J337" s="148" t="n"/>
      <c r="K337" s="148" t="n"/>
      <c r="L337" s="148" t="n"/>
      <c r="M337" s="148" t="n"/>
      <c r="N337" s="148" t="n"/>
      <c r="O337" s="148" t="n"/>
      <c r="P337" s="148" t="n"/>
      <c r="Q337" s="148" t="n"/>
      <c r="R337" s="148" t="n"/>
      <c r="S337" s="148" t="n"/>
      <c r="T337" s="148" t="n"/>
      <c r="U337" s="149">
        <f>IF(AND('Master Stock'!D337&lt;&gt;"",'Master Stock'!H337="OCCUPIED",ISNUMBER('Master Stock'!J337),'Master Stock'!K337=""),SUMPRODUCT(--('Master Stock'!$D$2:$D$1000&lt;&gt;""),--('Master Stock'!$H$2:$H$1000="OCCUPIED"),--ISNUMBER('Master Stock'!$J$2:$J$1000),--('Master Stock'!$K$2:$K$1000=""),--('Master Stock'!$J$2:$J$1000&lt;'Master Stock'!J337))+COUNTIFS('Master Stock'!$J$2:J337,'Master Stock'!J337,'Master Stock'!$D$2:D337,"&lt;&gt;",'Master Stock'!$H$2:H337,"OCCUPIED",'Master Stock'!$K$2:K337,""),"")</f>
        <v/>
      </c>
      <c r="V337" s="149">
        <f>IF(AND('Master Stock'!D337&lt;&gt;"",'Master Stock'!H337="OCCUPIED",ISNUMBER('Master Stock'!L337),'Master Stock'!L337&lt;TODAY()-30),SUMPRODUCT(--('Master Stock'!$D$2:$D$1000&lt;&gt;""),--('Master Stock'!$H$2:$H$1000="OCCUPIED"),--ISNUMBER('Master Stock'!$L$2:$L$1000),--('Master Stock'!$L$2:$L$1000&lt;TODAY()-30),--('Master Stock'!$L$2:$L$1000&lt;'Master Stock'!L337))+COUNTIFS('Master Stock'!$L$2:L337,'Master Stock'!L337,'Master Stock'!$D$2:D337,"&lt;&gt;",'Master Stock'!$H$2:H337,"OCCUPIED"),"")</f>
        <v/>
      </c>
      <c r="W337" s="149" t="n"/>
      <c r="X337" s="149" t="n"/>
      <c r="Y337" s="149" t="n"/>
      <c r="Z337" s="149" t="n"/>
    </row>
    <row r="338" ht="15.75" customHeight="1" s="236">
      <c r="A338" s="148" t="n"/>
      <c r="B338" s="148" t="n"/>
      <c r="C338" s="124" t="n"/>
      <c r="D338" s="148" t="n"/>
      <c r="E338" s="148" t="n"/>
      <c r="F338" s="148" t="n"/>
      <c r="G338" s="124" t="n"/>
      <c r="H338" s="148" t="n"/>
      <c r="I338" s="148" t="n"/>
      <c r="J338" s="148" t="n"/>
      <c r="K338" s="148" t="n"/>
      <c r="L338" s="148" t="n"/>
      <c r="M338" s="148" t="n"/>
      <c r="N338" s="148" t="n"/>
      <c r="O338" s="148" t="n"/>
      <c r="P338" s="148" t="n"/>
      <c r="Q338" s="148" t="n"/>
      <c r="R338" s="148" t="n"/>
      <c r="S338" s="148" t="n"/>
      <c r="T338" s="148" t="n"/>
      <c r="U338" s="149">
        <f>IF(AND('Master Stock'!D338&lt;&gt;"",'Master Stock'!H338="OCCUPIED",ISNUMBER('Master Stock'!J338),'Master Stock'!K338=""),SUMPRODUCT(--('Master Stock'!$D$2:$D$1000&lt;&gt;""),--('Master Stock'!$H$2:$H$1000="OCCUPIED"),--ISNUMBER('Master Stock'!$J$2:$J$1000),--('Master Stock'!$K$2:$K$1000=""),--('Master Stock'!$J$2:$J$1000&lt;'Master Stock'!J338))+COUNTIFS('Master Stock'!$J$2:J338,'Master Stock'!J338,'Master Stock'!$D$2:D338,"&lt;&gt;",'Master Stock'!$H$2:H338,"OCCUPIED",'Master Stock'!$K$2:K338,""),"")</f>
        <v/>
      </c>
      <c r="V338" s="149">
        <f>IF(AND('Master Stock'!D338&lt;&gt;"",'Master Stock'!H338="OCCUPIED",ISNUMBER('Master Stock'!L338),'Master Stock'!L338&lt;TODAY()-30),SUMPRODUCT(--('Master Stock'!$D$2:$D$1000&lt;&gt;""),--('Master Stock'!$H$2:$H$1000="OCCUPIED"),--ISNUMBER('Master Stock'!$L$2:$L$1000),--('Master Stock'!$L$2:$L$1000&lt;TODAY()-30),--('Master Stock'!$L$2:$L$1000&lt;'Master Stock'!L338))+COUNTIFS('Master Stock'!$L$2:L338,'Master Stock'!L338,'Master Stock'!$D$2:D338,"&lt;&gt;",'Master Stock'!$H$2:H338,"OCCUPIED"),"")</f>
        <v/>
      </c>
      <c r="W338" s="149" t="n"/>
      <c r="X338" s="149" t="n"/>
      <c r="Y338" s="149" t="n"/>
      <c r="Z338" s="149" t="n"/>
    </row>
    <row r="339" ht="15.75" customHeight="1" s="236">
      <c r="A339" s="148" t="n"/>
      <c r="B339" s="148" t="n"/>
      <c r="C339" s="124" t="n"/>
      <c r="D339" s="148" t="n"/>
      <c r="E339" s="148" t="n"/>
      <c r="F339" s="148" t="n"/>
      <c r="G339" s="124" t="n"/>
      <c r="H339" s="148" t="n"/>
      <c r="I339" s="148" t="n"/>
      <c r="J339" s="148" t="n"/>
      <c r="K339" s="148" t="n"/>
      <c r="L339" s="148" t="n"/>
      <c r="M339" s="148" t="n"/>
      <c r="N339" s="148" t="n"/>
      <c r="O339" s="148" t="n"/>
      <c r="P339" s="148" t="n"/>
      <c r="Q339" s="148" t="n"/>
      <c r="R339" s="148" t="n"/>
      <c r="S339" s="148" t="n"/>
      <c r="T339" s="148" t="n"/>
      <c r="U339" s="149">
        <f>IF(AND('Master Stock'!D339&lt;&gt;"",'Master Stock'!H339="OCCUPIED",ISNUMBER('Master Stock'!J339),'Master Stock'!K339=""),SUMPRODUCT(--('Master Stock'!$D$2:$D$1000&lt;&gt;""),--('Master Stock'!$H$2:$H$1000="OCCUPIED"),--ISNUMBER('Master Stock'!$J$2:$J$1000),--('Master Stock'!$K$2:$K$1000=""),--('Master Stock'!$J$2:$J$1000&lt;'Master Stock'!J339))+COUNTIFS('Master Stock'!$J$2:J339,'Master Stock'!J339,'Master Stock'!$D$2:D339,"&lt;&gt;",'Master Stock'!$H$2:H339,"OCCUPIED",'Master Stock'!$K$2:K339,""),"")</f>
        <v/>
      </c>
      <c r="V339" s="149">
        <f>IF(AND('Master Stock'!D339&lt;&gt;"",'Master Stock'!H339="OCCUPIED",ISNUMBER('Master Stock'!L339),'Master Stock'!L339&lt;TODAY()-30),SUMPRODUCT(--('Master Stock'!$D$2:$D$1000&lt;&gt;""),--('Master Stock'!$H$2:$H$1000="OCCUPIED"),--ISNUMBER('Master Stock'!$L$2:$L$1000),--('Master Stock'!$L$2:$L$1000&lt;TODAY()-30),--('Master Stock'!$L$2:$L$1000&lt;'Master Stock'!L339))+COUNTIFS('Master Stock'!$L$2:L339,'Master Stock'!L339,'Master Stock'!$D$2:D339,"&lt;&gt;",'Master Stock'!$H$2:H339,"OCCUPIED"),"")</f>
        <v/>
      </c>
      <c r="W339" s="149" t="n"/>
      <c r="X339" s="149" t="n"/>
      <c r="Y339" s="149" t="n"/>
      <c r="Z339" s="149" t="n"/>
    </row>
    <row r="340" ht="15.75" customHeight="1" s="236">
      <c r="A340" s="148" t="n"/>
      <c r="B340" s="148" t="n"/>
      <c r="C340" s="124" t="n"/>
      <c r="D340" s="148" t="n"/>
      <c r="E340" s="148" t="n"/>
      <c r="F340" s="148" t="n"/>
      <c r="G340" s="124" t="n"/>
      <c r="H340" s="148" t="n"/>
      <c r="I340" s="148" t="n"/>
      <c r="J340" s="148" t="n"/>
      <c r="K340" s="148" t="n"/>
      <c r="L340" s="148" t="n"/>
      <c r="M340" s="148" t="n"/>
      <c r="N340" s="148" t="n"/>
      <c r="O340" s="148" t="n"/>
      <c r="P340" s="148" t="n"/>
      <c r="Q340" s="148" t="n"/>
      <c r="R340" s="148" t="n"/>
      <c r="S340" s="148" t="n"/>
      <c r="T340" s="148" t="n"/>
      <c r="U340" s="149">
        <f>IF(AND('Master Stock'!D340&lt;&gt;"",'Master Stock'!H340="OCCUPIED",ISNUMBER('Master Stock'!J340),'Master Stock'!K340=""),SUMPRODUCT(--('Master Stock'!$D$2:$D$1000&lt;&gt;""),--('Master Stock'!$H$2:$H$1000="OCCUPIED"),--ISNUMBER('Master Stock'!$J$2:$J$1000),--('Master Stock'!$K$2:$K$1000=""),--('Master Stock'!$J$2:$J$1000&lt;'Master Stock'!J340))+COUNTIFS('Master Stock'!$J$2:J340,'Master Stock'!J340,'Master Stock'!$D$2:D340,"&lt;&gt;",'Master Stock'!$H$2:H340,"OCCUPIED",'Master Stock'!$K$2:K340,""),"")</f>
        <v/>
      </c>
      <c r="V340" s="149">
        <f>IF(AND('Master Stock'!D340&lt;&gt;"",'Master Stock'!H340="OCCUPIED",ISNUMBER('Master Stock'!L340),'Master Stock'!L340&lt;TODAY()-30),SUMPRODUCT(--('Master Stock'!$D$2:$D$1000&lt;&gt;""),--('Master Stock'!$H$2:$H$1000="OCCUPIED"),--ISNUMBER('Master Stock'!$L$2:$L$1000),--('Master Stock'!$L$2:$L$1000&lt;TODAY()-30),--('Master Stock'!$L$2:$L$1000&lt;'Master Stock'!L340))+COUNTIFS('Master Stock'!$L$2:L340,'Master Stock'!L340,'Master Stock'!$D$2:D340,"&lt;&gt;",'Master Stock'!$H$2:H340,"OCCUPIED"),"")</f>
        <v/>
      </c>
      <c r="W340" s="149" t="n"/>
      <c r="X340" s="149" t="n"/>
      <c r="Y340" s="149" t="n"/>
      <c r="Z340" s="149" t="n"/>
    </row>
    <row r="341" ht="15.75" customHeight="1" s="236">
      <c r="A341" s="148" t="n"/>
      <c r="B341" s="148" t="n"/>
      <c r="C341" s="124" t="n"/>
      <c r="D341" s="148" t="n"/>
      <c r="E341" s="148" t="n"/>
      <c r="F341" s="148" t="n"/>
      <c r="G341" s="124" t="n"/>
      <c r="H341" s="148" t="n"/>
      <c r="I341" s="148" t="n"/>
      <c r="J341" s="148" t="n"/>
      <c r="K341" s="148" t="n"/>
      <c r="L341" s="148" t="n"/>
      <c r="M341" s="148" t="n"/>
      <c r="N341" s="148" t="n"/>
      <c r="O341" s="148" t="n"/>
      <c r="P341" s="148" t="n"/>
      <c r="Q341" s="148" t="n"/>
      <c r="R341" s="148" t="n"/>
      <c r="S341" s="148" t="n"/>
      <c r="T341" s="148" t="n"/>
      <c r="U341" s="149">
        <f>IF(AND('Master Stock'!D341&lt;&gt;"",'Master Stock'!H341="OCCUPIED",ISNUMBER('Master Stock'!J341),'Master Stock'!K341=""),SUMPRODUCT(--('Master Stock'!$D$2:$D$1000&lt;&gt;""),--('Master Stock'!$H$2:$H$1000="OCCUPIED"),--ISNUMBER('Master Stock'!$J$2:$J$1000),--('Master Stock'!$K$2:$K$1000=""),--('Master Stock'!$J$2:$J$1000&lt;'Master Stock'!J341))+COUNTIFS('Master Stock'!$J$2:J341,'Master Stock'!J341,'Master Stock'!$D$2:D341,"&lt;&gt;",'Master Stock'!$H$2:H341,"OCCUPIED",'Master Stock'!$K$2:K341,""),"")</f>
        <v/>
      </c>
      <c r="V341" s="149">
        <f>IF(AND('Master Stock'!D341&lt;&gt;"",'Master Stock'!H341="OCCUPIED",ISNUMBER('Master Stock'!L341),'Master Stock'!L341&lt;TODAY()-30),SUMPRODUCT(--('Master Stock'!$D$2:$D$1000&lt;&gt;""),--('Master Stock'!$H$2:$H$1000="OCCUPIED"),--ISNUMBER('Master Stock'!$L$2:$L$1000),--('Master Stock'!$L$2:$L$1000&lt;TODAY()-30),--('Master Stock'!$L$2:$L$1000&lt;'Master Stock'!L341))+COUNTIFS('Master Stock'!$L$2:L341,'Master Stock'!L341,'Master Stock'!$D$2:D341,"&lt;&gt;",'Master Stock'!$H$2:H341,"OCCUPIED"),"")</f>
        <v/>
      </c>
      <c r="W341" s="149" t="n"/>
      <c r="X341" s="149" t="n"/>
      <c r="Y341" s="149" t="n"/>
      <c r="Z341" s="149" t="n"/>
    </row>
    <row r="342" ht="15.75" customHeight="1" s="236">
      <c r="A342" s="148" t="n"/>
      <c r="B342" s="148" t="n"/>
      <c r="C342" s="124" t="n"/>
      <c r="D342" s="148" t="n"/>
      <c r="E342" s="148" t="n"/>
      <c r="F342" s="148" t="n"/>
      <c r="G342" s="124" t="n"/>
      <c r="H342" s="148" t="n"/>
      <c r="I342" s="148" t="n"/>
      <c r="J342" s="148" t="n"/>
      <c r="K342" s="148" t="n"/>
      <c r="L342" s="148" t="n"/>
      <c r="M342" s="148" t="n"/>
      <c r="N342" s="148" t="n"/>
      <c r="O342" s="148" t="n"/>
      <c r="P342" s="148" t="n"/>
      <c r="Q342" s="148" t="n"/>
      <c r="R342" s="148" t="n"/>
      <c r="S342" s="148" t="n"/>
      <c r="T342" s="148" t="n"/>
      <c r="U342" s="149">
        <f>IF(AND('Master Stock'!D342&lt;&gt;"",'Master Stock'!H342="OCCUPIED",ISNUMBER('Master Stock'!J342),'Master Stock'!K342=""),SUMPRODUCT(--('Master Stock'!$D$2:$D$1000&lt;&gt;""),--('Master Stock'!$H$2:$H$1000="OCCUPIED"),--ISNUMBER('Master Stock'!$J$2:$J$1000),--('Master Stock'!$K$2:$K$1000=""),--('Master Stock'!$J$2:$J$1000&lt;'Master Stock'!J342))+COUNTIFS('Master Stock'!$J$2:J342,'Master Stock'!J342,'Master Stock'!$D$2:D342,"&lt;&gt;",'Master Stock'!$H$2:H342,"OCCUPIED",'Master Stock'!$K$2:K342,""),"")</f>
        <v/>
      </c>
      <c r="V342" s="149">
        <f>IF(AND('Master Stock'!D342&lt;&gt;"",'Master Stock'!H342="OCCUPIED",ISNUMBER('Master Stock'!L342),'Master Stock'!L342&lt;TODAY()-30),SUMPRODUCT(--('Master Stock'!$D$2:$D$1000&lt;&gt;""),--('Master Stock'!$H$2:$H$1000="OCCUPIED"),--ISNUMBER('Master Stock'!$L$2:$L$1000),--('Master Stock'!$L$2:$L$1000&lt;TODAY()-30),--('Master Stock'!$L$2:$L$1000&lt;'Master Stock'!L342))+COUNTIFS('Master Stock'!$L$2:L342,'Master Stock'!L342,'Master Stock'!$D$2:D342,"&lt;&gt;",'Master Stock'!$H$2:H342,"OCCUPIED"),"")</f>
        <v/>
      </c>
      <c r="W342" s="149" t="n"/>
      <c r="X342" s="149" t="n"/>
      <c r="Y342" s="149" t="n"/>
      <c r="Z342" s="149" t="n"/>
    </row>
    <row r="343" ht="15.75" customHeight="1" s="236">
      <c r="A343" s="148" t="n"/>
      <c r="B343" s="148" t="n"/>
      <c r="C343" s="124" t="n"/>
      <c r="D343" s="148" t="n"/>
      <c r="E343" s="148" t="n"/>
      <c r="F343" s="148" t="n"/>
      <c r="G343" s="124" t="n"/>
      <c r="H343" s="148" t="n"/>
      <c r="I343" s="148" t="n"/>
      <c r="J343" s="148" t="n"/>
      <c r="K343" s="148" t="n"/>
      <c r="L343" s="148" t="n"/>
      <c r="M343" s="148" t="n"/>
      <c r="N343" s="148" t="n"/>
      <c r="O343" s="148" t="n"/>
      <c r="P343" s="148" t="n"/>
      <c r="Q343" s="148" t="n"/>
      <c r="R343" s="148" t="n"/>
      <c r="S343" s="148" t="n"/>
      <c r="T343" s="148" t="n"/>
      <c r="U343" s="149">
        <f>IF(AND('Master Stock'!D343&lt;&gt;"",'Master Stock'!H343="OCCUPIED",ISNUMBER('Master Stock'!J343),'Master Stock'!K343=""),SUMPRODUCT(--('Master Stock'!$D$2:$D$1000&lt;&gt;""),--('Master Stock'!$H$2:$H$1000="OCCUPIED"),--ISNUMBER('Master Stock'!$J$2:$J$1000),--('Master Stock'!$K$2:$K$1000=""),--('Master Stock'!$J$2:$J$1000&lt;'Master Stock'!J343))+COUNTIFS('Master Stock'!$J$2:J343,'Master Stock'!J343,'Master Stock'!$D$2:D343,"&lt;&gt;",'Master Stock'!$H$2:H343,"OCCUPIED",'Master Stock'!$K$2:K343,""),"")</f>
        <v/>
      </c>
      <c r="V343" s="149">
        <f>IF(AND('Master Stock'!D343&lt;&gt;"",'Master Stock'!H343="OCCUPIED",ISNUMBER('Master Stock'!L343),'Master Stock'!L343&lt;TODAY()-30),SUMPRODUCT(--('Master Stock'!$D$2:$D$1000&lt;&gt;""),--('Master Stock'!$H$2:$H$1000="OCCUPIED"),--ISNUMBER('Master Stock'!$L$2:$L$1000),--('Master Stock'!$L$2:$L$1000&lt;TODAY()-30),--('Master Stock'!$L$2:$L$1000&lt;'Master Stock'!L343))+COUNTIFS('Master Stock'!$L$2:L343,'Master Stock'!L343,'Master Stock'!$D$2:D343,"&lt;&gt;",'Master Stock'!$H$2:H343,"OCCUPIED"),"")</f>
        <v/>
      </c>
      <c r="W343" s="149" t="n"/>
      <c r="X343" s="149" t="n"/>
      <c r="Y343" s="149" t="n"/>
      <c r="Z343" s="149" t="n"/>
    </row>
    <row r="344" ht="15.75" customHeight="1" s="236">
      <c r="A344" s="148" t="n"/>
      <c r="B344" s="148" t="n"/>
      <c r="C344" s="124" t="n"/>
      <c r="D344" s="148" t="n"/>
      <c r="E344" s="148" t="n"/>
      <c r="F344" s="148" t="n"/>
      <c r="G344" s="124" t="n"/>
      <c r="H344" s="148" t="n"/>
      <c r="I344" s="148" t="n"/>
      <c r="J344" s="148" t="n"/>
      <c r="K344" s="148" t="n"/>
      <c r="L344" s="148" t="n"/>
      <c r="M344" s="148" t="n"/>
      <c r="N344" s="148" t="n"/>
      <c r="O344" s="148" t="n"/>
      <c r="P344" s="148" t="n"/>
      <c r="Q344" s="148" t="n"/>
      <c r="R344" s="148" t="n"/>
      <c r="S344" s="148" t="n"/>
      <c r="T344" s="148" t="n"/>
      <c r="U344" s="149">
        <f>IF(AND('Master Stock'!D344&lt;&gt;"",'Master Stock'!H344="OCCUPIED",ISNUMBER('Master Stock'!J344),'Master Stock'!K344=""),SUMPRODUCT(--('Master Stock'!$D$2:$D$1000&lt;&gt;""),--('Master Stock'!$H$2:$H$1000="OCCUPIED"),--ISNUMBER('Master Stock'!$J$2:$J$1000),--('Master Stock'!$K$2:$K$1000=""),--('Master Stock'!$J$2:$J$1000&lt;'Master Stock'!J344))+COUNTIFS('Master Stock'!$J$2:J344,'Master Stock'!J344,'Master Stock'!$D$2:D344,"&lt;&gt;",'Master Stock'!$H$2:H344,"OCCUPIED",'Master Stock'!$K$2:K344,""),"")</f>
        <v/>
      </c>
      <c r="V344" s="149">
        <f>IF(AND('Master Stock'!D344&lt;&gt;"",'Master Stock'!H344="OCCUPIED",ISNUMBER('Master Stock'!L344),'Master Stock'!L344&lt;TODAY()-30),SUMPRODUCT(--('Master Stock'!$D$2:$D$1000&lt;&gt;""),--('Master Stock'!$H$2:$H$1000="OCCUPIED"),--ISNUMBER('Master Stock'!$L$2:$L$1000),--('Master Stock'!$L$2:$L$1000&lt;TODAY()-30),--('Master Stock'!$L$2:$L$1000&lt;'Master Stock'!L344))+COUNTIFS('Master Stock'!$L$2:L344,'Master Stock'!L344,'Master Stock'!$D$2:D344,"&lt;&gt;",'Master Stock'!$H$2:H344,"OCCUPIED"),"")</f>
        <v/>
      </c>
      <c r="W344" s="149" t="n"/>
      <c r="X344" s="149" t="n"/>
      <c r="Y344" s="149" t="n"/>
      <c r="Z344" s="149" t="n"/>
    </row>
    <row r="345" ht="15.75" customHeight="1" s="236">
      <c r="A345" s="148" t="n"/>
      <c r="B345" s="148" t="n"/>
      <c r="C345" s="124" t="n"/>
      <c r="D345" s="148" t="n"/>
      <c r="E345" s="148" t="n"/>
      <c r="F345" s="148" t="n"/>
      <c r="G345" s="124" t="n"/>
      <c r="H345" s="148" t="n"/>
      <c r="I345" s="148" t="n"/>
      <c r="J345" s="148" t="n"/>
      <c r="K345" s="148" t="n"/>
      <c r="L345" s="148" t="n"/>
      <c r="M345" s="148" t="n"/>
      <c r="N345" s="148" t="n"/>
      <c r="O345" s="148" t="n"/>
      <c r="P345" s="148" t="n"/>
      <c r="Q345" s="148" t="n"/>
      <c r="R345" s="148" t="n"/>
      <c r="S345" s="148" t="n"/>
      <c r="T345" s="148" t="n"/>
      <c r="U345" s="149">
        <f>IF(AND('Master Stock'!D345&lt;&gt;"",'Master Stock'!H345="OCCUPIED",ISNUMBER('Master Stock'!J345),'Master Stock'!K345=""),SUMPRODUCT(--('Master Stock'!$D$2:$D$1000&lt;&gt;""),--('Master Stock'!$H$2:$H$1000="OCCUPIED"),--ISNUMBER('Master Stock'!$J$2:$J$1000),--('Master Stock'!$K$2:$K$1000=""),--('Master Stock'!$J$2:$J$1000&lt;'Master Stock'!J345))+COUNTIFS('Master Stock'!$J$2:J345,'Master Stock'!J345,'Master Stock'!$D$2:D345,"&lt;&gt;",'Master Stock'!$H$2:H345,"OCCUPIED",'Master Stock'!$K$2:K345,""),"")</f>
        <v/>
      </c>
      <c r="V345" s="149">
        <f>IF(AND('Master Stock'!D345&lt;&gt;"",'Master Stock'!H345="OCCUPIED",ISNUMBER('Master Stock'!L345),'Master Stock'!L345&lt;TODAY()-30),SUMPRODUCT(--('Master Stock'!$D$2:$D$1000&lt;&gt;""),--('Master Stock'!$H$2:$H$1000="OCCUPIED"),--ISNUMBER('Master Stock'!$L$2:$L$1000),--('Master Stock'!$L$2:$L$1000&lt;TODAY()-30),--('Master Stock'!$L$2:$L$1000&lt;'Master Stock'!L345))+COUNTIFS('Master Stock'!$L$2:L345,'Master Stock'!L345,'Master Stock'!$D$2:D345,"&lt;&gt;",'Master Stock'!$H$2:H345,"OCCUPIED"),"")</f>
        <v/>
      </c>
      <c r="W345" s="149" t="n"/>
      <c r="X345" s="149" t="n"/>
      <c r="Y345" s="149" t="n"/>
      <c r="Z345" s="149" t="n"/>
    </row>
    <row r="346" ht="15.75" customHeight="1" s="236">
      <c r="A346" s="148" t="n"/>
      <c r="B346" s="148" t="n"/>
      <c r="C346" s="124" t="n"/>
      <c r="D346" s="148" t="n"/>
      <c r="E346" s="148" t="n"/>
      <c r="F346" s="148" t="n"/>
      <c r="G346" s="124" t="n"/>
      <c r="H346" s="148" t="n"/>
      <c r="I346" s="148" t="n"/>
      <c r="J346" s="148" t="n"/>
      <c r="K346" s="148" t="n"/>
      <c r="L346" s="148" t="n"/>
      <c r="M346" s="148" t="n"/>
      <c r="N346" s="148" t="n"/>
      <c r="O346" s="148" t="n"/>
      <c r="P346" s="148" t="n"/>
      <c r="Q346" s="148" t="n"/>
      <c r="R346" s="148" t="n"/>
      <c r="S346" s="148" t="n"/>
      <c r="T346" s="148" t="n"/>
      <c r="U346" s="149">
        <f>IF(AND('Master Stock'!D346&lt;&gt;"",'Master Stock'!H346="OCCUPIED",ISNUMBER('Master Stock'!J346),'Master Stock'!K346=""),SUMPRODUCT(--('Master Stock'!$D$2:$D$1000&lt;&gt;""),--('Master Stock'!$H$2:$H$1000="OCCUPIED"),--ISNUMBER('Master Stock'!$J$2:$J$1000),--('Master Stock'!$K$2:$K$1000=""),--('Master Stock'!$J$2:$J$1000&lt;'Master Stock'!J346))+COUNTIFS('Master Stock'!$J$2:J346,'Master Stock'!J346,'Master Stock'!$D$2:D346,"&lt;&gt;",'Master Stock'!$H$2:H346,"OCCUPIED",'Master Stock'!$K$2:K346,""),"")</f>
        <v/>
      </c>
      <c r="V346" s="149">
        <f>IF(AND('Master Stock'!D346&lt;&gt;"",'Master Stock'!H346="OCCUPIED",ISNUMBER('Master Stock'!L346),'Master Stock'!L346&lt;TODAY()-30),SUMPRODUCT(--('Master Stock'!$D$2:$D$1000&lt;&gt;""),--('Master Stock'!$H$2:$H$1000="OCCUPIED"),--ISNUMBER('Master Stock'!$L$2:$L$1000),--('Master Stock'!$L$2:$L$1000&lt;TODAY()-30),--('Master Stock'!$L$2:$L$1000&lt;'Master Stock'!L346))+COUNTIFS('Master Stock'!$L$2:L346,'Master Stock'!L346,'Master Stock'!$D$2:D346,"&lt;&gt;",'Master Stock'!$H$2:H346,"OCCUPIED"),"")</f>
        <v/>
      </c>
      <c r="W346" s="149" t="n"/>
      <c r="X346" s="149" t="n"/>
      <c r="Y346" s="149" t="n"/>
      <c r="Z346" s="149" t="n"/>
    </row>
    <row r="347" ht="15.75" customHeight="1" s="236">
      <c r="A347" s="148" t="n"/>
      <c r="B347" s="148" t="n"/>
      <c r="C347" s="124" t="n"/>
      <c r="D347" s="148" t="n"/>
      <c r="E347" s="148" t="n"/>
      <c r="F347" s="148" t="n"/>
      <c r="G347" s="124" t="n"/>
      <c r="H347" s="148" t="n"/>
      <c r="I347" s="148" t="n"/>
      <c r="J347" s="148" t="n"/>
      <c r="K347" s="148" t="n"/>
      <c r="L347" s="148" t="n"/>
      <c r="M347" s="148" t="n"/>
      <c r="N347" s="148" t="n"/>
      <c r="O347" s="148" t="n"/>
      <c r="P347" s="148" t="n"/>
      <c r="Q347" s="148" t="n"/>
      <c r="R347" s="148" t="n"/>
      <c r="S347" s="148" t="n"/>
      <c r="T347" s="148" t="n"/>
      <c r="U347" s="149">
        <f>IF(AND('Master Stock'!D347&lt;&gt;"",'Master Stock'!H347="OCCUPIED",ISNUMBER('Master Stock'!J347),'Master Stock'!K347=""),SUMPRODUCT(--('Master Stock'!$D$2:$D$1000&lt;&gt;""),--('Master Stock'!$H$2:$H$1000="OCCUPIED"),--ISNUMBER('Master Stock'!$J$2:$J$1000),--('Master Stock'!$K$2:$K$1000=""),--('Master Stock'!$J$2:$J$1000&lt;'Master Stock'!J347))+COUNTIFS('Master Stock'!$J$2:J347,'Master Stock'!J347,'Master Stock'!$D$2:D347,"&lt;&gt;",'Master Stock'!$H$2:H347,"OCCUPIED",'Master Stock'!$K$2:K347,""),"")</f>
        <v/>
      </c>
      <c r="V347" s="149">
        <f>IF(AND('Master Stock'!D347&lt;&gt;"",'Master Stock'!H347="OCCUPIED",ISNUMBER('Master Stock'!L347),'Master Stock'!L347&lt;TODAY()-30),SUMPRODUCT(--('Master Stock'!$D$2:$D$1000&lt;&gt;""),--('Master Stock'!$H$2:$H$1000="OCCUPIED"),--ISNUMBER('Master Stock'!$L$2:$L$1000),--('Master Stock'!$L$2:$L$1000&lt;TODAY()-30),--('Master Stock'!$L$2:$L$1000&lt;'Master Stock'!L347))+COUNTIFS('Master Stock'!$L$2:L347,'Master Stock'!L347,'Master Stock'!$D$2:D347,"&lt;&gt;",'Master Stock'!$H$2:H347,"OCCUPIED"),"")</f>
        <v/>
      </c>
      <c r="W347" s="149" t="n"/>
      <c r="X347" s="149" t="n"/>
      <c r="Y347" s="149" t="n"/>
      <c r="Z347" s="149" t="n"/>
    </row>
    <row r="348" ht="15.75" customHeight="1" s="236">
      <c r="A348" s="148" t="n"/>
      <c r="B348" s="148" t="n"/>
      <c r="C348" s="124" t="n"/>
      <c r="D348" s="148" t="n"/>
      <c r="E348" s="148" t="n"/>
      <c r="F348" s="148" t="n"/>
      <c r="G348" s="124" t="n"/>
      <c r="H348" s="148" t="n"/>
      <c r="I348" s="148" t="n"/>
      <c r="J348" s="148" t="n"/>
      <c r="K348" s="148" t="n"/>
      <c r="L348" s="148" t="n"/>
      <c r="M348" s="148" t="n"/>
      <c r="N348" s="148" t="n"/>
      <c r="O348" s="148" t="n"/>
      <c r="P348" s="148" t="n"/>
      <c r="Q348" s="148" t="n"/>
      <c r="R348" s="148" t="n"/>
      <c r="S348" s="148" t="n"/>
      <c r="T348" s="148" t="n"/>
      <c r="U348" s="149">
        <f>IF(AND('Master Stock'!D348&lt;&gt;"",'Master Stock'!H348="OCCUPIED",ISNUMBER('Master Stock'!J348),'Master Stock'!K348=""),SUMPRODUCT(--('Master Stock'!$D$2:$D$1000&lt;&gt;""),--('Master Stock'!$H$2:$H$1000="OCCUPIED"),--ISNUMBER('Master Stock'!$J$2:$J$1000),--('Master Stock'!$K$2:$K$1000=""),--('Master Stock'!$J$2:$J$1000&lt;'Master Stock'!J348))+COUNTIFS('Master Stock'!$J$2:J348,'Master Stock'!J348,'Master Stock'!$D$2:D348,"&lt;&gt;",'Master Stock'!$H$2:H348,"OCCUPIED",'Master Stock'!$K$2:K348,""),"")</f>
        <v/>
      </c>
      <c r="V348" s="149">
        <f>IF(AND('Master Stock'!D348&lt;&gt;"",'Master Stock'!H348="OCCUPIED",ISNUMBER('Master Stock'!L348),'Master Stock'!L348&lt;TODAY()-30),SUMPRODUCT(--('Master Stock'!$D$2:$D$1000&lt;&gt;""),--('Master Stock'!$H$2:$H$1000="OCCUPIED"),--ISNUMBER('Master Stock'!$L$2:$L$1000),--('Master Stock'!$L$2:$L$1000&lt;TODAY()-30),--('Master Stock'!$L$2:$L$1000&lt;'Master Stock'!L348))+COUNTIFS('Master Stock'!$L$2:L348,'Master Stock'!L348,'Master Stock'!$D$2:D348,"&lt;&gt;",'Master Stock'!$H$2:H348,"OCCUPIED"),"")</f>
        <v/>
      </c>
      <c r="W348" s="149" t="n"/>
      <c r="X348" s="149" t="n"/>
      <c r="Y348" s="149" t="n"/>
      <c r="Z348" s="149" t="n"/>
    </row>
    <row r="349" ht="15.75" customHeight="1" s="236">
      <c r="A349" s="148" t="n"/>
      <c r="B349" s="148" t="n"/>
      <c r="C349" s="124" t="n"/>
      <c r="D349" s="148" t="n"/>
      <c r="E349" s="148" t="n"/>
      <c r="F349" s="148" t="n"/>
      <c r="G349" s="124" t="n"/>
      <c r="H349" s="148" t="n"/>
      <c r="I349" s="148" t="n"/>
      <c r="J349" s="148" t="n"/>
      <c r="K349" s="148" t="n"/>
      <c r="L349" s="148" t="n"/>
      <c r="M349" s="148" t="n"/>
      <c r="N349" s="148" t="n"/>
      <c r="O349" s="148" t="n"/>
      <c r="P349" s="148" t="n"/>
      <c r="Q349" s="148" t="n"/>
      <c r="R349" s="148" t="n"/>
      <c r="S349" s="148" t="n"/>
      <c r="T349" s="148" t="n"/>
      <c r="U349" s="149">
        <f>IF(AND('Master Stock'!D349&lt;&gt;"",'Master Stock'!H349="OCCUPIED",ISNUMBER('Master Stock'!J349),'Master Stock'!K349=""),SUMPRODUCT(--('Master Stock'!$D$2:$D$1000&lt;&gt;""),--('Master Stock'!$H$2:$H$1000="OCCUPIED"),--ISNUMBER('Master Stock'!$J$2:$J$1000),--('Master Stock'!$K$2:$K$1000=""),--('Master Stock'!$J$2:$J$1000&lt;'Master Stock'!J349))+COUNTIFS('Master Stock'!$J$2:J349,'Master Stock'!J349,'Master Stock'!$D$2:D349,"&lt;&gt;",'Master Stock'!$H$2:H349,"OCCUPIED",'Master Stock'!$K$2:K349,""),"")</f>
        <v/>
      </c>
      <c r="V349" s="149">
        <f>IF(AND('Master Stock'!D349&lt;&gt;"",'Master Stock'!H349="OCCUPIED",ISNUMBER('Master Stock'!L349),'Master Stock'!L349&lt;TODAY()-30),SUMPRODUCT(--('Master Stock'!$D$2:$D$1000&lt;&gt;""),--('Master Stock'!$H$2:$H$1000="OCCUPIED"),--ISNUMBER('Master Stock'!$L$2:$L$1000),--('Master Stock'!$L$2:$L$1000&lt;TODAY()-30),--('Master Stock'!$L$2:$L$1000&lt;'Master Stock'!L349))+COUNTIFS('Master Stock'!$L$2:L349,'Master Stock'!L349,'Master Stock'!$D$2:D349,"&lt;&gt;",'Master Stock'!$H$2:H349,"OCCUPIED"),"")</f>
        <v/>
      </c>
      <c r="W349" s="149" t="n"/>
      <c r="X349" s="149" t="n"/>
      <c r="Y349" s="149" t="n"/>
      <c r="Z349" s="149" t="n"/>
    </row>
    <row r="350" ht="15.75" customHeight="1" s="236">
      <c r="A350" s="148" t="n"/>
      <c r="B350" s="148" t="n"/>
      <c r="C350" s="124" t="n"/>
      <c r="D350" s="148" t="n"/>
      <c r="E350" s="148" t="n"/>
      <c r="F350" s="148" t="n"/>
      <c r="G350" s="124" t="n"/>
      <c r="H350" s="148" t="n"/>
      <c r="I350" s="148" t="n"/>
      <c r="J350" s="148" t="n"/>
      <c r="K350" s="148" t="n"/>
      <c r="L350" s="148" t="n"/>
      <c r="M350" s="148" t="n"/>
      <c r="N350" s="148" t="n"/>
      <c r="O350" s="148" t="n"/>
      <c r="P350" s="148" t="n"/>
      <c r="Q350" s="148" t="n"/>
      <c r="R350" s="148" t="n"/>
      <c r="S350" s="148" t="n"/>
      <c r="T350" s="148" t="n"/>
      <c r="U350" s="149">
        <f>IF(AND('Master Stock'!D350&lt;&gt;"",'Master Stock'!H350="OCCUPIED",ISNUMBER('Master Stock'!J350),'Master Stock'!K350=""),SUMPRODUCT(--('Master Stock'!$D$2:$D$1000&lt;&gt;""),--('Master Stock'!$H$2:$H$1000="OCCUPIED"),--ISNUMBER('Master Stock'!$J$2:$J$1000),--('Master Stock'!$K$2:$K$1000=""),--('Master Stock'!$J$2:$J$1000&lt;'Master Stock'!J350))+COUNTIFS('Master Stock'!$J$2:J350,'Master Stock'!J350,'Master Stock'!$D$2:D350,"&lt;&gt;",'Master Stock'!$H$2:H350,"OCCUPIED",'Master Stock'!$K$2:K350,""),"")</f>
        <v/>
      </c>
      <c r="V350" s="149">
        <f>IF(AND('Master Stock'!D350&lt;&gt;"",'Master Stock'!H350="OCCUPIED",ISNUMBER('Master Stock'!L350),'Master Stock'!L350&lt;TODAY()-30),SUMPRODUCT(--('Master Stock'!$D$2:$D$1000&lt;&gt;""),--('Master Stock'!$H$2:$H$1000="OCCUPIED"),--ISNUMBER('Master Stock'!$L$2:$L$1000),--('Master Stock'!$L$2:$L$1000&lt;TODAY()-30),--('Master Stock'!$L$2:$L$1000&lt;'Master Stock'!L350))+COUNTIFS('Master Stock'!$L$2:L350,'Master Stock'!L350,'Master Stock'!$D$2:D350,"&lt;&gt;",'Master Stock'!$H$2:H350,"OCCUPIED"),"")</f>
        <v/>
      </c>
      <c r="W350" s="149" t="n"/>
      <c r="X350" s="149" t="n"/>
      <c r="Y350" s="149" t="n"/>
      <c r="Z350" s="149" t="n"/>
    </row>
    <row r="351" ht="15.75" customHeight="1" s="236">
      <c r="A351" s="148" t="n"/>
      <c r="B351" s="148" t="n"/>
      <c r="C351" s="124" t="n"/>
      <c r="D351" s="148" t="n"/>
      <c r="E351" s="148" t="n"/>
      <c r="F351" s="148" t="n"/>
      <c r="G351" s="124" t="n"/>
      <c r="H351" s="148" t="n"/>
      <c r="I351" s="148" t="n"/>
      <c r="J351" s="148" t="n"/>
      <c r="K351" s="148" t="n"/>
      <c r="L351" s="148" t="n"/>
      <c r="M351" s="148" t="n"/>
      <c r="N351" s="148" t="n"/>
      <c r="O351" s="148" t="n"/>
      <c r="P351" s="148" t="n"/>
      <c r="Q351" s="148" t="n"/>
      <c r="R351" s="148" t="n"/>
      <c r="S351" s="148" t="n"/>
      <c r="T351" s="148" t="n"/>
      <c r="U351" s="149">
        <f>IF(AND('Master Stock'!D351&lt;&gt;"",'Master Stock'!H351="OCCUPIED",ISNUMBER('Master Stock'!J351),'Master Stock'!K351=""),SUMPRODUCT(--('Master Stock'!$D$2:$D$1000&lt;&gt;""),--('Master Stock'!$H$2:$H$1000="OCCUPIED"),--ISNUMBER('Master Stock'!$J$2:$J$1000),--('Master Stock'!$K$2:$K$1000=""),--('Master Stock'!$J$2:$J$1000&lt;'Master Stock'!J351))+COUNTIFS('Master Stock'!$J$2:J351,'Master Stock'!J351,'Master Stock'!$D$2:D351,"&lt;&gt;",'Master Stock'!$H$2:H351,"OCCUPIED",'Master Stock'!$K$2:K351,""),"")</f>
        <v/>
      </c>
      <c r="V351" s="149">
        <f>IF(AND('Master Stock'!D351&lt;&gt;"",'Master Stock'!H351="OCCUPIED",ISNUMBER('Master Stock'!L351),'Master Stock'!L351&lt;TODAY()-30),SUMPRODUCT(--('Master Stock'!$D$2:$D$1000&lt;&gt;""),--('Master Stock'!$H$2:$H$1000="OCCUPIED"),--ISNUMBER('Master Stock'!$L$2:$L$1000),--('Master Stock'!$L$2:$L$1000&lt;TODAY()-30),--('Master Stock'!$L$2:$L$1000&lt;'Master Stock'!L351))+COUNTIFS('Master Stock'!$L$2:L351,'Master Stock'!L351,'Master Stock'!$D$2:D351,"&lt;&gt;",'Master Stock'!$H$2:H351,"OCCUPIED"),"")</f>
        <v/>
      </c>
      <c r="W351" s="149" t="n"/>
      <c r="X351" s="149" t="n"/>
      <c r="Y351" s="149" t="n"/>
      <c r="Z351" s="149" t="n"/>
    </row>
    <row r="352" ht="15.75" customHeight="1" s="236">
      <c r="A352" s="148" t="n"/>
      <c r="B352" s="148" t="n"/>
      <c r="C352" s="124" t="n"/>
      <c r="D352" s="148" t="n"/>
      <c r="E352" s="148" t="n"/>
      <c r="F352" s="148" t="n"/>
      <c r="G352" s="124" t="n"/>
      <c r="H352" s="148" t="n"/>
      <c r="I352" s="148" t="n"/>
      <c r="J352" s="148" t="n"/>
      <c r="K352" s="148" t="n"/>
      <c r="L352" s="148" t="n"/>
      <c r="M352" s="148" t="n"/>
      <c r="N352" s="148" t="n"/>
      <c r="O352" s="148" t="n"/>
      <c r="P352" s="148" t="n"/>
      <c r="Q352" s="148" t="n"/>
      <c r="R352" s="148" t="n"/>
      <c r="S352" s="148" t="n"/>
      <c r="T352" s="148" t="n"/>
      <c r="U352" s="149">
        <f>IF(AND('Master Stock'!D352&lt;&gt;"",'Master Stock'!H352="OCCUPIED",ISNUMBER('Master Stock'!J352),'Master Stock'!K352=""),SUMPRODUCT(--('Master Stock'!$D$2:$D$1000&lt;&gt;""),--('Master Stock'!$H$2:$H$1000="OCCUPIED"),--ISNUMBER('Master Stock'!$J$2:$J$1000),--('Master Stock'!$K$2:$K$1000=""),--('Master Stock'!$J$2:$J$1000&lt;'Master Stock'!J352))+COUNTIFS('Master Stock'!$J$2:J352,'Master Stock'!J352,'Master Stock'!$D$2:D352,"&lt;&gt;",'Master Stock'!$H$2:H352,"OCCUPIED",'Master Stock'!$K$2:K352,""),"")</f>
        <v/>
      </c>
      <c r="V352" s="149">
        <f>IF(AND('Master Stock'!D352&lt;&gt;"",'Master Stock'!H352="OCCUPIED",ISNUMBER('Master Stock'!L352),'Master Stock'!L352&lt;TODAY()-30),SUMPRODUCT(--('Master Stock'!$D$2:$D$1000&lt;&gt;""),--('Master Stock'!$H$2:$H$1000="OCCUPIED"),--ISNUMBER('Master Stock'!$L$2:$L$1000),--('Master Stock'!$L$2:$L$1000&lt;TODAY()-30),--('Master Stock'!$L$2:$L$1000&lt;'Master Stock'!L352))+COUNTIFS('Master Stock'!$L$2:L352,'Master Stock'!L352,'Master Stock'!$D$2:D352,"&lt;&gt;",'Master Stock'!$H$2:H352,"OCCUPIED"),"")</f>
        <v/>
      </c>
      <c r="W352" s="149" t="n"/>
      <c r="X352" s="149" t="n"/>
      <c r="Y352" s="149" t="n"/>
      <c r="Z352" s="149" t="n"/>
    </row>
    <row r="353" ht="15.75" customHeight="1" s="236">
      <c r="A353" s="148" t="n"/>
      <c r="B353" s="148" t="n"/>
      <c r="C353" s="124" t="n"/>
      <c r="D353" s="148" t="n"/>
      <c r="E353" s="148" t="n"/>
      <c r="F353" s="148" t="n"/>
      <c r="G353" s="124" t="n"/>
      <c r="H353" s="148" t="n"/>
      <c r="I353" s="148" t="n"/>
      <c r="J353" s="148" t="n"/>
      <c r="K353" s="148" t="n"/>
      <c r="L353" s="148" t="n"/>
      <c r="M353" s="148" t="n"/>
      <c r="N353" s="148" t="n"/>
      <c r="O353" s="148" t="n"/>
      <c r="P353" s="148" t="n"/>
      <c r="Q353" s="148" t="n"/>
      <c r="R353" s="148" t="n"/>
      <c r="S353" s="148" t="n"/>
      <c r="T353" s="148" t="n"/>
      <c r="U353" s="149">
        <f>IF(AND('Master Stock'!D353&lt;&gt;"",'Master Stock'!H353="OCCUPIED",ISNUMBER('Master Stock'!J353),'Master Stock'!K353=""),SUMPRODUCT(--('Master Stock'!$D$2:$D$1000&lt;&gt;""),--('Master Stock'!$H$2:$H$1000="OCCUPIED"),--ISNUMBER('Master Stock'!$J$2:$J$1000),--('Master Stock'!$K$2:$K$1000=""),--('Master Stock'!$J$2:$J$1000&lt;'Master Stock'!J353))+COUNTIFS('Master Stock'!$J$2:J353,'Master Stock'!J353,'Master Stock'!$D$2:D353,"&lt;&gt;",'Master Stock'!$H$2:H353,"OCCUPIED",'Master Stock'!$K$2:K353,""),"")</f>
        <v/>
      </c>
      <c r="V353" s="149">
        <f>IF(AND('Master Stock'!D353&lt;&gt;"",'Master Stock'!H353="OCCUPIED",ISNUMBER('Master Stock'!L353),'Master Stock'!L353&lt;TODAY()-30),SUMPRODUCT(--('Master Stock'!$D$2:$D$1000&lt;&gt;""),--('Master Stock'!$H$2:$H$1000="OCCUPIED"),--ISNUMBER('Master Stock'!$L$2:$L$1000),--('Master Stock'!$L$2:$L$1000&lt;TODAY()-30),--('Master Stock'!$L$2:$L$1000&lt;'Master Stock'!L353))+COUNTIFS('Master Stock'!$L$2:L353,'Master Stock'!L353,'Master Stock'!$D$2:D353,"&lt;&gt;",'Master Stock'!$H$2:H353,"OCCUPIED"),"")</f>
        <v/>
      </c>
      <c r="W353" s="149" t="n"/>
      <c r="X353" s="149" t="n"/>
      <c r="Y353" s="149" t="n"/>
      <c r="Z353" s="149" t="n"/>
    </row>
    <row r="354" ht="15.75" customHeight="1" s="236">
      <c r="A354" s="148" t="n"/>
      <c r="B354" s="148" t="n"/>
      <c r="C354" s="124" t="n"/>
      <c r="D354" s="148" t="n"/>
      <c r="E354" s="148" t="n"/>
      <c r="F354" s="148" t="n"/>
      <c r="G354" s="124" t="n"/>
      <c r="H354" s="148" t="n"/>
      <c r="I354" s="148" t="n"/>
      <c r="J354" s="148" t="n"/>
      <c r="K354" s="148" t="n"/>
      <c r="L354" s="148" t="n"/>
      <c r="M354" s="148" t="n"/>
      <c r="N354" s="148" t="n"/>
      <c r="O354" s="148" t="n"/>
      <c r="P354" s="148" t="n"/>
      <c r="Q354" s="148" t="n"/>
      <c r="R354" s="148" t="n"/>
      <c r="S354" s="148" t="n"/>
      <c r="T354" s="148" t="n"/>
      <c r="U354" s="149">
        <f>IF(AND('Master Stock'!D354&lt;&gt;"",'Master Stock'!H354="OCCUPIED",ISNUMBER('Master Stock'!J354),'Master Stock'!K354=""),SUMPRODUCT(--('Master Stock'!$D$2:$D$1000&lt;&gt;""),--('Master Stock'!$H$2:$H$1000="OCCUPIED"),--ISNUMBER('Master Stock'!$J$2:$J$1000),--('Master Stock'!$K$2:$K$1000=""),--('Master Stock'!$J$2:$J$1000&lt;'Master Stock'!J354))+COUNTIFS('Master Stock'!$J$2:J354,'Master Stock'!J354,'Master Stock'!$D$2:D354,"&lt;&gt;",'Master Stock'!$H$2:H354,"OCCUPIED",'Master Stock'!$K$2:K354,""),"")</f>
        <v/>
      </c>
      <c r="V354" s="149">
        <f>IF(AND('Master Stock'!D354&lt;&gt;"",'Master Stock'!H354="OCCUPIED",ISNUMBER('Master Stock'!L354),'Master Stock'!L354&lt;TODAY()-30),SUMPRODUCT(--('Master Stock'!$D$2:$D$1000&lt;&gt;""),--('Master Stock'!$H$2:$H$1000="OCCUPIED"),--ISNUMBER('Master Stock'!$L$2:$L$1000),--('Master Stock'!$L$2:$L$1000&lt;TODAY()-30),--('Master Stock'!$L$2:$L$1000&lt;'Master Stock'!L354))+COUNTIFS('Master Stock'!$L$2:L354,'Master Stock'!L354,'Master Stock'!$D$2:D354,"&lt;&gt;",'Master Stock'!$H$2:H354,"OCCUPIED"),"")</f>
        <v/>
      </c>
      <c r="W354" s="149" t="n"/>
      <c r="X354" s="149" t="n"/>
      <c r="Y354" s="149" t="n"/>
      <c r="Z354" s="149" t="n"/>
    </row>
    <row r="355" ht="15.75" customHeight="1" s="236">
      <c r="A355" s="148" t="n"/>
      <c r="B355" s="148" t="n"/>
      <c r="C355" s="124" t="n"/>
      <c r="D355" s="148" t="n"/>
      <c r="E355" s="148" t="n"/>
      <c r="F355" s="148" t="n"/>
      <c r="G355" s="124" t="n"/>
      <c r="H355" s="148" t="n"/>
      <c r="I355" s="148" t="n"/>
      <c r="J355" s="148" t="n"/>
      <c r="K355" s="148" t="n"/>
      <c r="L355" s="148" t="n"/>
      <c r="M355" s="148" t="n"/>
      <c r="N355" s="148" t="n"/>
      <c r="O355" s="148" t="n"/>
      <c r="P355" s="148" t="n"/>
      <c r="Q355" s="148" t="n"/>
      <c r="R355" s="148" t="n"/>
      <c r="S355" s="148" t="n"/>
      <c r="T355" s="148" t="n"/>
      <c r="U355" s="149">
        <f>IF(AND('Master Stock'!D355&lt;&gt;"",'Master Stock'!H355="OCCUPIED",ISNUMBER('Master Stock'!J355),'Master Stock'!K355=""),SUMPRODUCT(--('Master Stock'!$D$2:$D$1000&lt;&gt;""),--('Master Stock'!$H$2:$H$1000="OCCUPIED"),--ISNUMBER('Master Stock'!$J$2:$J$1000),--('Master Stock'!$K$2:$K$1000=""),--('Master Stock'!$J$2:$J$1000&lt;'Master Stock'!J355))+COUNTIFS('Master Stock'!$J$2:J355,'Master Stock'!J355,'Master Stock'!$D$2:D355,"&lt;&gt;",'Master Stock'!$H$2:H355,"OCCUPIED",'Master Stock'!$K$2:K355,""),"")</f>
        <v/>
      </c>
      <c r="V355" s="149">
        <f>IF(AND('Master Stock'!D355&lt;&gt;"",'Master Stock'!H355="OCCUPIED",ISNUMBER('Master Stock'!L355),'Master Stock'!L355&lt;TODAY()-30),SUMPRODUCT(--('Master Stock'!$D$2:$D$1000&lt;&gt;""),--('Master Stock'!$H$2:$H$1000="OCCUPIED"),--ISNUMBER('Master Stock'!$L$2:$L$1000),--('Master Stock'!$L$2:$L$1000&lt;TODAY()-30),--('Master Stock'!$L$2:$L$1000&lt;'Master Stock'!L355))+COUNTIFS('Master Stock'!$L$2:L355,'Master Stock'!L355,'Master Stock'!$D$2:D355,"&lt;&gt;",'Master Stock'!$H$2:H355,"OCCUPIED"),"")</f>
        <v/>
      </c>
      <c r="W355" s="149" t="n"/>
      <c r="X355" s="149" t="n"/>
      <c r="Y355" s="149" t="n"/>
      <c r="Z355" s="149" t="n"/>
    </row>
    <row r="356" ht="15.75" customHeight="1" s="236">
      <c r="A356" s="148" t="n"/>
      <c r="B356" s="148" t="n"/>
      <c r="C356" s="124" t="n"/>
      <c r="D356" s="148" t="n"/>
      <c r="E356" s="148" t="n"/>
      <c r="F356" s="148" t="n"/>
      <c r="G356" s="124" t="n"/>
      <c r="H356" s="148" t="n"/>
      <c r="I356" s="148" t="n"/>
      <c r="J356" s="148" t="n"/>
      <c r="K356" s="148" t="n"/>
      <c r="L356" s="148" t="n"/>
      <c r="M356" s="148" t="n"/>
      <c r="N356" s="148" t="n"/>
      <c r="O356" s="148" t="n"/>
      <c r="P356" s="148" t="n"/>
      <c r="Q356" s="148" t="n"/>
      <c r="R356" s="148" t="n"/>
      <c r="S356" s="148" t="n"/>
      <c r="T356" s="148" t="n"/>
      <c r="U356" s="149">
        <f>IF(AND('Master Stock'!D356&lt;&gt;"",'Master Stock'!H356="OCCUPIED",ISNUMBER('Master Stock'!J356),'Master Stock'!K356=""),SUMPRODUCT(--('Master Stock'!$D$2:$D$1000&lt;&gt;""),--('Master Stock'!$H$2:$H$1000="OCCUPIED"),--ISNUMBER('Master Stock'!$J$2:$J$1000),--('Master Stock'!$K$2:$K$1000=""),--('Master Stock'!$J$2:$J$1000&lt;'Master Stock'!J356))+COUNTIFS('Master Stock'!$J$2:J356,'Master Stock'!J356,'Master Stock'!$D$2:D356,"&lt;&gt;",'Master Stock'!$H$2:H356,"OCCUPIED",'Master Stock'!$K$2:K356,""),"")</f>
        <v/>
      </c>
      <c r="V356" s="149">
        <f>IF(AND('Master Stock'!D356&lt;&gt;"",'Master Stock'!H356="OCCUPIED",ISNUMBER('Master Stock'!L356),'Master Stock'!L356&lt;TODAY()-30),SUMPRODUCT(--('Master Stock'!$D$2:$D$1000&lt;&gt;""),--('Master Stock'!$H$2:$H$1000="OCCUPIED"),--ISNUMBER('Master Stock'!$L$2:$L$1000),--('Master Stock'!$L$2:$L$1000&lt;TODAY()-30),--('Master Stock'!$L$2:$L$1000&lt;'Master Stock'!L356))+COUNTIFS('Master Stock'!$L$2:L356,'Master Stock'!L356,'Master Stock'!$D$2:D356,"&lt;&gt;",'Master Stock'!$H$2:H356,"OCCUPIED"),"")</f>
        <v/>
      </c>
      <c r="W356" s="149" t="n"/>
      <c r="X356" s="149" t="n"/>
      <c r="Y356" s="149" t="n"/>
      <c r="Z356" s="149" t="n"/>
    </row>
    <row r="357" ht="15.75" customHeight="1" s="236">
      <c r="A357" s="148" t="n"/>
      <c r="B357" s="148" t="n"/>
      <c r="C357" s="124" t="n"/>
      <c r="D357" s="148" t="n"/>
      <c r="E357" s="148" t="n"/>
      <c r="F357" s="148" t="n"/>
      <c r="G357" s="124" t="n"/>
      <c r="H357" s="148" t="n"/>
      <c r="I357" s="148" t="n"/>
      <c r="J357" s="148" t="n"/>
      <c r="K357" s="148" t="n"/>
      <c r="L357" s="148" t="n"/>
      <c r="M357" s="148" t="n"/>
      <c r="N357" s="148" t="n"/>
      <c r="O357" s="148" t="n"/>
      <c r="P357" s="148" t="n"/>
      <c r="Q357" s="148" t="n"/>
      <c r="R357" s="148" t="n"/>
      <c r="S357" s="148" t="n"/>
      <c r="T357" s="148" t="n"/>
      <c r="U357" s="149">
        <f>IF(AND('Master Stock'!D357&lt;&gt;"",'Master Stock'!H357="OCCUPIED",ISNUMBER('Master Stock'!J357),'Master Stock'!K357=""),SUMPRODUCT(--('Master Stock'!$D$2:$D$1000&lt;&gt;""),--('Master Stock'!$H$2:$H$1000="OCCUPIED"),--ISNUMBER('Master Stock'!$J$2:$J$1000),--('Master Stock'!$K$2:$K$1000=""),--('Master Stock'!$J$2:$J$1000&lt;'Master Stock'!J357))+COUNTIFS('Master Stock'!$J$2:J357,'Master Stock'!J357,'Master Stock'!$D$2:D357,"&lt;&gt;",'Master Stock'!$H$2:H357,"OCCUPIED",'Master Stock'!$K$2:K357,""),"")</f>
        <v/>
      </c>
      <c r="V357" s="149">
        <f>IF(AND('Master Stock'!D357&lt;&gt;"",'Master Stock'!H357="OCCUPIED",ISNUMBER('Master Stock'!L357),'Master Stock'!L357&lt;TODAY()-30),SUMPRODUCT(--('Master Stock'!$D$2:$D$1000&lt;&gt;""),--('Master Stock'!$H$2:$H$1000="OCCUPIED"),--ISNUMBER('Master Stock'!$L$2:$L$1000),--('Master Stock'!$L$2:$L$1000&lt;TODAY()-30),--('Master Stock'!$L$2:$L$1000&lt;'Master Stock'!L357))+COUNTIFS('Master Stock'!$L$2:L357,'Master Stock'!L357,'Master Stock'!$D$2:D357,"&lt;&gt;",'Master Stock'!$H$2:H357,"OCCUPIED"),"")</f>
        <v/>
      </c>
      <c r="W357" s="149" t="n"/>
      <c r="X357" s="149" t="n"/>
      <c r="Y357" s="149" t="n"/>
      <c r="Z357" s="149" t="n"/>
    </row>
    <row r="358" ht="15.75" customHeight="1" s="236">
      <c r="A358" s="148" t="n"/>
      <c r="B358" s="148" t="n"/>
      <c r="C358" s="124" t="n"/>
      <c r="D358" s="148" t="n"/>
      <c r="E358" s="148" t="n"/>
      <c r="F358" s="148" t="n"/>
      <c r="G358" s="124" t="n"/>
      <c r="H358" s="148" t="n"/>
      <c r="I358" s="148" t="n"/>
      <c r="J358" s="148" t="n"/>
      <c r="K358" s="148" t="n"/>
      <c r="L358" s="148" t="n"/>
      <c r="M358" s="148" t="n"/>
      <c r="N358" s="148" t="n"/>
      <c r="O358" s="148" t="n"/>
      <c r="P358" s="148" t="n"/>
      <c r="Q358" s="148" t="n"/>
      <c r="R358" s="148" t="n"/>
      <c r="S358" s="148" t="n"/>
      <c r="T358" s="148" t="n"/>
      <c r="U358" s="149">
        <f>IF(AND('Master Stock'!D358&lt;&gt;"",'Master Stock'!H358="OCCUPIED",ISNUMBER('Master Stock'!J358),'Master Stock'!K358=""),SUMPRODUCT(--('Master Stock'!$D$2:$D$1000&lt;&gt;""),--('Master Stock'!$H$2:$H$1000="OCCUPIED"),--ISNUMBER('Master Stock'!$J$2:$J$1000),--('Master Stock'!$K$2:$K$1000=""),--('Master Stock'!$J$2:$J$1000&lt;'Master Stock'!J358))+COUNTIFS('Master Stock'!$J$2:J358,'Master Stock'!J358,'Master Stock'!$D$2:D358,"&lt;&gt;",'Master Stock'!$H$2:H358,"OCCUPIED",'Master Stock'!$K$2:K358,""),"")</f>
        <v/>
      </c>
      <c r="V358" s="149">
        <f>IF(AND('Master Stock'!D358&lt;&gt;"",'Master Stock'!H358="OCCUPIED",ISNUMBER('Master Stock'!L358),'Master Stock'!L358&lt;TODAY()-30),SUMPRODUCT(--('Master Stock'!$D$2:$D$1000&lt;&gt;""),--('Master Stock'!$H$2:$H$1000="OCCUPIED"),--ISNUMBER('Master Stock'!$L$2:$L$1000),--('Master Stock'!$L$2:$L$1000&lt;TODAY()-30),--('Master Stock'!$L$2:$L$1000&lt;'Master Stock'!L358))+COUNTIFS('Master Stock'!$L$2:L358,'Master Stock'!L358,'Master Stock'!$D$2:D358,"&lt;&gt;",'Master Stock'!$H$2:H358,"OCCUPIED"),"")</f>
        <v/>
      </c>
      <c r="W358" s="149" t="n"/>
      <c r="X358" s="149" t="n"/>
      <c r="Y358" s="149" t="n"/>
      <c r="Z358" s="149" t="n"/>
    </row>
    <row r="359" ht="15.75" customHeight="1" s="236">
      <c r="A359" s="148" t="n"/>
      <c r="B359" s="148" t="n"/>
      <c r="C359" s="124" t="n"/>
      <c r="D359" s="148" t="n"/>
      <c r="E359" s="148" t="n"/>
      <c r="F359" s="148" t="n"/>
      <c r="G359" s="124" t="n"/>
      <c r="H359" s="148" t="n"/>
      <c r="I359" s="148" t="n"/>
      <c r="J359" s="148" t="n"/>
      <c r="K359" s="148" t="n"/>
      <c r="L359" s="148" t="n"/>
      <c r="M359" s="148" t="n"/>
      <c r="N359" s="148" t="n"/>
      <c r="O359" s="148" t="n"/>
      <c r="P359" s="148" t="n"/>
      <c r="Q359" s="148" t="n"/>
      <c r="R359" s="148" t="n"/>
      <c r="S359" s="148" t="n"/>
      <c r="T359" s="148" t="n"/>
      <c r="U359" s="149">
        <f>IF(AND('Master Stock'!D359&lt;&gt;"",'Master Stock'!H359="OCCUPIED",ISNUMBER('Master Stock'!J359),'Master Stock'!K359=""),SUMPRODUCT(--('Master Stock'!$D$2:$D$1000&lt;&gt;""),--('Master Stock'!$H$2:$H$1000="OCCUPIED"),--ISNUMBER('Master Stock'!$J$2:$J$1000),--('Master Stock'!$K$2:$K$1000=""),--('Master Stock'!$J$2:$J$1000&lt;'Master Stock'!J359))+COUNTIFS('Master Stock'!$J$2:J359,'Master Stock'!J359,'Master Stock'!$D$2:D359,"&lt;&gt;",'Master Stock'!$H$2:H359,"OCCUPIED",'Master Stock'!$K$2:K359,""),"")</f>
        <v/>
      </c>
      <c r="V359" s="149">
        <f>IF(AND('Master Stock'!D359&lt;&gt;"",'Master Stock'!H359="OCCUPIED",ISNUMBER('Master Stock'!L359),'Master Stock'!L359&lt;TODAY()-30),SUMPRODUCT(--('Master Stock'!$D$2:$D$1000&lt;&gt;""),--('Master Stock'!$H$2:$H$1000="OCCUPIED"),--ISNUMBER('Master Stock'!$L$2:$L$1000),--('Master Stock'!$L$2:$L$1000&lt;TODAY()-30),--('Master Stock'!$L$2:$L$1000&lt;'Master Stock'!L359))+COUNTIFS('Master Stock'!$L$2:L359,'Master Stock'!L359,'Master Stock'!$D$2:D359,"&lt;&gt;",'Master Stock'!$H$2:H359,"OCCUPIED"),"")</f>
        <v/>
      </c>
      <c r="W359" s="149" t="n"/>
      <c r="X359" s="149" t="n"/>
      <c r="Y359" s="149" t="n"/>
      <c r="Z359" s="149" t="n"/>
    </row>
    <row r="360" ht="15.75" customHeight="1" s="236">
      <c r="A360" s="148" t="n"/>
      <c r="B360" s="148" t="n"/>
      <c r="C360" s="124" t="n"/>
      <c r="D360" s="148" t="n"/>
      <c r="E360" s="148" t="n"/>
      <c r="F360" s="148" t="n"/>
      <c r="G360" s="124" t="n"/>
      <c r="H360" s="148" t="n"/>
      <c r="I360" s="148" t="n"/>
      <c r="J360" s="148" t="n"/>
      <c r="K360" s="148" t="n"/>
      <c r="L360" s="148" t="n"/>
      <c r="M360" s="148" t="n"/>
      <c r="N360" s="148" t="n"/>
      <c r="O360" s="148" t="n"/>
      <c r="P360" s="148" t="n"/>
      <c r="Q360" s="148" t="n"/>
      <c r="R360" s="148" t="n"/>
      <c r="S360" s="148" t="n"/>
      <c r="T360" s="148" t="n"/>
      <c r="U360" s="149">
        <f>IF(AND('Master Stock'!D360&lt;&gt;"",'Master Stock'!H360="OCCUPIED",ISNUMBER('Master Stock'!J360),'Master Stock'!K360=""),SUMPRODUCT(--('Master Stock'!$D$2:$D$1000&lt;&gt;""),--('Master Stock'!$H$2:$H$1000="OCCUPIED"),--ISNUMBER('Master Stock'!$J$2:$J$1000),--('Master Stock'!$K$2:$K$1000=""),--('Master Stock'!$J$2:$J$1000&lt;'Master Stock'!J360))+COUNTIFS('Master Stock'!$J$2:J360,'Master Stock'!J360,'Master Stock'!$D$2:D360,"&lt;&gt;",'Master Stock'!$H$2:H360,"OCCUPIED",'Master Stock'!$K$2:K360,""),"")</f>
        <v/>
      </c>
      <c r="V360" s="149">
        <f>IF(AND('Master Stock'!D360&lt;&gt;"",'Master Stock'!H360="OCCUPIED",ISNUMBER('Master Stock'!L360),'Master Stock'!L360&lt;TODAY()-30),SUMPRODUCT(--('Master Stock'!$D$2:$D$1000&lt;&gt;""),--('Master Stock'!$H$2:$H$1000="OCCUPIED"),--ISNUMBER('Master Stock'!$L$2:$L$1000),--('Master Stock'!$L$2:$L$1000&lt;TODAY()-30),--('Master Stock'!$L$2:$L$1000&lt;'Master Stock'!L360))+COUNTIFS('Master Stock'!$L$2:L360,'Master Stock'!L360,'Master Stock'!$D$2:D360,"&lt;&gt;",'Master Stock'!$H$2:H360,"OCCUPIED"),"")</f>
        <v/>
      </c>
      <c r="W360" s="149" t="n"/>
      <c r="X360" s="149" t="n"/>
      <c r="Y360" s="149" t="n"/>
      <c r="Z360" s="149" t="n"/>
    </row>
    <row r="361" ht="15.75" customHeight="1" s="236">
      <c r="A361" s="148" t="n"/>
      <c r="B361" s="148" t="n"/>
      <c r="C361" s="124" t="n"/>
      <c r="D361" s="148" t="n"/>
      <c r="E361" s="148" t="n"/>
      <c r="F361" s="148" t="n"/>
      <c r="G361" s="124" t="n"/>
      <c r="H361" s="148" t="n"/>
      <c r="I361" s="148" t="n"/>
      <c r="J361" s="148" t="n"/>
      <c r="K361" s="148" t="n"/>
      <c r="L361" s="148" t="n"/>
      <c r="M361" s="148" t="n"/>
      <c r="N361" s="148" t="n"/>
      <c r="O361" s="148" t="n"/>
      <c r="P361" s="148" t="n"/>
      <c r="Q361" s="148" t="n"/>
      <c r="R361" s="148" t="n"/>
      <c r="S361" s="148" t="n"/>
      <c r="T361" s="148" t="n"/>
      <c r="U361" s="149">
        <f>IF(AND('Master Stock'!D361&lt;&gt;"",'Master Stock'!H361="OCCUPIED",ISNUMBER('Master Stock'!J361),'Master Stock'!K361=""),SUMPRODUCT(--('Master Stock'!$D$2:$D$1000&lt;&gt;""),--('Master Stock'!$H$2:$H$1000="OCCUPIED"),--ISNUMBER('Master Stock'!$J$2:$J$1000),--('Master Stock'!$K$2:$K$1000=""),--('Master Stock'!$J$2:$J$1000&lt;'Master Stock'!J361))+COUNTIFS('Master Stock'!$J$2:J361,'Master Stock'!J361,'Master Stock'!$D$2:D361,"&lt;&gt;",'Master Stock'!$H$2:H361,"OCCUPIED",'Master Stock'!$K$2:K361,""),"")</f>
        <v/>
      </c>
      <c r="V361" s="149">
        <f>IF(AND('Master Stock'!D361&lt;&gt;"",'Master Stock'!H361="OCCUPIED",ISNUMBER('Master Stock'!L361),'Master Stock'!L361&lt;TODAY()-30),SUMPRODUCT(--('Master Stock'!$D$2:$D$1000&lt;&gt;""),--('Master Stock'!$H$2:$H$1000="OCCUPIED"),--ISNUMBER('Master Stock'!$L$2:$L$1000),--('Master Stock'!$L$2:$L$1000&lt;TODAY()-30),--('Master Stock'!$L$2:$L$1000&lt;'Master Stock'!L361))+COUNTIFS('Master Stock'!$L$2:L361,'Master Stock'!L361,'Master Stock'!$D$2:D361,"&lt;&gt;",'Master Stock'!$H$2:H361,"OCCUPIED"),"")</f>
        <v/>
      </c>
      <c r="W361" s="149" t="n"/>
      <c r="X361" s="149" t="n"/>
      <c r="Y361" s="149" t="n"/>
      <c r="Z361" s="149" t="n"/>
    </row>
    <row r="362" ht="15.75" customHeight="1" s="236">
      <c r="A362" s="148" t="n"/>
      <c r="B362" s="148" t="n"/>
      <c r="C362" s="124" t="n"/>
      <c r="D362" s="148" t="n"/>
      <c r="E362" s="148" t="n"/>
      <c r="F362" s="148" t="n"/>
      <c r="G362" s="124" t="n"/>
      <c r="H362" s="148" t="n"/>
      <c r="I362" s="148" t="n"/>
      <c r="J362" s="148" t="n"/>
      <c r="K362" s="148" t="n"/>
      <c r="L362" s="148" t="n"/>
      <c r="M362" s="148" t="n"/>
      <c r="N362" s="148" t="n"/>
      <c r="O362" s="148" t="n"/>
      <c r="P362" s="148" t="n"/>
      <c r="Q362" s="148" t="n"/>
      <c r="R362" s="148" t="n"/>
      <c r="S362" s="148" t="n"/>
      <c r="T362" s="148" t="n"/>
      <c r="U362" s="149">
        <f>IF(AND('Master Stock'!D362&lt;&gt;"",'Master Stock'!H362="OCCUPIED",ISNUMBER('Master Stock'!J362),'Master Stock'!K362=""),SUMPRODUCT(--('Master Stock'!$D$2:$D$1000&lt;&gt;""),--('Master Stock'!$H$2:$H$1000="OCCUPIED"),--ISNUMBER('Master Stock'!$J$2:$J$1000),--('Master Stock'!$K$2:$K$1000=""),--('Master Stock'!$J$2:$J$1000&lt;'Master Stock'!J362))+COUNTIFS('Master Stock'!$J$2:J362,'Master Stock'!J362,'Master Stock'!$D$2:D362,"&lt;&gt;",'Master Stock'!$H$2:H362,"OCCUPIED",'Master Stock'!$K$2:K362,""),"")</f>
        <v/>
      </c>
      <c r="V362" s="149">
        <f>IF(AND('Master Stock'!D362&lt;&gt;"",'Master Stock'!H362="OCCUPIED",ISNUMBER('Master Stock'!L362),'Master Stock'!L362&lt;TODAY()-30),SUMPRODUCT(--('Master Stock'!$D$2:$D$1000&lt;&gt;""),--('Master Stock'!$H$2:$H$1000="OCCUPIED"),--ISNUMBER('Master Stock'!$L$2:$L$1000),--('Master Stock'!$L$2:$L$1000&lt;TODAY()-30),--('Master Stock'!$L$2:$L$1000&lt;'Master Stock'!L362))+COUNTIFS('Master Stock'!$L$2:L362,'Master Stock'!L362,'Master Stock'!$D$2:D362,"&lt;&gt;",'Master Stock'!$H$2:H362,"OCCUPIED"),"")</f>
        <v/>
      </c>
      <c r="W362" s="149" t="n"/>
      <c r="X362" s="149" t="n"/>
      <c r="Y362" s="149" t="n"/>
      <c r="Z362" s="149" t="n"/>
    </row>
    <row r="363" ht="15.75" customHeight="1" s="236">
      <c r="A363" s="148" t="n"/>
      <c r="B363" s="148" t="n"/>
      <c r="C363" s="124" t="n"/>
      <c r="D363" s="148" t="n"/>
      <c r="E363" s="148" t="n"/>
      <c r="F363" s="148" t="n"/>
      <c r="G363" s="124" t="n"/>
      <c r="H363" s="148" t="n"/>
      <c r="I363" s="148" t="n"/>
      <c r="J363" s="148" t="n"/>
      <c r="K363" s="148" t="n"/>
      <c r="L363" s="148" t="n"/>
      <c r="M363" s="148" t="n"/>
      <c r="N363" s="148" t="n"/>
      <c r="O363" s="148" t="n"/>
      <c r="P363" s="148" t="n"/>
      <c r="Q363" s="148" t="n"/>
      <c r="R363" s="148" t="n"/>
      <c r="S363" s="148" t="n"/>
      <c r="T363" s="148" t="n"/>
      <c r="U363" s="149">
        <f>IF(AND('Master Stock'!D363&lt;&gt;"",'Master Stock'!H363="OCCUPIED",ISNUMBER('Master Stock'!J363),'Master Stock'!K363=""),SUMPRODUCT(--('Master Stock'!$D$2:$D$1000&lt;&gt;""),--('Master Stock'!$H$2:$H$1000="OCCUPIED"),--ISNUMBER('Master Stock'!$J$2:$J$1000),--('Master Stock'!$K$2:$K$1000=""),--('Master Stock'!$J$2:$J$1000&lt;'Master Stock'!J363))+COUNTIFS('Master Stock'!$J$2:J363,'Master Stock'!J363,'Master Stock'!$D$2:D363,"&lt;&gt;",'Master Stock'!$H$2:H363,"OCCUPIED",'Master Stock'!$K$2:K363,""),"")</f>
        <v/>
      </c>
      <c r="V363" s="149">
        <f>IF(AND('Master Stock'!D363&lt;&gt;"",'Master Stock'!H363="OCCUPIED",ISNUMBER('Master Stock'!L363),'Master Stock'!L363&lt;TODAY()-30),SUMPRODUCT(--('Master Stock'!$D$2:$D$1000&lt;&gt;""),--('Master Stock'!$H$2:$H$1000="OCCUPIED"),--ISNUMBER('Master Stock'!$L$2:$L$1000),--('Master Stock'!$L$2:$L$1000&lt;TODAY()-30),--('Master Stock'!$L$2:$L$1000&lt;'Master Stock'!L363))+COUNTIFS('Master Stock'!$L$2:L363,'Master Stock'!L363,'Master Stock'!$D$2:D363,"&lt;&gt;",'Master Stock'!$H$2:H363,"OCCUPIED"),"")</f>
        <v/>
      </c>
      <c r="W363" s="149" t="n"/>
      <c r="X363" s="149" t="n"/>
      <c r="Y363" s="149" t="n"/>
      <c r="Z363" s="149" t="n"/>
    </row>
    <row r="364" ht="15.75" customHeight="1" s="236">
      <c r="A364" s="148" t="n"/>
      <c r="B364" s="148" t="n"/>
      <c r="C364" s="124" t="n"/>
      <c r="D364" s="148" t="n"/>
      <c r="E364" s="148" t="n"/>
      <c r="F364" s="148" t="n"/>
      <c r="G364" s="124" t="n"/>
      <c r="H364" s="148" t="n"/>
      <c r="I364" s="148" t="n"/>
      <c r="J364" s="148" t="n"/>
      <c r="K364" s="148" t="n"/>
      <c r="L364" s="148" t="n"/>
      <c r="M364" s="148" t="n"/>
      <c r="N364" s="148" t="n"/>
      <c r="O364" s="148" t="n"/>
      <c r="P364" s="148" t="n"/>
      <c r="Q364" s="148" t="n"/>
      <c r="R364" s="148" t="n"/>
      <c r="S364" s="148" t="n"/>
      <c r="T364" s="148" t="n"/>
      <c r="U364" s="149">
        <f>IF(AND('Master Stock'!D364&lt;&gt;"",'Master Stock'!H364="OCCUPIED",ISNUMBER('Master Stock'!J364),'Master Stock'!K364=""),SUMPRODUCT(--('Master Stock'!$D$2:$D$1000&lt;&gt;""),--('Master Stock'!$H$2:$H$1000="OCCUPIED"),--ISNUMBER('Master Stock'!$J$2:$J$1000),--('Master Stock'!$K$2:$K$1000=""),--('Master Stock'!$J$2:$J$1000&lt;'Master Stock'!J364))+COUNTIFS('Master Stock'!$J$2:J364,'Master Stock'!J364,'Master Stock'!$D$2:D364,"&lt;&gt;",'Master Stock'!$H$2:H364,"OCCUPIED",'Master Stock'!$K$2:K364,""),"")</f>
        <v/>
      </c>
      <c r="V364" s="149">
        <f>IF(AND('Master Stock'!D364&lt;&gt;"",'Master Stock'!H364="OCCUPIED",ISNUMBER('Master Stock'!L364),'Master Stock'!L364&lt;TODAY()-30),SUMPRODUCT(--('Master Stock'!$D$2:$D$1000&lt;&gt;""),--('Master Stock'!$H$2:$H$1000="OCCUPIED"),--ISNUMBER('Master Stock'!$L$2:$L$1000),--('Master Stock'!$L$2:$L$1000&lt;TODAY()-30),--('Master Stock'!$L$2:$L$1000&lt;'Master Stock'!L364))+COUNTIFS('Master Stock'!$L$2:L364,'Master Stock'!L364,'Master Stock'!$D$2:D364,"&lt;&gt;",'Master Stock'!$H$2:H364,"OCCUPIED"),"")</f>
        <v/>
      </c>
      <c r="W364" s="149" t="n"/>
      <c r="X364" s="149" t="n"/>
      <c r="Y364" s="149" t="n"/>
      <c r="Z364" s="149" t="n"/>
    </row>
    <row r="365" ht="15.75" customHeight="1" s="236">
      <c r="A365" s="148" t="n"/>
      <c r="B365" s="148" t="n"/>
      <c r="C365" s="124" t="n"/>
      <c r="D365" s="148" t="n"/>
      <c r="E365" s="148" t="n"/>
      <c r="F365" s="148" t="n"/>
      <c r="G365" s="124" t="n"/>
      <c r="H365" s="148" t="n"/>
      <c r="I365" s="148" t="n"/>
      <c r="J365" s="148" t="n"/>
      <c r="K365" s="148" t="n"/>
      <c r="L365" s="148" t="n"/>
      <c r="M365" s="148" t="n"/>
      <c r="N365" s="148" t="n"/>
      <c r="O365" s="148" t="n"/>
      <c r="P365" s="148" t="n"/>
      <c r="Q365" s="148" t="n"/>
      <c r="R365" s="148" t="n"/>
      <c r="S365" s="148" t="n"/>
      <c r="T365" s="148" t="n"/>
      <c r="U365" s="149">
        <f>IF(AND('Master Stock'!D365&lt;&gt;"",'Master Stock'!H365="OCCUPIED",ISNUMBER('Master Stock'!J365),'Master Stock'!K365=""),SUMPRODUCT(--('Master Stock'!$D$2:$D$1000&lt;&gt;""),--('Master Stock'!$H$2:$H$1000="OCCUPIED"),--ISNUMBER('Master Stock'!$J$2:$J$1000),--('Master Stock'!$K$2:$K$1000=""),--('Master Stock'!$J$2:$J$1000&lt;'Master Stock'!J365))+COUNTIFS('Master Stock'!$J$2:J365,'Master Stock'!J365,'Master Stock'!$D$2:D365,"&lt;&gt;",'Master Stock'!$H$2:H365,"OCCUPIED",'Master Stock'!$K$2:K365,""),"")</f>
        <v/>
      </c>
      <c r="V365" s="149">
        <f>IF(AND('Master Stock'!D365&lt;&gt;"",'Master Stock'!H365="OCCUPIED",ISNUMBER('Master Stock'!L365),'Master Stock'!L365&lt;TODAY()-30),SUMPRODUCT(--('Master Stock'!$D$2:$D$1000&lt;&gt;""),--('Master Stock'!$H$2:$H$1000="OCCUPIED"),--ISNUMBER('Master Stock'!$L$2:$L$1000),--('Master Stock'!$L$2:$L$1000&lt;TODAY()-30),--('Master Stock'!$L$2:$L$1000&lt;'Master Stock'!L365))+COUNTIFS('Master Stock'!$L$2:L365,'Master Stock'!L365,'Master Stock'!$D$2:D365,"&lt;&gt;",'Master Stock'!$H$2:H365,"OCCUPIED"),"")</f>
        <v/>
      </c>
      <c r="W365" s="149" t="n"/>
      <c r="X365" s="149" t="n"/>
      <c r="Y365" s="149" t="n"/>
      <c r="Z365" s="149" t="n"/>
    </row>
    <row r="366" ht="15.75" customHeight="1" s="236">
      <c r="A366" s="148" t="n"/>
      <c r="B366" s="148" t="n"/>
      <c r="C366" s="124" t="n"/>
      <c r="D366" s="148" t="n"/>
      <c r="E366" s="148" t="n"/>
      <c r="F366" s="148" t="n"/>
      <c r="G366" s="124" t="n"/>
      <c r="H366" s="148" t="n"/>
      <c r="I366" s="148" t="n"/>
      <c r="J366" s="148" t="n"/>
      <c r="K366" s="148" t="n"/>
      <c r="L366" s="148" t="n"/>
      <c r="M366" s="148" t="n"/>
      <c r="N366" s="148" t="n"/>
      <c r="O366" s="148" t="n"/>
      <c r="P366" s="148" t="n"/>
      <c r="Q366" s="148" t="n"/>
      <c r="R366" s="148" t="n"/>
      <c r="S366" s="148" t="n"/>
      <c r="T366" s="148" t="n"/>
      <c r="U366" s="149">
        <f>IF(AND('Master Stock'!D366&lt;&gt;"",'Master Stock'!H366="OCCUPIED",ISNUMBER('Master Stock'!J366),'Master Stock'!K366=""),SUMPRODUCT(--('Master Stock'!$D$2:$D$1000&lt;&gt;""),--('Master Stock'!$H$2:$H$1000="OCCUPIED"),--ISNUMBER('Master Stock'!$J$2:$J$1000),--('Master Stock'!$K$2:$K$1000=""),--('Master Stock'!$J$2:$J$1000&lt;'Master Stock'!J366))+COUNTIFS('Master Stock'!$J$2:J366,'Master Stock'!J366,'Master Stock'!$D$2:D366,"&lt;&gt;",'Master Stock'!$H$2:H366,"OCCUPIED",'Master Stock'!$K$2:K366,""),"")</f>
        <v/>
      </c>
      <c r="V366" s="149">
        <f>IF(AND('Master Stock'!D366&lt;&gt;"",'Master Stock'!H366="OCCUPIED",ISNUMBER('Master Stock'!L366),'Master Stock'!L366&lt;TODAY()-30),SUMPRODUCT(--('Master Stock'!$D$2:$D$1000&lt;&gt;""),--('Master Stock'!$H$2:$H$1000="OCCUPIED"),--ISNUMBER('Master Stock'!$L$2:$L$1000),--('Master Stock'!$L$2:$L$1000&lt;TODAY()-30),--('Master Stock'!$L$2:$L$1000&lt;'Master Stock'!L366))+COUNTIFS('Master Stock'!$L$2:L366,'Master Stock'!L366,'Master Stock'!$D$2:D366,"&lt;&gt;",'Master Stock'!$H$2:H366,"OCCUPIED"),"")</f>
        <v/>
      </c>
      <c r="W366" s="149" t="n"/>
      <c r="X366" s="149" t="n"/>
      <c r="Y366" s="149" t="n"/>
      <c r="Z366" s="149" t="n"/>
    </row>
    <row r="367" ht="15.75" customHeight="1" s="236">
      <c r="A367" s="148" t="n"/>
      <c r="B367" s="148" t="n"/>
      <c r="C367" s="124" t="n"/>
      <c r="D367" s="148" t="n"/>
      <c r="E367" s="148" t="n"/>
      <c r="F367" s="148" t="n"/>
      <c r="G367" s="124" t="n"/>
      <c r="H367" s="148" t="n"/>
      <c r="I367" s="148" t="n"/>
      <c r="J367" s="148" t="n"/>
      <c r="K367" s="148" t="n"/>
      <c r="L367" s="148" t="n"/>
      <c r="M367" s="148" t="n"/>
      <c r="N367" s="148" t="n"/>
      <c r="O367" s="148" t="n"/>
      <c r="P367" s="148" t="n"/>
      <c r="Q367" s="148" t="n"/>
      <c r="R367" s="148" t="n"/>
      <c r="S367" s="148" t="n"/>
      <c r="T367" s="148" t="n"/>
      <c r="U367" s="149">
        <f>IF(AND('Master Stock'!D367&lt;&gt;"",'Master Stock'!H367="OCCUPIED",ISNUMBER('Master Stock'!J367),'Master Stock'!K367=""),SUMPRODUCT(--('Master Stock'!$D$2:$D$1000&lt;&gt;""),--('Master Stock'!$H$2:$H$1000="OCCUPIED"),--ISNUMBER('Master Stock'!$J$2:$J$1000),--('Master Stock'!$K$2:$K$1000=""),--('Master Stock'!$J$2:$J$1000&lt;'Master Stock'!J367))+COUNTIFS('Master Stock'!$J$2:J367,'Master Stock'!J367,'Master Stock'!$D$2:D367,"&lt;&gt;",'Master Stock'!$H$2:H367,"OCCUPIED",'Master Stock'!$K$2:K367,""),"")</f>
        <v/>
      </c>
      <c r="V367" s="149">
        <f>IF(AND('Master Stock'!D367&lt;&gt;"",'Master Stock'!H367="OCCUPIED",ISNUMBER('Master Stock'!L367),'Master Stock'!L367&lt;TODAY()-30),SUMPRODUCT(--('Master Stock'!$D$2:$D$1000&lt;&gt;""),--('Master Stock'!$H$2:$H$1000="OCCUPIED"),--ISNUMBER('Master Stock'!$L$2:$L$1000),--('Master Stock'!$L$2:$L$1000&lt;TODAY()-30),--('Master Stock'!$L$2:$L$1000&lt;'Master Stock'!L367))+COUNTIFS('Master Stock'!$L$2:L367,'Master Stock'!L367,'Master Stock'!$D$2:D367,"&lt;&gt;",'Master Stock'!$H$2:H367,"OCCUPIED"),"")</f>
        <v/>
      </c>
      <c r="W367" s="149" t="n"/>
      <c r="X367" s="149" t="n"/>
      <c r="Y367" s="149" t="n"/>
      <c r="Z367" s="149" t="n"/>
    </row>
    <row r="368" ht="15.75" customHeight="1" s="236">
      <c r="A368" s="148" t="n"/>
      <c r="B368" s="148" t="n"/>
      <c r="C368" s="124" t="n"/>
      <c r="D368" s="148" t="n"/>
      <c r="E368" s="148" t="n"/>
      <c r="F368" s="148" t="n"/>
      <c r="G368" s="124" t="n"/>
      <c r="H368" s="148" t="n"/>
      <c r="I368" s="148" t="n"/>
      <c r="J368" s="148" t="n"/>
      <c r="K368" s="148" t="n"/>
      <c r="L368" s="148" t="n"/>
      <c r="M368" s="148" t="n"/>
      <c r="N368" s="148" t="n"/>
      <c r="O368" s="148" t="n"/>
      <c r="P368" s="148" t="n"/>
      <c r="Q368" s="148" t="n"/>
      <c r="R368" s="148" t="n"/>
      <c r="S368" s="148" t="n"/>
      <c r="T368" s="148" t="n"/>
      <c r="U368" s="149">
        <f>IF(AND('Master Stock'!D368&lt;&gt;"",'Master Stock'!H368="OCCUPIED",ISNUMBER('Master Stock'!J368),'Master Stock'!K368=""),SUMPRODUCT(--('Master Stock'!$D$2:$D$1000&lt;&gt;""),--('Master Stock'!$H$2:$H$1000="OCCUPIED"),--ISNUMBER('Master Stock'!$J$2:$J$1000),--('Master Stock'!$K$2:$K$1000=""),--('Master Stock'!$J$2:$J$1000&lt;'Master Stock'!J368))+COUNTIFS('Master Stock'!$J$2:J368,'Master Stock'!J368,'Master Stock'!$D$2:D368,"&lt;&gt;",'Master Stock'!$H$2:H368,"OCCUPIED",'Master Stock'!$K$2:K368,""),"")</f>
        <v/>
      </c>
      <c r="V368" s="149">
        <f>IF(AND('Master Stock'!D368&lt;&gt;"",'Master Stock'!H368="OCCUPIED",ISNUMBER('Master Stock'!L368),'Master Stock'!L368&lt;TODAY()-30),SUMPRODUCT(--('Master Stock'!$D$2:$D$1000&lt;&gt;""),--('Master Stock'!$H$2:$H$1000="OCCUPIED"),--ISNUMBER('Master Stock'!$L$2:$L$1000),--('Master Stock'!$L$2:$L$1000&lt;TODAY()-30),--('Master Stock'!$L$2:$L$1000&lt;'Master Stock'!L368))+COUNTIFS('Master Stock'!$L$2:L368,'Master Stock'!L368,'Master Stock'!$D$2:D368,"&lt;&gt;",'Master Stock'!$H$2:H368,"OCCUPIED"),"")</f>
        <v/>
      </c>
      <c r="W368" s="149" t="n"/>
      <c r="X368" s="149" t="n"/>
      <c r="Y368" s="149" t="n"/>
      <c r="Z368" s="149" t="n"/>
    </row>
    <row r="369" ht="15.75" customHeight="1" s="236">
      <c r="A369" s="148" t="n"/>
      <c r="B369" s="148" t="n"/>
      <c r="C369" s="124" t="n"/>
      <c r="D369" s="148" t="n"/>
      <c r="E369" s="148" t="n"/>
      <c r="F369" s="148" t="n"/>
      <c r="G369" s="124" t="n"/>
      <c r="H369" s="148" t="n"/>
      <c r="I369" s="148" t="n"/>
      <c r="J369" s="148" t="n"/>
      <c r="K369" s="148" t="n"/>
      <c r="L369" s="148" t="n"/>
      <c r="M369" s="148" t="n"/>
      <c r="N369" s="148" t="n"/>
      <c r="O369" s="148" t="n"/>
      <c r="P369" s="148" t="n"/>
      <c r="Q369" s="148" t="n"/>
      <c r="R369" s="148" t="n"/>
      <c r="S369" s="148" t="n"/>
      <c r="T369" s="148" t="n"/>
      <c r="U369" s="149">
        <f>IF(AND('Master Stock'!D369&lt;&gt;"",'Master Stock'!H369="OCCUPIED",ISNUMBER('Master Stock'!J369),'Master Stock'!K369=""),SUMPRODUCT(--('Master Stock'!$D$2:$D$1000&lt;&gt;""),--('Master Stock'!$H$2:$H$1000="OCCUPIED"),--ISNUMBER('Master Stock'!$J$2:$J$1000),--('Master Stock'!$K$2:$K$1000=""),--('Master Stock'!$J$2:$J$1000&lt;'Master Stock'!J369))+COUNTIFS('Master Stock'!$J$2:J369,'Master Stock'!J369,'Master Stock'!$D$2:D369,"&lt;&gt;",'Master Stock'!$H$2:H369,"OCCUPIED",'Master Stock'!$K$2:K369,""),"")</f>
        <v/>
      </c>
      <c r="V369" s="149">
        <f>IF(AND('Master Stock'!D369&lt;&gt;"",'Master Stock'!H369="OCCUPIED",ISNUMBER('Master Stock'!L369),'Master Stock'!L369&lt;TODAY()-30),SUMPRODUCT(--('Master Stock'!$D$2:$D$1000&lt;&gt;""),--('Master Stock'!$H$2:$H$1000="OCCUPIED"),--ISNUMBER('Master Stock'!$L$2:$L$1000),--('Master Stock'!$L$2:$L$1000&lt;TODAY()-30),--('Master Stock'!$L$2:$L$1000&lt;'Master Stock'!L369))+COUNTIFS('Master Stock'!$L$2:L369,'Master Stock'!L369,'Master Stock'!$D$2:D369,"&lt;&gt;",'Master Stock'!$H$2:H369,"OCCUPIED"),"")</f>
        <v/>
      </c>
      <c r="W369" s="149" t="n"/>
      <c r="X369" s="149" t="n"/>
      <c r="Y369" s="149" t="n"/>
      <c r="Z369" s="149" t="n"/>
    </row>
    <row r="370" ht="15.75" customHeight="1" s="236">
      <c r="A370" s="148" t="n"/>
      <c r="B370" s="148" t="n"/>
      <c r="C370" s="124" t="n"/>
      <c r="D370" s="148" t="n"/>
      <c r="E370" s="148" t="n"/>
      <c r="F370" s="148" t="n"/>
      <c r="G370" s="124" t="n"/>
      <c r="H370" s="148" t="n"/>
      <c r="I370" s="148" t="n"/>
      <c r="J370" s="148" t="n"/>
      <c r="K370" s="148" t="n"/>
      <c r="L370" s="148" t="n"/>
      <c r="M370" s="148" t="n"/>
      <c r="N370" s="148" t="n"/>
      <c r="O370" s="148" t="n"/>
      <c r="P370" s="148" t="n"/>
      <c r="Q370" s="148" t="n"/>
      <c r="R370" s="148" t="n"/>
      <c r="S370" s="148" t="n"/>
      <c r="T370" s="148" t="n"/>
      <c r="U370" s="149">
        <f>IF(AND('Master Stock'!D370&lt;&gt;"",'Master Stock'!H370="OCCUPIED",ISNUMBER('Master Stock'!J370),'Master Stock'!K370=""),SUMPRODUCT(--('Master Stock'!$D$2:$D$1000&lt;&gt;""),--('Master Stock'!$H$2:$H$1000="OCCUPIED"),--ISNUMBER('Master Stock'!$J$2:$J$1000),--('Master Stock'!$K$2:$K$1000=""),--('Master Stock'!$J$2:$J$1000&lt;'Master Stock'!J370))+COUNTIFS('Master Stock'!$J$2:J370,'Master Stock'!J370,'Master Stock'!$D$2:D370,"&lt;&gt;",'Master Stock'!$H$2:H370,"OCCUPIED",'Master Stock'!$K$2:K370,""),"")</f>
        <v/>
      </c>
      <c r="V370" s="149">
        <f>IF(AND('Master Stock'!D370&lt;&gt;"",'Master Stock'!H370="OCCUPIED",ISNUMBER('Master Stock'!L370),'Master Stock'!L370&lt;TODAY()-30),SUMPRODUCT(--('Master Stock'!$D$2:$D$1000&lt;&gt;""),--('Master Stock'!$H$2:$H$1000="OCCUPIED"),--ISNUMBER('Master Stock'!$L$2:$L$1000),--('Master Stock'!$L$2:$L$1000&lt;TODAY()-30),--('Master Stock'!$L$2:$L$1000&lt;'Master Stock'!L370))+COUNTIFS('Master Stock'!$L$2:L370,'Master Stock'!L370,'Master Stock'!$D$2:D370,"&lt;&gt;",'Master Stock'!$H$2:H370,"OCCUPIED"),"")</f>
        <v/>
      </c>
      <c r="W370" s="149" t="n"/>
      <c r="X370" s="149" t="n"/>
      <c r="Y370" s="149" t="n"/>
      <c r="Z370" s="149" t="n"/>
    </row>
    <row r="371" ht="15.75" customHeight="1" s="236">
      <c r="A371" s="148" t="n"/>
      <c r="B371" s="148" t="n"/>
      <c r="C371" s="124" t="n"/>
      <c r="D371" s="148" t="n"/>
      <c r="E371" s="148" t="n"/>
      <c r="F371" s="148" t="n"/>
      <c r="G371" s="124" t="n"/>
      <c r="H371" s="148" t="n"/>
      <c r="I371" s="148" t="n"/>
      <c r="J371" s="148" t="n"/>
      <c r="K371" s="148" t="n"/>
      <c r="L371" s="148" t="n"/>
      <c r="M371" s="148" t="n"/>
      <c r="N371" s="148" t="n"/>
      <c r="O371" s="148" t="n"/>
      <c r="P371" s="148" t="n"/>
      <c r="Q371" s="148" t="n"/>
      <c r="R371" s="148" t="n"/>
      <c r="S371" s="148" t="n"/>
      <c r="T371" s="148" t="n"/>
      <c r="U371" s="149">
        <f>IF(AND('Master Stock'!D371&lt;&gt;"",'Master Stock'!H371="OCCUPIED",ISNUMBER('Master Stock'!J371),'Master Stock'!K371=""),SUMPRODUCT(--('Master Stock'!$D$2:$D$1000&lt;&gt;""),--('Master Stock'!$H$2:$H$1000="OCCUPIED"),--ISNUMBER('Master Stock'!$J$2:$J$1000),--('Master Stock'!$K$2:$K$1000=""),--('Master Stock'!$J$2:$J$1000&lt;'Master Stock'!J371))+COUNTIFS('Master Stock'!$J$2:J371,'Master Stock'!J371,'Master Stock'!$D$2:D371,"&lt;&gt;",'Master Stock'!$H$2:H371,"OCCUPIED",'Master Stock'!$K$2:K371,""),"")</f>
        <v/>
      </c>
      <c r="V371" s="149">
        <f>IF(AND('Master Stock'!D371&lt;&gt;"",'Master Stock'!H371="OCCUPIED",ISNUMBER('Master Stock'!L371),'Master Stock'!L371&lt;TODAY()-30),SUMPRODUCT(--('Master Stock'!$D$2:$D$1000&lt;&gt;""),--('Master Stock'!$H$2:$H$1000="OCCUPIED"),--ISNUMBER('Master Stock'!$L$2:$L$1000),--('Master Stock'!$L$2:$L$1000&lt;TODAY()-30),--('Master Stock'!$L$2:$L$1000&lt;'Master Stock'!L371))+COUNTIFS('Master Stock'!$L$2:L371,'Master Stock'!L371,'Master Stock'!$D$2:D371,"&lt;&gt;",'Master Stock'!$H$2:H371,"OCCUPIED"),"")</f>
        <v/>
      </c>
      <c r="W371" s="149" t="n"/>
      <c r="X371" s="149" t="n"/>
      <c r="Y371" s="149" t="n"/>
      <c r="Z371" s="149" t="n"/>
    </row>
    <row r="372" ht="15.75" customHeight="1" s="236">
      <c r="A372" s="148" t="n"/>
      <c r="B372" s="148" t="n"/>
      <c r="C372" s="124" t="n"/>
      <c r="D372" s="148" t="n"/>
      <c r="E372" s="148" t="n"/>
      <c r="F372" s="148" t="n"/>
      <c r="G372" s="124" t="n"/>
      <c r="H372" s="148" t="n"/>
      <c r="I372" s="148" t="n"/>
      <c r="J372" s="148" t="n"/>
      <c r="K372" s="148" t="n"/>
      <c r="L372" s="148" t="n"/>
      <c r="M372" s="148" t="n"/>
      <c r="N372" s="148" t="n"/>
      <c r="O372" s="148" t="n"/>
      <c r="P372" s="148" t="n"/>
      <c r="Q372" s="148" t="n"/>
      <c r="R372" s="148" t="n"/>
      <c r="S372" s="148" t="n"/>
      <c r="T372" s="148" t="n"/>
      <c r="U372" s="149">
        <f>IF(AND('Master Stock'!D372&lt;&gt;"",'Master Stock'!H372="OCCUPIED",ISNUMBER('Master Stock'!J372),'Master Stock'!K372=""),SUMPRODUCT(--('Master Stock'!$D$2:$D$1000&lt;&gt;""),--('Master Stock'!$H$2:$H$1000="OCCUPIED"),--ISNUMBER('Master Stock'!$J$2:$J$1000),--('Master Stock'!$K$2:$K$1000=""),--('Master Stock'!$J$2:$J$1000&lt;'Master Stock'!J372))+COUNTIFS('Master Stock'!$J$2:J372,'Master Stock'!J372,'Master Stock'!$D$2:D372,"&lt;&gt;",'Master Stock'!$H$2:H372,"OCCUPIED",'Master Stock'!$K$2:K372,""),"")</f>
        <v/>
      </c>
      <c r="V372" s="149">
        <f>IF(AND('Master Stock'!D372&lt;&gt;"",'Master Stock'!H372="OCCUPIED",ISNUMBER('Master Stock'!L372),'Master Stock'!L372&lt;TODAY()-30),SUMPRODUCT(--('Master Stock'!$D$2:$D$1000&lt;&gt;""),--('Master Stock'!$H$2:$H$1000="OCCUPIED"),--ISNUMBER('Master Stock'!$L$2:$L$1000),--('Master Stock'!$L$2:$L$1000&lt;TODAY()-30),--('Master Stock'!$L$2:$L$1000&lt;'Master Stock'!L372))+COUNTIFS('Master Stock'!$L$2:L372,'Master Stock'!L372,'Master Stock'!$D$2:D372,"&lt;&gt;",'Master Stock'!$H$2:H372,"OCCUPIED"),"")</f>
        <v/>
      </c>
      <c r="W372" s="149" t="n"/>
      <c r="X372" s="149" t="n"/>
      <c r="Y372" s="149" t="n"/>
      <c r="Z372" s="149" t="n"/>
    </row>
    <row r="373" ht="15.75" customHeight="1" s="236">
      <c r="A373" s="148" t="n"/>
      <c r="B373" s="148" t="n"/>
      <c r="C373" s="124" t="n"/>
      <c r="D373" s="148" t="n"/>
      <c r="E373" s="148" t="n"/>
      <c r="F373" s="148" t="n"/>
      <c r="G373" s="124" t="n"/>
      <c r="H373" s="148" t="n"/>
      <c r="I373" s="148" t="n"/>
      <c r="J373" s="148" t="n"/>
      <c r="K373" s="148" t="n"/>
      <c r="L373" s="148" t="n"/>
      <c r="M373" s="148" t="n"/>
      <c r="N373" s="148" t="n"/>
      <c r="O373" s="148" t="n"/>
      <c r="P373" s="148" t="n"/>
      <c r="Q373" s="148" t="n"/>
      <c r="R373" s="148" t="n"/>
      <c r="S373" s="148" t="n"/>
      <c r="T373" s="148" t="n"/>
      <c r="U373" s="149">
        <f>IF(AND('Master Stock'!D373&lt;&gt;"",'Master Stock'!H373="OCCUPIED",ISNUMBER('Master Stock'!J373),'Master Stock'!K373=""),SUMPRODUCT(--('Master Stock'!$D$2:$D$1000&lt;&gt;""),--('Master Stock'!$H$2:$H$1000="OCCUPIED"),--ISNUMBER('Master Stock'!$J$2:$J$1000),--('Master Stock'!$K$2:$K$1000=""),--('Master Stock'!$J$2:$J$1000&lt;'Master Stock'!J373))+COUNTIFS('Master Stock'!$J$2:J373,'Master Stock'!J373,'Master Stock'!$D$2:D373,"&lt;&gt;",'Master Stock'!$H$2:H373,"OCCUPIED",'Master Stock'!$K$2:K373,""),"")</f>
        <v/>
      </c>
      <c r="V373" s="149">
        <f>IF(AND('Master Stock'!D373&lt;&gt;"",'Master Stock'!H373="OCCUPIED",ISNUMBER('Master Stock'!L373),'Master Stock'!L373&lt;TODAY()-30),SUMPRODUCT(--('Master Stock'!$D$2:$D$1000&lt;&gt;""),--('Master Stock'!$H$2:$H$1000="OCCUPIED"),--ISNUMBER('Master Stock'!$L$2:$L$1000),--('Master Stock'!$L$2:$L$1000&lt;TODAY()-30),--('Master Stock'!$L$2:$L$1000&lt;'Master Stock'!L373))+COUNTIFS('Master Stock'!$L$2:L373,'Master Stock'!L373,'Master Stock'!$D$2:D373,"&lt;&gt;",'Master Stock'!$H$2:H373,"OCCUPIED"),"")</f>
        <v/>
      </c>
      <c r="W373" s="149" t="n"/>
      <c r="X373" s="149" t="n"/>
      <c r="Y373" s="149" t="n"/>
      <c r="Z373" s="149" t="n"/>
    </row>
    <row r="374" ht="15.75" customHeight="1" s="236">
      <c r="A374" s="148" t="n"/>
      <c r="B374" s="148" t="n"/>
      <c r="C374" s="124" t="n"/>
      <c r="D374" s="148" t="n"/>
      <c r="E374" s="148" t="n"/>
      <c r="F374" s="148" t="n"/>
      <c r="G374" s="124" t="n"/>
      <c r="H374" s="148" t="n"/>
      <c r="I374" s="148" t="n"/>
      <c r="J374" s="148" t="n"/>
      <c r="K374" s="148" t="n"/>
      <c r="L374" s="148" t="n"/>
      <c r="M374" s="148" t="n"/>
      <c r="N374" s="148" t="n"/>
      <c r="O374" s="148" t="n"/>
      <c r="P374" s="148" t="n"/>
      <c r="Q374" s="148" t="n"/>
      <c r="R374" s="148" t="n"/>
      <c r="S374" s="148" t="n"/>
      <c r="T374" s="148" t="n"/>
      <c r="U374" s="149">
        <f>IF(AND('Master Stock'!D374&lt;&gt;"",'Master Stock'!H374="OCCUPIED",ISNUMBER('Master Stock'!J374),'Master Stock'!K374=""),SUMPRODUCT(--('Master Stock'!$D$2:$D$1000&lt;&gt;""),--('Master Stock'!$H$2:$H$1000="OCCUPIED"),--ISNUMBER('Master Stock'!$J$2:$J$1000),--('Master Stock'!$K$2:$K$1000=""),--('Master Stock'!$J$2:$J$1000&lt;'Master Stock'!J374))+COUNTIFS('Master Stock'!$J$2:J374,'Master Stock'!J374,'Master Stock'!$D$2:D374,"&lt;&gt;",'Master Stock'!$H$2:H374,"OCCUPIED",'Master Stock'!$K$2:K374,""),"")</f>
        <v/>
      </c>
      <c r="V374" s="149">
        <f>IF(AND('Master Stock'!D374&lt;&gt;"",'Master Stock'!H374="OCCUPIED",ISNUMBER('Master Stock'!L374),'Master Stock'!L374&lt;TODAY()-30),SUMPRODUCT(--('Master Stock'!$D$2:$D$1000&lt;&gt;""),--('Master Stock'!$H$2:$H$1000="OCCUPIED"),--ISNUMBER('Master Stock'!$L$2:$L$1000),--('Master Stock'!$L$2:$L$1000&lt;TODAY()-30),--('Master Stock'!$L$2:$L$1000&lt;'Master Stock'!L374))+COUNTIFS('Master Stock'!$L$2:L374,'Master Stock'!L374,'Master Stock'!$D$2:D374,"&lt;&gt;",'Master Stock'!$H$2:H374,"OCCUPIED"),"")</f>
        <v/>
      </c>
      <c r="W374" s="149" t="n"/>
      <c r="X374" s="149" t="n"/>
      <c r="Y374" s="149" t="n"/>
      <c r="Z374" s="149" t="n"/>
    </row>
    <row r="375" ht="15.75" customHeight="1" s="236">
      <c r="A375" s="148" t="n"/>
      <c r="B375" s="148" t="n"/>
      <c r="C375" s="124" t="n"/>
      <c r="D375" s="148" t="n"/>
      <c r="E375" s="148" t="n"/>
      <c r="F375" s="148" t="n"/>
      <c r="G375" s="124" t="n"/>
      <c r="H375" s="148" t="n"/>
      <c r="I375" s="148" t="n"/>
      <c r="J375" s="148" t="n"/>
      <c r="K375" s="148" t="n"/>
      <c r="L375" s="148" t="n"/>
      <c r="M375" s="148" t="n"/>
      <c r="N375" s="148" t="n"/>
      <c r="O375" s="148" t="n"/>
      <c r="P375" s="148" t="n"/>
      <c r="Q375" s="148" t="n"/>
      <c r="R375" s="148" t="n"/>
      <c r="S375" s="148" t="n"/>
      <c r="T375" s="148" t="n"/>
      <c r="U375" s="149">
        <f>IF(AND('Master Stock'!D375&lt;&gt;"",'Master Stock'!H375="OCCUPIED",ISNUMBER('Master Stock'!J375),'Master Stock'!K375=""),SUMPRODUCT(--('Master Stock'!$D$2:$D$1000&lt;&gt;""),--('Master Stock'!$H$2:$H$1000="OCCUPIED"),--ISNUMBER('Master Stock'!$J$2:$J$1000),--('Master Stock'!$K$2:$K$1000=""),--('Master Stock'!$J$2:$J$1000&lt;'Master Stock'!J375))+COUNTIFS('Master Stock'!$J$2:J375,'Master Stock'!J375,'Master Stock'!$D$2:D375,"&lt;&gt;",'Master Stock'!$H$2:H375,"OCCUPIED",'Master Stock'!$K$2:K375,""),"")</f>
        <v/>
      </c>
      <c r="V375" s="149">
        <f>IF(AND('Master Stock'!D375&lt;&gt;"",'Master Stock'!H375="OCCUPIED",ISNUMBER('Master Stock'!L375),'Master Stock'!L375&lt;TODAY()-30),SUMPRODUCT(--('Master Stock'!$D$2:$D$1000&lt;&gt;""),--('Master Stock'!$H$2:$H$1000="OCCUPIED"),--ISNUMBER('Master Stock'!$L$2:$L$1000),--('Master Stock'!$L$2:$L$1000&lt;TODAY()-30),--('Master Stock'!$L$2:$L$1000&lt;'Master Stock'!L375))+COUNTIFS('Master Stock'!$L$2:L375,'Master Stock'!L375,'Master Stock'!$D$2:D375,"&lt;&gt;",'Master Stock'!$H$2:H375,"OCCUPIED"),"")</f>
        <v/>
      </c>
      <c r="W375" s="149" t="n"/>
      <c r="X375" s="149" t="n"/>
      <c r="Y375" s="149" t="n"/>
      <c r="Z375" s="149" t="n"/>
    </row>
    <row r="376" ht="15.75" customHeight="1" s="236">
      <c r="A376" s="148" t="n"/>
      <c r="B376" s="148" t="n"/>
      <c r="C376" s="124" t="n"/>
      <c r="D376" s="148" t="n"/>
      <c r="E376" s="148" t="n"/>
      <c r="F376" s="148" t="n"/>
      <c r="G376" s="124" t="n"/>
      <c r="H376" s="148" t="n"/>
      <c r="I376" s="148" t="n"/>
      <c r="J376" s="148" t="n"/>
      <c r="K376" s="148" t="n"/>
      <c r="L376" s="148" t="n"/>
      <c r="M376" s="148" t="n"/>
      <c r="N376" s="148" t="n"/>
      <c r="O376" s="148" t="n"/>
      <c r="P376" s="148" t="n"/>
      <c r="Q376" s="148" t="n"/>
      <c r="R376" s="148" t="n"/>
      <c r="S376" s="148" t="n"/>
      <c r="T376" s="148" t="n"/>
      <c r="U376" s="149">
        <f>IF(AND('Master Stock'!D376&lt;&gt;"",'Master Stock'!H376="OCCUPIED",ISNUMBER('Master Stock'!J376),'Master Stock'!K376=""),SUMPRODUCT(--('Master Stock'!$D$2:$D$1000&lt;&gt;""),--('Master Stock'!$H$2:$H$1000="OCCUPIED"),--ISNUMBER('Master Stock'!$J$2:$J$1000),--('Master Stock'!$K$2:$K$1000=""),--('Master Stock'!$J$2:$J$1000&lt;'Master Stock'!J376))+COUNTIFS('Master Stock'!$J$2:J376,'Master Stock'!J376,'Master Stock'!$D$2:D376,"&lt;&gt;",'Master Stock'!$H$2:H376,"OCCUPIED",'Master Stock'!$K$2:K376,""),"")</f>
        <v/>
      </c>
      <c r="V376" s="149">
        <f>IF(AND('Master Stock'!D376&lt;&gt;"",'Master Stock'!H376="OCCUPIED",ISNUMBER('Master Stock'!L376),'Master Stock'!L376&lt;TODAY()-30),SUMPRODUCT(--('Master Stock'!$D$2:$D$1000&lt;&gt;""),--('Master Stock'!$H$2:$H$1000="OCCUPIED"),--ISNUMBER('Master Stock'!$L$2:$L$1000),--('Master Stock'!$L$2:$L$1000&lt;TODAY()-30),--('Master Stock'!$L$2:$L$1000&lt;'Master Stock'!L376))+COUNTIFS('Master Stock'!$L$2:L376,'Master Stock'!L376,'Master Stock'!$D$2:D376,"&lt;&gt;",'Master Stock'!$H$2:H376,"OCCUPIED"),"")</f>
        <v/>
      </c>
      <c r="W376" s="149" t="n"/>
      <c r="X376" s="149" t="n"/>
      <c r="Y376" s="149" t="n"/>
      <c r="Z376" s="149" t="n"/>
    </row>
    <row r="377" ht="15.75" customHeight="1" s="236">
      <c r="A377" s="148" t="n"/>
      <c r="B377" s="148" t="n"/>
      <c r="C377" s="124" t="n"/>
      <c r="D377" s="148" t="n"/>
      <c r="E377" s="148" t="n"/>
      <c r="F377" s="148" t="n"/>
      <c r="G377" s="124" t="n"/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 t="n"/>
      <c r="S377" s="148" t="n"/>
      <c r="T377" s="148" t="n"/>
      <c r="U377" s="149">
        <f>IF(AND('Master Stock'!D377&lt;&gt;"",'Master Stock'!H377="OCCUPIED",ISNUMBER('Master Stock'!J377),'Master Stock'!K377=""),SUMPRODUCT(--('Master Stock'!$D$2:$D$1000&lt;&gt;""),--('Master Stock'!$H$2:$H$1000="OCCUPIED"),--ISNUMBER('Master Stock'!$J$2:$J$1000),--('Master Stock'!$K$2:$K$1000=""),--('Master Stock'!$J$2:$J$1000&lt;'Master Stock'!J377))+COUNTIFS('Master Stock'!$J$2:J377,'Master Stock'!J377,'Master Stock'!$D$2:D377,"&lt;&gt;",'Master Stock'!$H$2:H377,"OCCUPIED",'Master Stock'!$K$2:K377,""),"")</f>
        <v/>
      </c>
      <c r="V377" s="149">
        <f>IF(AND('Master Stock'!D377&lt;&gt;"",'Master Stock'!H377="OCCUPIED",ISNUMBER('Master Stock'!L377),'Master Stock'!L377&lt;TODAY()-30),SUMPRODUCT(--('Master Stock'!$D$2:$D$1000&lt;&gt;""),--('Master Stock'!$H$2:$H$1000="OCCUPIED"),--ISNUMBER('Master Stock'!$L$2:$L$1000),--('Master Stock'!$L$2:$L$1000&lt;TODAY()-30),--('Master Stock'!$L$2:$L$1000&lt;'Master Stock'!L377))+COUNTIFS('Master Stock'!$L$2:L377,'Master Stock'!L377,'Master Stock'!$D$2:D377,"&lt;&gt;",'Master Stock'!$H$2:H377,"OCCUPIED"),"")</f>
        <v/>
      </c>
      <c r="W377" s="149" t="n"/>
      <c r="X377" s="149" t="n"/>
      <c r="Y377" s="149" t="n"/>
      <c r="Z377" s="149" t="n"/>
    </row>
    <row r="378" ht="15.75" customHeight="1" s="236">
      <c r="A378" s="148" t="n"/>
      <c r="B378" s="148" t="n"/>
      <c r="C378" s="124" t="n"/>
      <c r="D378" s="148" t="n"/>
      <c r="E378" s="148" t="n"/>
      <c r="F378" s="148" t="n"/>
      <c r="G378" s="124" t="n"/>
      <c r="H378" s="148" t="n"/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 t="n"/>
      <c r="S378" s="148" t="n"/>
      <c r="T378" s="148" t="n"/>
      <c r="U378" s="149">
        <f>IF(AND('Master Stock'!D378&lt;&gt;"",'Master Stock'!H378="OCCUPIED",ISNUMBER('Master Stock'!J378),'Master Stock'!K378=""),SUMPRODUCT(--('Master Stock'!$D$2:$D$1000&lt;&gt;""),--('Master Stock'!$H$2:$H$1000="OCCUPIED"),--ISNUMBER('Master Stock'!$J$2:$J$1000),--('Master Stock'!$K$2:$K$1000=""),--('Master Stock'!$J$2:$J$1000&lt;'Master Stock'!J378))+COUNTIFS('Master Stock'!$J$2:J378,'Master Stock'!J378,'Master Stock'!$D$2:D378,"&lt;&gt;",'Master Stock'!$H$2:H378,"OCCUPIED",'Master Stock'!$K$2:K378,""),"")</f>
        <v/>
      </c>
      <c r="V378" s="149">
        <f>IF(AND('Master Stock'!D378&lt;&gt;"",'Master Stock'!H378="OCCUPIED",ISNUMBER('Master Stock'!L378),'Master Stock'!L378&lt;TODAY()-30),SUMPRODUCT(--('Master Stock'!$D$2:$D$1000&lt;&gt;""),--('Master Stock'!$H$2:$H$1000="OCCUPIED"),--ISNUMBER('Master Stock'!$L$2:$L$1000),--('Master Stock'!$L$2:$L$1000&lt;TODAY()-30),--('Master Stock'!$L$2:$L$1000&lt;'Master Stock'!L378))+COUNTIFS('Master Stock'!$L$2:L378,'Master Stock'!L378,'Master Stock'!$D$2:D378,"&lt;&gt;",'Master Stock'!$H$2:H378,"OCCUPIED"),"")</f>
        <v/>
      </c>
      <c r="W378" s="149" t="n"/>
      <c r="X378" s="149" t="n"/>
      <c r="Y378" s="149" t="n"/>
      <c r="Z378" s="149" t="n"/>
    </row>
    <row r="379" ht="15.75" customHeight="1" s="236">
      <c r="A379" s="148" t="n"/>
      <c r="B379" s="148" t="n"/>
      <c r="C379" s="124" t="n"/>
      <c r="D379" s="148" t="n"/>
      <c r="E379" s="148" t="n"/>
      <c r="F379" s="148" t="n"/>
      <c r="G379" s="124" t="n"/>
      <c r="H379" s="148" t="n"/>
      <c r="I379" s="148" t="n"/>
      <c r="J379" s="148" t="n"/>
      <c r="K379" s="148" t="n"/>
      <c r="L379" s="148" t="n"/>
      <c r="M379" s="148" t="n"/>
      <c r="N379" s="148" t="n"/>
      <c r="O379" s="148" t="n"/>
      <c r="P379" s="148" t="n"/>
      <c r="Q379" s="148" t="n"/>
      <c r="R379" s="148" t="n"/>
      <c r="S379" s="148" t="n"/>
      <c r="T379" s="148" t="n"/>
      <c r="U379" s="149">
        <f>IF(AND('Master Stock'!D379&lt;&gt;"",'Master Stock'!H379="OCCUPIED",ISNUMBER('Master Stock'!J379),'Master Stock'!K379=""),SUMPRODUCT(--('Master Stock'!$D$2:$D$1000&lt;&gt;""),--('Master Stock'!$H$2:$H$1000="OCCUPIED"),--ISNUMBER('Master Stock'!$J$2:$J$1000),--('Master Stock'!$K$2:$K$1000=""),--('Master Stock'!$J$2:$J$1000&lt;'Master Stock'!J379))+COUNTIFS('Master Stock'!$J$2:J379,'Master Stock'!J379,'Master Stock'!$D$2:D379,"&lt;&gt;",'Master Stock'!$H$2:H379,"OCCUPIED",'Master Stock'!$K$2:K379,""),"")</f>
        <v/>
      </c>
      <c r="V379" s="149">
        <f>IF(AND('Master Stock'!D379&lt;&gt;"",'Master Stock'!H379="OCCUPIED",ISNUMBER('Master Stock'!L379),'Master Stock'!L379&lt;TODAY()-30),SUMPRODUCT(--('Master Stock'!$D$2:$D$1000&lt;&gt;""),--('Master Stock'!$H$2:$H$1000="OCCUPIED"),--ISNUMBER('Master Stock'!$L$2:$L$1000),--('Master Stock'!$L$2:$L$1000&lt;TODAY()-30),--('Master Stock'!$L$2:$L$1000&lt;'Master Stock'!L379))+COUNTIFS('Master Stock'!$L$2:L379,'Master Stock'!L379,'Master Stock'!$D$2:D379,"&lt;&gt;",'Master Stock'!$H$2:H379,"OCCUPIED"),"")</f>
        <v/>
      </c>
      <c r="W379" s="149" t="n"/>
      <c r="X379" s="149" t="n"/>
      <c r="Y379" s="149" t="n"/>
      <c r="Z379" s="149" t="n"/>
    </row>
    <row r="380" ht="15.75" customHeight="1" s="236">
      <c r="A380" s="148" t="n"/>
      <c r="B380" s="148" t="n"/>
      <c r="C380" s="124" t="n"/>
      <c r="D380" s="148" t="n"/>
      <c r="E380" s="148" t="n"/>
      <c r="F380" s="148" t="n"/>
      <c r="G380" s="124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9">
        <f>IF(AND('Master Stock'!D380&lt;&gt;"",'Master Stock'!H380="OCCUPIED",ISNUMBER('Master Stock'!J380),'Master Stock'!K380=""),SUMPRODUCT(--('Master Stock'!$D$2:$D$1000&lt;&gt;""),--('Master Stock'!$H$2:$H$1000="OCCUPIED"),--ISNUMBER('Master Stock'!$J$2:$J$1000),--('Master Stock'!$K$2:$K$1000=""),--('Master Stock'!$J$2:$J$1000&lt;'Master Stock'!J380))+COUNTIFS('Master Stock'!$J$2:J380,'Master Stock'!J380,'Master Stock'!$D$2:D380,"&lt;&gt;",'Master Stock'!$H$2:H380,"OCCUPIED",'Master Stock'!$K$2:K380,""),"")</f>
        <v/>
      </c>
      <c r="V380" s="149">
        <f>IF(AND('Master Stock'!D380&lt;&gt;"",'Master Stock'!H380="OCCUPIED",ISNUMBER('Master Stock'!L380),'Master Stock'!L380&lt;TODAY()-30),SUMPRODUCT(--('Master Stock'!$D$2:$D$1000&lt;&gt;""),--('Master Stock'!$H$2:$H$1000="OCCUPIED"),--ISNUMBER('Master Stock'!$L$2:$L$1000),--('Master Stock'!$L$2:$L$1000&lt;TODAY()-30),--('Master Stock'!$L$2:$L$1000&lt;'Master Stock'!L380))+COUNTIFS('Master Stock'!$L$2:L380,'Master Stock'!L380,'Master Stock'!$D$2:D380,"&lt;&gt;",'Master Stock'!$H$2:H380,"OCCUPIED"),"")</f>
        <v/>
      </c>
      <c r="W380" s="149" t="n"/>
      <c r="X380" s="149" t="n"/>
      <c r="Y380" s="149" t="n"/>
      <c r="Z380" s="149" t="n"/>
    </row>
    <row r="381" ht="15.75" customHeight="1" s="236">
      <c r="A381" s="148" t="n"/>
      <c r="B381" s="148" t="n"/>
      <c r="C381" s="124" t="n"/>
      <c r="D381" s="148" t="n"/>
      <c r="E381" s="148" t="n"/>
      <c r="F381" s="148" t="n"/>
      <c r="G381" s="124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9">
        <f>IF(AND('Master Stock'!D381&lt;&gt;"",'Master Stock'!H381="OCCUPIED",ISNUMBER('Master Stock'!J381),'Master Stock'!K381=""),SUMPRODUCT(--('Master Stock'!$D$2:$D$1000&lt;&gt;""),--('Master Stock'!$H$2:$H$1000="OCCUPIED"),--ISNUMBER('Master Stock'!$J$2:$J$1000),--('Master Stock'!$K$2:$K$1000=""),--('Master Stock'!$J$2:$J$1000&lt;'Master Stock'!J381))+COUNTIFS('Master Stock'!$J$2:J381,'Master Stock'!J381,'Master Stock'!$D$2:D381,"&lt;&gt;",'Master Stock'!$H$2:H381,"OCCUPIED",'Master Stock'!$K$2:K381,""),"")</f>
        <v/>
      </c>
      <c r="V381" s="149">
        <f>IF(AND('Master Stock'!D381&lt;&gt;"",'Master Stock'!H381="OCCUPIED",ISNUMBER('Master Stock'!L381),'Master Stock'!L381&lt;TODAY()-30),SUMPRODUCT(--('Master Stock'!$D$2:$D$1000&lt;&gt;""),--('Master Stock'!$H$2:$H$1000="OCCUPIED"),--ISNUMBER('Master Stock'!$L$2:$L$1000),--('Master Stock'!$L$2:$L$1000&lt;TODAY()-30),--('Master Stock'!$L$2:$L$1000&lt;'Master Stock'!L381))+COUNTIFS('Master Stock'!$L$2:L381,'Master Stock'!L381,'Master Stock'!$D$2:D381,"&lt;&gt;",'Master Stock'!$H$2:H381,"OCCUPIED"),"")</f>
        <v/>
      </c>
      <c r="W381" s="149" t="n"/>
      <c r="X381" s="149" t="n"/>
      <c r="Y381" s="149" t="n"/>
      <c r="Z381" s="149" t="n"/>
    </row>
    <row r="382" ht="15.75" customHeight="1" s="236">
      <c r="A382" s="148" t="n"/>
      <c r="B382" s="148" t="n"/>
      <c r="C382" s="124" t="n"/>
      <c r="D382" s="148" t="n"/>
      <c r="E382" s="148" t="n"/>
      <c r="F382" s="148" t="n"/>
      <c r="G382" s="124" t="n"/>
      <c r="H382" s="148" t="n"/>
      <c r="I382" s="148" t="n"/>
      <c r="J382" s="148" t="n"/>
      <c r="K382" s="148" t="n"/>
      <c r="L382" s="148" t="n"/>
      <c r="M382" s="148" t="n"/>
      <c r="N382" s="148" t="n"/>
      <c r="O382" s="148" t="n"/>
      <c r="P382" s="148" t="n"/>
      <c r="Q382" s="148" t="n"/>
      <c r="R382" s="148" t="n"/>
      <c r="S382" s="148" t="n"/>
      <c r="T382" s="148" t="n"/>
      <c r="U382" s="149">
        <f>IF(AND('Master Stock'!D382&lt;&gt;"",'Master Stock'!H382="OCCUPIED",ISNUMBER('Master Stock'!J382),'Master Stock'!K382=""),SUMPRODUCT(--('Master Stock'!$D$2:$D$1000&lt;&gt;""),--('Master Stock'!$H$2:$H$1000="OCCUPIED"),--ISNUMBER('Master Stock'!$J$2:$J$1000),--('Master Stock'!$K$2:$K$1000=""),--('Master Stock'!$J$2:$J$1000&lt;'Master Stock'!J382))+COUNTIFS('Master Stock'!$J$2:J382,'Master Stock'!J382,'Master Stock'!$D$2:D382,"&lt;&gt;",'Master Stock'!$H$2:H382,"OCCUPIED",'Master Stock'!$K$2:K382,""),"")</f>
        <v/>
      </c>
      <c r="V382" s="149">
        <f>IF(AND('Master Stock'!D382&lt;&gt;"",'Master Stock'!H382="OCCUPIED",ISNUMBER('Master Stock'!L382),'Master Stock'!L382&lt;TODAY()-30),SUMPRODUCT(--('Master Stock'!$D$2:$D$1000&lt;&gt;""),--('Master Stock'!$H$2:$H$1000="OCCUPIED"),--ISNUMBER('Master Stock'!$L$2:$L$1000),--('Master Stock'!$L$2:$L$1000&lt;TODAY()-30),--('Master Stock'!$L$2:$L$1000&lt;'Master Stock'!L382))+COUNTIFS('Master Stock'!$L$2:L382,'Master Stock'!L382,'Master Stock'!$D$2:D382,"&lt;&gt;",'Master Stock'!$H$2:H382,"OCCUPIED"),"")</f>
        <v/>
      </c>
      <c r="W382" s="149" t="n"/>
      <c r="X382" s="149" t="n"/>
      <c r="Y382" s="149" t="n"/>
      <c r="Z382" s="149" t="n"/>
    </row>
    <row r="383" ht="15.75" customHeight="1" s="236">
      <c r="A383" s="148" t="n"/>
      <c r="B383" s="148" t="n"/>
      <c r="C383" s="124" t="n"/>
      <c r="D383" s="148" t="n"/>
      <c r="E383" s="148" t="n"/>
      <c r="F383" s="148" t="n"/>
      <c r="G383" s="124" t="n"/>
      <c r="H383" s="148" t="n"/>
      <c r="I383" s="148" t="n"/>
      <c r="J383" s="148" t="n"/>
      <c r="K383" s="148" t="n"/>
      <c r="L383" s="148" t="n"/>
      <c r="M383" s="148" t="n"/>
      <c r="N383" s="148" t="n"/>
      <c r="O383" s="148" t="n"/>
      <c r="P383" s="148" t="n"/>
      <c r="Q383" s="148" t="n"/>
      <c r="R383" s="148" t="n"/>
      <c r="S383" s="148" t="n"/>
      <c r="T383" s="148" t="n"/>
      <c r="U383" s="149">
        <f>IF(AND('Master Stock'!D383&lt;&gt;"",'Master Stock'!H383="OCCUPIED",ISNUMBER('Master Stock'!J383),'Master Stock'!K383=""),SUMPRODUCT(--('Master Stock'!$D$2:$D$1000&lt;&gt;""),--('Master Stock'!$H$2:$H$1000="OCCUPIED"),--ISNUMBER('Master Stock'!$J$2:$J$1000),--('Master Stock'!$K$2:$K$1000=""),--('Master Stock'!$J$2:$J$1000&lt;'Master Stock'!J383))+COUNTIFS('Master Stock'!$J$2:J383,'Master Stock'!J383,'Master Stock'!$D$2:D383,"&lt;&gt;",'Master Stock'!$H$2:H383,"OCCUPIED",'Master Stock'!$K$2:K383,""),"")</f>
        <v/>
      </c>
      <c r="V383" s="149">
        <f>IF(AND('Master Stock'!D383&lt;&gt;"",'Master Stock'!H383="OCCUPIED",ISNUMBER('Master Stock'!L383),'Master Stock'!L383&lt;TODAY()-30),SUMPRODUCT(--('Master Stock'!$D$2:$D$1000&lt;&gt;""),--('Master Stock'!$H$2:$H$1000="OCCUPIED"),--ISNUMBER('Master Stock'!$L$2:$L$1000),--('Master Stock'!$L$2:$L$1000&lt;TODAY()-30),--('Master Stock'!$L$2:$L$1000&lt;'Master Stock'!L383))+COUNTIFS('Master Stock'!$L$2:L383,'Master Stock'!L383,'Master Stock'!$D$2:D383,"&lt;&gt;",'Master Stock'!$H$2:H383,"OCCUPIED"),"")</f>
        <v/>
      </c>
      <c r="W383" s="149" t="n"/>
      <c r="X383" s="149" t="n"/>
      <c r="Y383" s="149" t="n"/>
      <c r="Z383" s="149" t="n"/>
    </row>
    <row r="384" ht="15.75" customHeight="1" s="236">
      <c r="A384" s="148" t="n"/>
      <c r="B384" s="148" t="n"/>
      <c r="C384" s="124" t="n"/>
      <c r="D384" s="148" t="n"/>
      <c r="E384" s="148" t="n"/>
      <c r="F384" s="148" t="n"/>
      <c r="G384" s="124" t="n"/>
      <c r="H384" s="148" t="n"/>
      <c r="I384" s="148" t="n"/>
      <c r="J384" s="148" t="n"/>
      <c r="K384" s="148" t="n"/>
      <c r="L384" s="148" t="n"/>
      <c r="M384" s="148" t="n"/>
      <c r="N384" s="148" t="n"/>
      <c r="O384" s="148" t="n"/>
      <c r="P384" s="148" t="n"/>
      <c r="Q384" s="148" t="n"/>
      <c r="R384" s="148" t="n"/>
      <c r="S384" s="148" t="n"/>
      <c r="T384" s="148" t="n"/>
      <c r="U384" s="149">
        <f>IF(AND('Master Stock'!D384&lt;&gt;"",'Master Stock'!H384="OCCUPIED",ISNUMBER('Master Stock'!J384),'Master Stock'!K384=""),SUMPRODUCT(--('Master Stock'!$D$2:$D$1000&lt;&gt;""),--('Master Stock'!$H$2:$H$1000="OCCUPIED"),--ISNUMBER('Master Stock'!$J$2:$J$1000),--('Master Stock'!$K$2:$K$1000=""),--('Master Stock'!$J$2:$J$1000&lt;'Master Stock'!J384))+COUNTIFS('Master Stock'!$J$2:J384,'Master Stock'!J384,'Master Stock'!$D$2:D384,"&lt;&gt;",'Master Stock'!$H$2:H384,"OCCUPIED",'Master Stock'!$K$2:K384,""),"")</f>
        <v/>
      </c>
      <c r="V384" s="149">
        <f>IF(AND('Master Stock'!D384&lt;&gt;"",'Master Stock'!H384="OCCUPIED",ISNUMBER('Master Stock'!L384),'Master Stock'!L384&lt;TODAY()-30),SUMPRODUCT(--('Master Stock'!$D$2:$D$1000&lt;&gt;""),--('Master Stock'!$H$2:$H$1000="OCCUPIED"),--ISNUMBER('Master Stock'!$L$2:$L$1000),--('Master Stock'!$L$2:$L$1000&lt;TODAY()-30),--('Master Stock'!$L$2:$L$1000&lt;'Master Stock'!L384))+COUNTIFS('Master Stock'!$L$2:L384,'Master Stock'!L384,'Master Stock'!$D$2:D384,"&lt;&gt;",'Master Stock'!$H$2:H384,"OCCUPIED"),"")</f>
        <v/>
      </c>
      <c r="W384" s="149" t="n"/>
      <c r="X384" s="149" t="n"/>
      <c r="Y384" s="149" t="n"/>
      <c r="Z384" s="149" t="n"/>
    </row>
    <row r="385" ht="15.75" customHeight="1" s="236">
      <c r="A385" s="148" t="n"/>
      <c r="B385" s="148" t="n"/>
      <c r="C385" s="124" t="n"/>
      <c r="D385" s="148" t="n"/>
      <c r="E385" s="148" t="n"/>
      <c r="F385" s="148" t="n"/>
      <c r="G385" s="124" t="n"/>
      <c r="H385" s="148" t="n"/>
      <c r="I385" s="148" t="n"/>
      <c r="J385" s="148" t="n"/>
      <c r="K385" s="148" t="n"/>
      <c r="L385" s="148" t="n"/>
      <c r="M385" s="148" t="n"/>
      <c r="N385" s="148" t="n"/>
      <c r="O385" s="148" t="n"/>
      <c r="P385" s="148" t="n"/>
      <c r="Q385" s="148" t="n"/>
      <c r="R385" s="148" t="n"/>
      <c r="S385" s="148" t="n"/>
      <c r="T385" s="148" t="n"/>
      <c r="U385" s="149">
        <f>IF(AND('Master Stock'!D385&lt;&gt;"",'Master Stock'!H385="OCCUPIED",ISNUMBER('Master Stock'!J385),'Master Stock'!K385=""),SUMPRODUCT(--('Master Stock'!$D$2:$D$1000&lt;&gt;""),--('Master Stock'!$H$2:$H$1000="OCCUPIED"),--ISNUMBER('Master Stock'!$J$2:$J$1000),--('Master Stock'!$K$2:$K$1000=""),--('Master Stock'!$J$2:$J$1000&lt;'Master Stock'!J385))+COUNTIFS('Master Stock'!$J$2:J385,'Master Stock'!J385,'Master Stock'!$D$2:D385,"&lt;&gt;",'Master Stock'!$H$2:H385,"OCCUPIED",'Master Stock'!$K$2:K385,""),"")</f>
        <v/>
      </c>
      <c r="V385" s="149">
        <f>IF(AND('Master Stock'!D385&lt;&gt;"",'Master Stock'!H385="OCCUPIED",ISNUMBER('Master Stock'!L385),'Master Stock'!L385&lt;TODAY()-30),SUMPRODUCT(--('Master Stock'!$D$2:$D$1000&lt;&gt;""),--('Master Stock'!$H$2:$H$1000="OCCUPIED"),--ISNUMBER('Master Stock'!$L$2:$L$1000),--('Master Stock'!$L$2:$L$1000&lt;TODAY()-30),--('Master Stock'!$L$2:$L$1000&lt;'Master Stock'!L385))+COUNTIFS('Master Stock'!$L$2:L385,'Master Stock'!L385,'Master Stock'!$D$2:D385,"&lt;&gt;",'Master Stock'!$H$2:H385,"OCCUPIED"),"")</f>
        <v/>
      </c>
      <c r="W385" s="149" t="n"/>
      <c r="X385" s="149" t="n"/>
      <c r="Y385" s="149" t="n"/>
      <c r="Z385" s="149" t="n"/>
    </row>
    <row r="386" ht="15.75" customHeight="1" s="236">
      <c r="A386" s="148" t="n"/>
      <c r="B386" s="148" t="n"/>
      <c r="C386" s="124" t="n"/>
      <c r="D386" s="148" t="n"/>
      <c r="E386" s="148" t="n"/>
      <c r="F386" s="148" t="n"/>
      <c r="G386" s="124" t="n"/>
      <c r="H386" s="148" t="n"/>
      <c r="I386" s="148" t="n"/>
      <c r="J386" s="148" t="n"/>
      <c r="K386" s="148" t="n"/>
      <c r="L386" s="148" t="n"/>
      <c r="M386" s="148" t="n"/>
      <c r="N386" s="148" t="n"/>
      <c r="O386" s="148" t="n"/>
      <c r="P386" s="148" t="n"/>
      <c r="Q386" s="148" t="n"/>
      <c r="R386" s="148" t="n"/>
      <c r="S386" s="148" t="n"/>
      <c r="T386" s="148" t="n"/>
      <c r="U386" s="149">
        <f>IF(AND('Master Stock'!D386&lt;&gt;"",'Master Stock'!H386="OCCUPIED",ISNUMBER('Master Stock'!J386),'Master Stock'!K386=""),SUMPRODUCT(--('Master Stock'!$D$2:$D$1000&lt;&gt;""),--('Master Stock'!$H$2:$H$1000="OCCUPIED"),--ISNUMBER('Master Stock'!$J$2:$J$1000),--('Master Stock'!$K$2:$K$1000=""),--('Master Stock'!$J$2:$J$1000&lt;'Master Stock'!J386))+COUNTIFS('Master Stock'!$J$2:J386,'Master Stock'!J386,'Master Stock'!$D$2:D386,"&lt;&gt;",'Master Stock'!$H$2:H386,"OCCUPIED",'Master Stock'!$K$2:K386,""),"")</f>
        <v/>
      </c>
      <c r="V386" s="149">
        <f>IF(AND('Master Stock'!D386&lt;&gt;"",'Master Stock'!H386="OCCUPIED",ISNUMBER('Master Stock'!L386),'Master Stock'!L386&lt;TODAY()-30),SUMPRODUCT(--('Master Stock'!$D$2:$D$1000&lt;&gt;""),--('Master Stock'!$H$2:$H$1000="OCCUPIED"),--ISNUMBER('Master Stock'!$L$2:$L$1000),--('Master Stock'!$L$2:$L$1000&lt;TODAY()-30),--('Master Stock'!$L$2:$L$1000&lt;'Master Stock'!L386))+COUNTIFS('Master Stock'!$L$2:L386,'Master Stock'!L386,'Master Stock'!$D$2:D386,"&lt;&gt;",'Master Stock'!$H$2:H386,"OCCUPIED"),"")</f>
        <v/>
      </c>
      <c r="W386" s="149" t="n"/>
      <c r="X386" s="149" t="n"/>
      <c r="Y386" s="149" t="n"/>
      <c r="Z386" s="149" t="n"/>
    </row>
    <row r="387" ht="15.75" customHeight="1" s="236">
      <c r="A387" s="148" t="n"/>
      <c r="B387" s="148" t="n"/>
      <c r="C387" s="124" t="n"/>
      <c r="D387" s="148" t="n"/>
      <c r="E387" s="148" t="n"/>
      <c r="F387" s="148" t="n"/>
      <c r="G387" s="124" t="n"/>
      <c r="H387" s="148" t="n"/>
      <c r="I387" s="148" t="n"/>
      <c r="J387" s="148" t="n"/>
      <c r="K387" s="148" t="n"/>
      <c r="L387" s="148" t="n"/>
      <c r="M387" s="148" t="n"/>
      <c r="N387" s="148" t="n"/>
      <c r="O387" s="148" t="n"/>
      <c r="P387" s="148" t="n"/>
      <c r="Q387" s="148" t="n"/>
      <c r="R387" s="148" t="n"/>
      <c r="S387" s="148" t="n"/>
      <c r="T387" s="148" t="n"/>
      <c r="U387" s="149">
        <f>IF(AND('Master Stock'!D387&lt;&gt;"",'Master Stock'!H387="OCCUPIED",ISNUMBER('Master Stock'!J387),'Master Stock'!K387=""),SUMPRODUCT(--('Master Stock'!$D$2:$D$1000&lt;&gt;""),--('Master Stock'!$H$2:$H$1000="OCCUPIED"),--ISNUMBER('Master Stock'!$J$2:$J$1000),--('Master Stock'!$K$2:$K$1000=""),--('Master Stock'!$J$2:$J$1000&lt;'Master Stock'!J387))+COUNTIFS('Master Stock'!$J$2:J387,'Master Stock'!J387,'Master Stock'!$D$2:D387,"&lt;&gt;",'Master Stock'!$H$2:H387,"OCCUPIED",'Master Stock'!$K$2:K387,""),"")</f>
        <v/>
      </c>
      <c r="V387" s="149">
        <f>IF(AND('Master Stock'!D387&lt;&gt;"",'Master Stock'!H387="OCCUPIED",ISNUMBER('Master Stock'!L387),'Master Stock'!L387&lt;TODAY()-30),SUMPRODUCT(--('Master Stock'!$D$2:$D$1000&lt;&gt;""),--('Master Stock'!$H$2:$H$1000="OCCUPIED"),--ISNUMBER('Master Stock'!$L$2:$L$1000),--('Master Stock'!$L$2:$L$1000&lt;TODAY()-30),--('Master Stock'!$L$2:$L$1000&lt;'Master Stock'!L387))+COUNTIFS('Master Stock'!$L$2:L387,'Master Stock'!L387,'Master Stock'!$D$2:D387,"&lt;&gt;",'Master Stock'!$H$2:H387,"OCCUPIED"),"")</f>
        <v/>
      </c>
      <c r="W387" s="149" t="n"/>
      <c r="X387" s="149" t="n"/>
      <c r="Y387" s="149" t="n"/>
      <c r="Z387" s="149" t="n"/>
    </row>
    <row r="388" ht="15.75" customHeight="1" s="236">
      <c r="A388" s="148" t="n"/>
      <c r="B388" s="148" t="n"/>
      <c r="C388" s="124" t="n"/>
      <c r="D388" s="148" t="n"/>
      <c r="E388" s="148" t="n"/>
      <c r="F388" s="148" t="n"/>
      <c r="G388" s="124" t="n"/>
      <c r="H388" s="148" t="n"/>
      <c r="I388" s="148" t="n"/>
      <c r="J388" s="148" t="n"/>
      <c r="K388" s="148" t="n"/>
      <c r="L388" s="148" t="n"/>
      <c r="M388" s="148" t="n"/>
      <c r="N388" s="148" t="n"/>
      <c r="O388" s="148" t="n"/>
      <c r="P388" s="148" t="n"/>
      <c r="Q388" s="148" t="n"/>
      <c r="R388" s="148" t="n"/>
      <c r="S388" s="148" t="n"/>
      <c r="T388" s="148" t="n"/>
      <c r="U388" s="149">
        <f>IF(AND('Master Stock'!D388&lt;&gt;"",'Master Stock'!H388="OCCUPIED",ISNUMBER('Master Stock'!J388),'Master Stock'!K388=""),SUMPRODUCT(--('Master Stock'!$D$2:$D$1000&lt;&gt;""),--('Master Stock'!$H$2:$H$1000="OCCUPIED"),--ISNUMBER('Master Stock'!$J$2:$J$1000),--('Master Stock'!$K$2:$K$1000=""),--('Master Stock'!$J$2:$J$1000&lt;'Master Stock'!J388))+COUNTIFS('Master Stock'!$J$2:J388,'Master Stock'!J388,'Master Stock'!$D$2:D388,"&lt;&gt;",'Master Stock'!$H$2:H388,"OCCUPIED",'Master Stock'!$K$2:K388,""),"")</f>
        <v/>
      </c>
      <c r="V388" s="149">
        <f>IF(AND('Master Stock'!D388&lt;&gt;"",'Master Stock'!H388="OCCUPIED",ISNUMBER('Master Stock'!L388),'Master Stock'!L388&lt;TODAY()-30),SUMPRODUCT(--('Master Stock'!$D$2:$D$1000&lt;&gt;""),--('Master Stock'!$H$2:$H$1000="OCCUPIED"),--ISNUMBER('Master Stock'!$L$2:$L$1000),--('Master Stock'!$L$2:$L$1000&lt;TODAY()-30),--('Master Stock'!$L$2:$L$1000&lt;'Master Stock'!L388))+COUNTIFS('Master Stock'!$L$2:L388,'Master Stock'!L388,'Master Stock'!$D$2:D388,"&lt;&gt;",'Master Stock'!$H$2:H388,"OCCUPIED"),"")</f>
        <v/>
      </c>
      <c r="W388" s="149" t="n"/>
      <c r="X388" s="149" t="n"/>
      <c r="Y388" s="149" t="n"/>
      <c r="Z388" s="149" t="n"/>
    </row>
    <row r="389" ht="15.75" customHeight="1" s="236">
      <c r="A389" s="148" t="n"/>
      <c r="B389" s="148" t="n"/>
      <c r="C389" s="124" t="n"/>
      <c r="D389" s="148" t="n"/>
      <c r="E389" s="148" t="n"/>
      <c r="F389" s="148" t="n"/>
      <c r="G389" s="124" t="n"/>
      <c r="H389" s="148" t="n"/>
      <c r="I389" s="148" t="n"/>
      <c r="J389" s="148" t="n"/>
      <c r="K389" s="148" t="n"/>
      <c r="L389" s="148" t="n"/>
      <c r="M389" s="148" t="n"/>
      <c r="N389" s="148" t="n"/>
      <c r="O389" s="148" t="n"/>
      <c r="P389" s="148" t="n"/>
      <c r="Q389" s="148" t="n"/>
      <c r="R389" s="148" t="n"/>
      <c r="S389" s="148" t="n"/>
      <c r="T389" s="148" t="n"/>
      <c r="U389" s="149">
        <f>IF(AND('Master Stock'!D389&lt;&gt;"",'Master Stock'!H389="OCCUPIED",ISNUMBER('Master Stock'!J389),'Master Stock'!K389=""),SUMPRODUCT(--('Master Stock'!$D$2:$D$1000&lt;&gt;""),--('Master Stock'!$H$2:$H$1000="OCCUPIED"),--ISNUMBER('Master Stock'!$J$2:$J$1000),--('Master Stock'!$K$2:$K$1000=""),--('Master Stock'!$J$2:$J$1000&lt;'Master Stock'!J389))+COUNTIFS('Master Stock'!$J$2:J389,'Master Stock'!J389,'Master Stock'!$D$2:D389,"&lt;&gt;",'Master Stock'!$H$2:H389,"OCCUPIED",'Master Stock'!$K$2:K389,""),"")</f>
        <v/>
      </c>
      <c r="V389" s="149">
        <f>IF(AND('Master Stock'!D389&lt;&gt;"",'Master Stock'!H389="OCCUPIED",ISNUMBER('Master Stock'!L389),'Master Stock'!L389&lt;TODAY()-30),SUMPRODUCT(--('Master Stock'!$D$2:$D$1000&lt;&gt;""),--('Master Stock'!$H$2:$H$1000="OCCUPIED"),--ISNUMBER('Master Stock'!$L$2:$L$1000),--('Master Stock'!$L$2:$L$1000&lt;TODAY()-30),--('Master Stock'!$L$2:$L$1000&lt;'Master Stock'!L389))+COUNTIFS('Master Stock'!$L$2:L389,'Master Stock'!L389,'Master Stock'!$D$2:D389,"&lt;&gt;",'Master Stock'!$H$2:H389,"OCCUPIED"),"")</f>
        <v/>
      </c>
      <c r="W389" s="149" t="n"/>
      <c r="X389" s="149" t="n"/>
      <c r="Y389" s="149" t="n"/>
      <c r="Z389" s="149" t="n"/>
    </row>
    <row r="390" ht="15.75" customHeight="1" s="236">
      <c r="A390" s="148" t="n"/>
      <c r="B390" s="148" t="n"/>
      <c r="C390" s="124" t="n"/>
      <c r="D390" s="148" t="n"/>
      <c r="E390" s="148" t="n"/>
      <c r="F390" s="148" t="n"/>
      <c r="G390" s="124" t="n"/>
      <c r="H390" s="148" t="n"/>
      <c r="I390" s="148" t="n"/>
      <c r="J390" s="148" t="n"/>
      <c r="K390" s="148" t="n"/>
      <c r="L390" s="148" t="n"/>
      <c r="M390" s="148" t="n"/>
      <c r="N390" s="148" t="n"/>
      <c r="O390" s="148" t="n"/>
      <c r="P390" s="148" t="n"/>
      <c r="Q390" s="148" t="n"/>
      <c r="R390" s="148" t="n"/>
      <c r="S390" s="148" t="n"/>
      <c r="T390" s="148" t="n"/>
      <c r="U390" s="149">
        <f>IF(AND('Master Stock'!D390&lt;&gt;"",'Master Stock'!H390="OCCUPIED",ISNUMBER('Master Stock'!J390),'Master Stock'!K390=""),SUMPRODUCT(--('Master Stock'!$D$2:$D$1000&lt;&gt;""),--('Master Stock'!$H$2:$H$1000="OCCUPIED"),--ISNUMBER('Master Stock'!$J$2:$J$1000),--('Master Stock'!$K$2:$K$1000=""),--('Master Stock'!$J$2:$J$1000&lt;'Master Stock'!J390))+COUNTIFS('Master Stock'!$J$2:J390,'Master Stock'!J390,'Master Stock'!$D$2:D390,"&lt;&gt;",'Master Stock'!$H$2:H390,"OCCUPIED",'Master Stock'!$K$2:K390,""),"")</f>
        <v/>
      </c>
      <c r="V390" s="149">
        <f>IF(AND('Master Stock'!D390&lt;&gt;"",'Master Stock'!H390="OCCUPIED",ISNUMBER('Master Stock'!L390),'Master Stock'!L390&lt;TODAY()-30),SUMPRODUCT(--('Master Stock'!$D$2:$D$1000&lt;&gt;""),--('Master Stock'!$H$2:$H$1000="OCCUPIED"),--ISNUMBER('Master Stock'!$L$2:$L$1000),--('Master Stock'!$L$2:$L$1000&lt;TODAY()-30),--('Master Stock'!$L$2:$L$1000&lt;'Master Stock'!L390))+COUNTIFS('Master Stock'!$L$2:L390,'Master Stock'!L390,'Master Stock'!$D$2:D390,"&lt;&gt;",'Master Stock'!$H$2:H390,"OCCUPIED"),"")</f>
        <v/>
      </c>
      <c r="W390" s="149" t="n"/>
      <c r="X390" s="149" t="n"/>
      <c r="Y390" s="149" t="n"/>
      <c r="Z390" s="149" t="n"/>
    </row>
    <row r="391" ht="15.75" customHeight="1" s="236">
      <c r="A391" s="148" t="n"/>
      <c r="B391" s="148" t="n"/>
      <c r="C391" s="124" t="n"/>
      <c r="D391" s="148" t="n"/>
      <c r="E391" s="148" t="n"/>
      <c r="F391" s="148" t="n"/>
      <c r="G391" s="124" t="n"/>
      <c r="H391" s="148" t="n"/>
      <c r="I391" s="148" t="n"/>
      <c r="J391" s="148" t="n"/>
      <c r="K391" s="148" t="n"/>
      <c r="L391" s="148" t="n"/>
      <c r="M391" s="148" t="n"/>
      <c r="N391" s="148" t="n"/>
      <c r="O391" s="148" t="n"/>
      <c r="P391" s="148" t="n"/>
      <c r="Q391" s="148" t="n"/>
      <c r="R391" s="148" t="n"/>
      <c r="S391" s="148" t="n"/>
      <c r="T391" s="148" t="n"/>
      <c r="U391" s="149">
        <f>IF(AND('Master Stock'!D391&lt;&gt;"",'Master Stock'!H391="OCCUPIED",ISNUMBER('Master Stock'!J391),'Master Stock'!K391=""),SUMPRODUCT(--('Master Stock'!$D$2:$D$1000&lt;&gt;""),--('Master Stock'!$H$2:$H$1000="OCCUPIED"),--ISNUMBER('Master Stock'!$J$2:$J$1000),--('Master Stock'!$K$2:$K$1000=""),--('Master Stock'!$J$2:$J$1000&lt;'Master Stock'!J391))+COUNTIFS('Master Stock'!$J$2:J391,'Master Stock'!J391,'Master Stock'!$D$2:D391,"&lt;&gt;",'Master Stock'!$H$2:H391,"OCCUPIED",'Master Stock'!$K$2:K391,""),"")</f>
        <v/>
      </c>
      <c r="V391" s="149">
        <f>IF(AND('Master Stock'!D391&lt;&gt;"",'Master Stock'!H391="OCCUPIED",ISNUMBER('Master Stock'!L391),'Master Stock'!L391&lt;TODAY()-30),SUMPRODUCT(--('Master Stock'!$D$2:$D$1000&lt;&gt;""),--('Master Stock'!$H$2:$H$1000="OCCUPIED"),--ISNUMBER('Master Stock'!$L$2:$L$1000),--('Master Stock'!$L$2:$L$1000&lt;TODAY()-30),--('Master Stock'!$L$2:$L$1000&lt;'Master Stock'!L391))+COUNTIFS('Master Stock'!$L$2:L391,'Master Stock'!L391,'Master Stock'!$D$2:D391,"&lt;&gt;",'Master Stock'!$H$2:H391,"OCCUPIED"),"")</f>
        <v/>
      </c>
      <c r="W391" s="149" t="n"/>
      <c r="X391" s="149" t="n"/>
      <c r="Y391" s="149" t="n"/>
      <c r="Z391" s="149" t="n"/>
    </row>
    <row r="392" ht="15.75" customHeight="1" s="236">
      <c r="A392" s="148" t="n"/>
      <c r="B392" s="148" t="n"/>
      <c r="C392" s="124" t="n"/>
      <c r="D392" s="148" t="n"/>
      <c r="E392" s="148" t="n"/>
      <c r="F392" s="148" t="n"/>
      <c r="G392" s="124" t="n"/>
      <c r="H392" s="148" t="n"/>
      <c r="I392" s="148" t="n"/>
      <c r="J392" s="148" t="n"/>
      <c r="K392" s="148" t="n"/>
      <c r="L392" s="148" t="n"/>
      <c r="M392" s="148" t="n"/>
      <c r="N392" s="148" t="n"/>
      <c r="O392" s="148" t="n"/>
      <c r="P392" s="148" t="n"/>
      <c r="Q392" s="148" t="n"/>
      <c r="R392" s="148" t="n"/>
      <c r="S392" s="148" t="n"/>
      <c r="T392" s="148" t="n"/>
      <c r="U392" s="149">
        <f>IF(AND('Master Stock'!D392&lt;&gt;"",'Master Stock'!H392="OCCUPIED",ISNUMBER('Master Stock'!J392),'Master Stock'!K392=""),SUMPRODUCT(--('Master Stock'!$D$2:$D$1000&lt;&gt;""),--('Master Stock'!$H$2:$H$1000="OCCUPIED"),--ISNUMBER('Master Stock'!$J$2:$J$1000),--('Master Stock'!$K$2:$K$1000=""),--('Master Stock'!$J$2:$J$1000&lt;'Master Stock'!J392))+COUNTIFS('Master Stock'!$J$2:J392,'Master Stock'!J392,'Master Stock'!$D$2:D392,"&lt;&gt;",'Master Stock'!$H$2:H392,"OCCUPIED",'Master Stock'!$K$2:K392,""),"")</f>
        <v/>
      </c>
      <c r="V392" s="149">
        <f>IF(AND('Master Stock'!D392&lt;&gt;"",'Master Stock'!H392="OCCUPIED",ISNUMBER('Master Stock'!L392),'Master Stock'!L392&lt;TODAY()-30),SUMPRODUCT(--('Master Stock'!$D$2:$D$1000&lt;&gt;""),--('Master Stock'!$H$2:$H$1000="OCCUPIED"),--ISNUMBER('Master Stock'!$L$2:$L$1000),--('Master Stock'!$L$2:$L$1000&lt;TODAY()-30),--('Master Stock'!$L$2:$L$1000&lt;'Master Stock'!L392))+COUNTIFS('Master Stock'!$L$2:L392,'Master Stock'!L392,'Master Stock'!$D$2:D392,"&lt;&gt;",'Master Stock'!$H$2:H392,"OCCUPIED"),"")</f>
        <v/>
      </c>
      <c r="W392" s="149" t="n"/>
      <c r="X392" s="149" t="n"/>
      <c r="Y392" s="149" t="n"/>
      <c r="Z392" s="149" t="n"/>
    </row>
    <row r="393" ht="15.75" customHeight="1" s="236">
      <c r="A393" s="148" t="n"/>
      <c r="B393" s="148" t="n"/>
      <c r="C393" s="124" t="n"/>
      <c r="D393" s="148" t="n"/>
      <c r="E393" s="148" t="n"/>
      <c r="F393" s="148" t="n"/>
      <c r="G393" s="124" t="n"/>
      <c r="H393" s="148" t="n"/>
      <c r="I393" s="148" t="n"/>
      <c r="J393" s="148" t="n"/>
      <c r="K393" s="148" t="n"/>
      <c r="L393" s="148" t="n"/>
      <c r="M393" s="148" t="n"/>
      <c r="N393" s="148" t="n"/>
      <c r="O393" s="148" t="n"/>
      <c r="P393" s="148" t="n"/>
      <c r="Q393" s="148" t="n"/>
      <c r="R393" s="148" t="n"/>
      <c r="S393" s="148" t="n"/>
      <c r="T393" s="148" t="n"/>
      <c r="U393" s="149">
        <f>IF(AND('Master Stock'!D393&lt;&gt;"",'Master Stock'!H393="OCCUPIED",ISNUMBER('Master Stock'!J393),'Master Stock'!K393=""),SUMPRODUCT(--('Master Stock'!$D$2:$D$1000&lt;&gt;""),--('Master Stock'!$H$2:$H$1000="OCCUPIED"),--ISNUMBER('Master Stock'!$J$2:$J$1000),--('Master Stock'!$K$2:$K$1000=""),--('Master Stock'!$J$2:$J$1000&lt;'Master Stock'!J393))+COUNTIFS('Master Stock'!$J$2:J393,'Master Stock'!J393,'Master Stock'!$D$2:D393,"&lt;&gt;",'Master Stock'!$H$2:H393,"OCCUPIED",'Master Stock'!$K$2:K393,""),"")</f>
        <v/>
      </c>
      <c r="V393" s="149">
        <f>IF(AND('Master Stock'!D393&lt;&gt;"",'Master Stock'!H393="OCCUPIED",ISNUMBER('Master Stock'!L393),'Master Stock'!L393&lt;TODAY()-30),SUMPRODUCT(--('Master Stock'!$D$2:$D$1000&lt;&gt;""),--('Master Stock'!$H$2:$H$1000="OCCUPIED"),--ISNUMBER('Master Stock'!$L$2:$L$1000),--('Master Stock'!$L$2:$L$1000&lt;TODAY()-30),--('Master Stock'!$L$2:$L$1000&lt;'Master Stock'!L393))+COUNTIFS('Master Stock'!$L$2:L393,'Master Stock'!L393,'Master Stock'!$D$2:D393,"&lt;&gt;",'Master Stock'!$H$2:H393,"OCCUPIED"),"")</f>
        <v/>
      </c>
      <c r="W393" s="149" t="n"/>
      <c r="X393" s="149" t="n"/>
      <c r="Y393" s="149" t="n"/>
      <c r="Z393" s="149" t="n"/>
    </row>
    <row r="394" ht="15.75" customHeight="1" s="236">
      <c r="A394" s="148" t="n"/>
      <c r="B394" s="148" t="n"/>
      <c r="C394" s="124" t="n"/>
      <c r="D394" s="148" t="n"/>
      <c r="E394" s="148" t="n"/>
      <c r="F394" s="148" t="n"/>
      <c r="G394" s="124" t="n"/>
      <c r="H394" s="148" t="n"/>
      <c r="I394" s="148" t="n"/>
      <c r="J394" s="148" t="n"/>
      <c r="K394" s="148" t="n"/>
      <c r="L394" s="148" t="n"/>
      <c r="M394" s="148" t="n"/>
      <c r="N394" s="148" t="n"/>
      <c r="O394" s="148" t="n"/>
      <c r="P394" s="148" t="n"/>
      <c r="Q394" s="148" t="n"/>
      <c r="R394" s="148" t="n"/>
      <c r="S394" s="148" t="n"/>
      <c r="T394" s="148" t="n"/>
      <c r="U394" s="149">
        <f>IF(AND('Master Stock'!D394&lt;&gt;"",'Master Stock'!H394="OCCUPIED",ISNUMBER('Master Stock'!J394),'Master Stock'!K394=""),SUMPRODUCT(--('Master Stock'!$D$2:$D$1000&lt;&gt;""),--('Master Stock'!$H$2:$H$1000="OCCUPIED"),--ISNUMBER('Master Stock'!$J$2:$J$1000),--('Master Stock'!$K$2:$K$1000=""),--('Master Stock'!$J$2:$J$1000&lt;'Master Stock'!J394))+COUNTIFS('Master Stock'!$J$2:J394,'Master Stock'!J394,'Master Stock'!$D$2:D394,"&lt;&gt;",'Master Stock'!$H$2:H394,"OCCUPIED",'Master Stock'!$K$2:K394,""),"")</f>
        <v/>
      </c>
      <c r="V394" s="149">
        <f>IF(AND('Master Stock'!D394&lt;&gt;"",'Master Stock'!H394="OCCUPIED",ISNUMBER('Master Stock'!L394),'Master Stock'!L394&lt;TODAY()-30),SUMPRODUCT(--('Master Stock'!$D$2:$D$1000&lt;&gt;""),--('Master Stock'!$H$2:$H$1000="OCCUPIED"),--ISNUMBER('Master Stock'!$L$2:$L$1000),--('Master Stock'!$L$2:$L$1000&lt;TODAY()-30),--('Master Stock'!$L$2:$L$1000&lt;'Master Stock'!L394))+COUNTIFS('Master Stock'!$L$2:L394,'Master Stock'!L394,'Master Stock'!$D$2:D394,"&lt;&gt;",'Master Stock'!$H$2:H394,"OCCUPIED"),"")</f>
        <v/>
      </c>
      <c r="W394" s="149" t="n"/>
      <c r="X394" s="149" t="n"/>
      <c r="Y394" s="149" t="n"/>
      <c r="Z394" s="149" t="n"/>
    </row>
    <row r="395" ht="15.75" customHeight="1" s="236">
      <c r="A395" s="148" t="n"/>
      <c r="B395" s="148" t="n"/>
      <c r="C395" s="124" t="n"/>
      <c r="D395" s="148" t="n"/>
      <c r="E395" s="148" t="n"/>
      <c r="F395" s="148" t="n"/>
      <c r="G395" s="124" t="n"/>
      <c r="H395" s="148" t="n"/>
      <c r="I395" s="148" t="n"/>
      <c r="J395" s="148" t="n"/>
      <c r="K395" s="148" t="n"/>
      <c r="L395" s="148" t="n"/>
      <c r="M395" s="148" t="n"/>
      <c r="N395" s="148" t="n"/>
      <c r="O395" s="148" t="n"/>
      <c r="P395" s="148" t="n"/>
      <c r="Q395" s="148" t="n"/>
      <c r="R395" s="148" t="n"/>
      <c r="S395" s="148" t="n"/>
      <c r="T395" s="148" t="n"/>
      <c r="U395" s="149">
        <f>IF(AND('Master Stock'!D395&lt;&gt;"",'Master Stock'!H395="OCCUPIED",ISNUMBER('Master Stock'!J395),'Master Stock'!K395=""),SUMPRODUCT(--('Master Stock'!$D$2:$D$1000&lt;&gt;""),--('Master Stock'!$H$2:$H$1000="OCCUPIED"),--ISNUMBER('Master Stock'!$J$2:$J$1000),--('Master Stock'!$K$2:$K$1000=""),--('Master Stock'!$J$2:$J$1000&lt;'Master Stock'!J395))+COUNTIFS('Master Stock'!$J$2:J395,'Master Stock'!J395,'Master Stock'!$D$2:D395,"&lt;&gt;",'Master Stock'!$H$2:H395,"OCCUPIED",'Master Stock'!$K$2:K395,""),"")</f>
        <v/>
      </c>
      <c r="V395" s="149">
        <f>IF(AND('Master Stock'!D395&lt;&gt;"",'Master Stock'!H395="OCCUPIED",ISNUMBER('Master Stock'!L395),'Master Stock'!L395&lt;TODAY()-30),SUMPRODUCT(--('Master Stock'!$D$2:$D$1000&lt;&gt;""),--('Master Stock'!$H$2:$H$1000="OCCUPIED"),--ISNUMBER('Master Stock'!$L$2:$L$1000),--('Master Stock'!$L$2:$L$1000&lt;TODAY()-30),--('Master Stock'!$L$2:$L$1000&lt;'Master Stock'!L395))+COUNTIFS('Master Stock'!$L$2:L395,'Master Stock'!L395,'Master Stock'!$D$2:D395,"&lt;&gt;",'Master Stock'!$H$2:H395,"OCCUPIED"),"")</f>
        <v/>
      </c>
      <c r="W395" s="149" t="n"/>
      <c r="X395" s="149" t="n"/>
      <c r="Y395" s="149" t="n"/>
      <c r="Z395" s="149" t="n"/>
    </row>
    <row r="396" ht="15.75" customHeight="1" s="236">
      <c r="A396" s="148" t="n"/>
      <c r="B396" s="148" t="n"/>
      <c r="C396" s="124" t="n"/>
      <c r="D396" s="148" t="n"/>
      <c r="E396" s="148" t="n"/>
      <c r="F396" s="148" t="n"/>
      <c r="G396" s="124" t="n"/>
      <c r="H396" s="148" t="n"/>
      <c r="I396" s="148" t="n"/>
      <c r="J396" s="148" t="n"/>
      <c r="K396" s="148" t="n"/>
      <c r="L396" s="148" t="n"/>
      <c r="M396" s="148" t="n"/>
      <c r="N396" s="148" t="n"/>
      <c r="O396" s="148" t="n"/>
      <c r="P396" s="148" t="n"/>
      <c r="Q396" s="148" t="n"/>
      <c r="R396" s="148" t="n"/>
      <c r="S396" s="148" t="n"/>
      <c r="T396" s="148" t="n"/>
      <c r="U396" s="149">
        <f>IF(AND('Master Stock'!D396&lt;&gt;"",'Master Stock'!H396="OCCUPIED",ISNUMBER('Master Stock'!J396),'Master Stock'!K396=""),SUMPRODUCT(--('Master Stock'!$D$2:$D$1000&lt;&gt;""),--('Master Stock'!$H$2:$H$1000="OCCUPIED"),--ISNUMBER('Master Stock'!$J$2:$J$1000),--('Master Stock'!$K$2:$K$1000=""),--('Master Stock'!$J$2:$J$1000&lt;'Master Stock'!J396))+COUNTIFS('Master Stock'!$J$2:J396,'Master Stock'!J396,'Master Stock'!$D$2:D396,"&lt;&gt;",'Master Stock'!$H$2:H396,"OCCUPIED",'Master Stock'!$K$2:K396,""),"")</f>
        <v/>
      </c>
      <c r="V396" s="149">
        <f>IF(AND('Master Stock'!D396&lt;&gt;"",'Master Stock'!H396="OCCUPIED",ISNUMBER('Master Stock'!L396),'Master Stock'!L396&lt;TODAY()-30),SUMPRODUCT(--('Master Stock'!$D$2:$D$1000&lt;&gt;""),--('Master Stock'!$H$2:$H$1000="OCCUPIED"),--ISNUMBER('Master Stock'!$L$2:$L$1000),--('Master Stock'!$L$2:$L$1000&lt;TODAY()-30),--('Master Stock'!$L$2:$L$1000&lt;'Master Stock'!L396))+COUNTIFS('Master Stock'!$L$2:L396,'Master Stock'!L396,'Master Stock'!$D$2:D396,"&lt;&gt;",'Master Stock'!$H$2:H396,"OCCUPIED"),"")</f>
        <v/>
      </c>
      <c r="W396" s="149" t="n"/>
      <c r="X396" s="149" t="n"/>
      <c r="Y396" s="149" t="n"/>
      <c r="Z396" s="149" t="n"/>
    </row>
    <row r="397" ht="15.75" customHeight="1" s="236">
      <c r="A397" s="148" t="n"/>
      <c r="B397" s="148" t="n"/>
      <c r="C397" s="124" t="n"/>
      <c r="D397" s="148" t="n"/>
      <c r="E397" s="148" t="n"/>
      <c r="F397" s="148" t="n"/>
      <c r="G397" s="124" t="n"/>
      <c r="H397" s="148" t="n"/>
      <c r="I397" s="148" t="n"/>
      <c r="J397" s="148" t="n"/>
      <c r="K397" s="148" t="n"/>
      <c r="L397" s="148" t="n"/>
      <c r="M397" s="148" t="n"/>
      <c r="N397" s="148" t="n"/>
      <c r="O397" s="148" t="n"/>
      <c r="P397" s="148" t="n"/>
      <c r="Q397" s="148" t="n"/>
      <c r="R397" s="148" t="n"/>
      <c r="S397" s="148" t="n"/>
      <c r="T397" s="148" t="n"/>
      <c r="U397" s="149">
        <f>IF(AND('Master Stock'!D397&lt;&gt;"",'Master Stock'!H397="OCCUPIED",ISNUMBER('Master Stock'!J397),'Master Stock'!K397=""),SUMPRODUCT(--('Master Stock'!$D$2:$D$1000&lt;&gt;""),--('Master Stock'!$H$2:$H$1000="OCCUPIED"),--ISNUMBER('Master Stock'!$J$2:$J$1000),--('Master Stock'!$K$2:$K$1000=""),--('Master Stock'!$J$2:$J$1000&lt;'Master Stock'!J397))+COUNTIFS('Master Stock'!$J$2:J397,'Master Stock'!J397,'Master Stock'!$D$2:D397,"&lt;&gt;",'Master Stock'!$H$2:H397,"OCCUPIED",'Master Stock'!$K$2:K397,""),"")</f>
        <v/>
      </c>
      <c r="V397" s="149">
        <f>IF(AND('Master Stock'!D397&lt;&gt;"",'Master Stock'!H397="OCCUPIED",ISNUMBER('Master Stock'!L397),'Master Stock'!L397&lt;TODAY()-30),SUMPRODUCT(--('Master Stock'!$D$2:$D$1000&lt;&gt;""),--('Master Stock'!$H$2:$H$1000="OCCUPIED"),--ISNUMBER('Master Stock'!$L$2:$L$1000),--('Master Stock'!$L$2:$L$1000&lt;TODAY()-30),--('Master Stock'!$L$2:$L$1000&lt;'Master Stock'!L397))+COUNTIFS('Master Stock'!$L$2:L397,'Master Stock'!L397,'Master Stock'!$D$2:D397,"&lt;&gt;",'Master Stock'!$H$2:H397,"OCCUPIED"),"")</f>
        <v/>
      </c>
      <c r="W397" s="149" t="n"/>
      <c r="X397" s="149" t="n"/>
      <c r="Y397" s="149" t="n"/>
      <c r="Z397" s="149" t="n"/>
    </row>
    <row r="398" ht="15.75" customHeight="1" s="236">
      <c r="A398" s="148" t="n"/>
      <c r="B398" s="148" t="n"/>
      <c r="C398" s="124" t="n"/>
      <c r="D398" s="148" t="n"/>
      <c r="E398" s="148" t="n"/>
      <c r="F398" s="148" t="n"/>
      <c r="G398" s="124" t="n"/>
      <c r="H398" s="148" t="n"/>
      <c r="I398" s="148" t="n"/>
      <c r="J398" s="148" t="n"/>
      <c r="K398" s="148" t="n"/>
      <c r="L398" s="148" t="n"/>
      <c r="M398" s="148" t="n"/>
      <c r="N398" s="148" t="n"/>
      <c r="O398" s="148" t="n"/>
      <c r="P398" s="148" t="n"/>
      <c r="Q398" s="148" t="n"/>
      <c r="R398" s="148" t="n"/>
      <c r="S398" s="148" t="n"/>
      <c r="T398" s="148" t="n"/>
      <c r="U398" s="149">
        <f>IF(AND('Master Stock'!D398&lt;&gt;"",'Master Stock'!H398="OCCUPIED",ISNUMBER('Master Stock'!J398),'Master Stock'!K398=""),SUMPRODUCT(--('Master Stock'!$D$2:$D$1000&lt;&gt;""),--('Master Stock'!$H$2:$H$1000="OCCUPIED"),--ISNUMBER('Master Stock'!$J$2:$J$1000),--('Master Stock'!$K$2:$K$1000=""),--('Master Stock'!$J$2:$J$1000&lt;'Master Stock'!J398))+COUNTIFS('Master Stock'!$J$2:J398,'Master Stock'!J398,'Master Stock'!$D$2:D398,"&lt;&gt;",'Master Stock'!$H$2:H398,"OCCUPIED",'Master Stock'!$K$2:K398,""),"")</f>
        <v/>
      </c>
      <c r="V398" s="149">
        <f>IF(AND('Master Stock'!D398&lt;&gt;"",'Master Stock'!H398="OCCUPIED",ISNUMBER('Master Stock'!L398),'Master Stock'!L398&lt;TODAY()-30),SUMPRODUCT(--('Master Stock'!$D$2:$D$1000&lt;&gt;""),--('Master Stock'!$H$2:$H$1000="OCCUPIED"),--ISNUMBER('Master Stock'!$L$2:$L$1000),--('Master Stock'!$L$2:$L$1000&lt;TODAY()-30),--('Master Stock'!$L$2:$L$1000&lt;'Master Stock'!L398))+COUNTIFS('Master Stock'!$L$2:L398,'Master Stock'!L398,'Master Stock'!$D$2:D398,"&lt;&gt;",'Master Stock'!$H$2:H398,"OCCUPIED"),"")</f>
        <v/>
      </c>
      <c r="W398" s="149" t="n"/>
      <c r="X398" s="149" t="n"/>
      <c r="Y398" s="149" t="n"/>
      <c r="Z398" s="149" t="n"/>
    </row>
    <row r="399" ht="15.75" customHeight="1" s="236">
      <c r="A399" s="148" t="n"/>
      <c r="B399" s="148" t="n"/>
      <c r="C399" s="124" t="n"/>
      <c r="D399" s="148" t="n"/>
      <c r="E399" s="148" t="n"/>
      <c r="F399" s="148" t="n"/>
      <c r="G399" s="124" t="n"/>
      <c r="H399" s="148" t="n"/>
      <c r="I399" s="148" t="n"/>
      <c r="J399" s="148" t="n"/>
      <c r="K399" s="148" t="n"/>
      <c r="L399" s="148" t="n"/>
      <c r="M399" s="148" t="n"/>
      <c r="N399" s="148" t="n"/>
      <c r="O399" s="148" t="n"/>
      <c r="P399" s="148" t="n"/>
      <c r="Q399" s="148" t="n"/>
      <c r="R399" s="148" t="n"/>
      <c r="S399" s="148" t="n"/>
      <c r="T399" s="148" t="n"/>
      <c r="U399" s="149">
        <f>IF(AND('Master Stock'!D399&lt;&gt;"",'Master Stock'!H399="OCCUPIED",ISNUMBER('Master Stock'!J399),'Master Stock'!K399=""),SUMPRODUCT(--('Master Stock'!$D$2:$D$1000&lt;&gt;""),--('Master Stock'!$H$2:$H$1000="OCCUPIED"),--ISNUMBER('Master Stock'!$J$2:$J$1000),--('Master Stock'!$K$2:$K$1000=""),--('Master Stock'!$J$2:$J$1000&lt;'Master Stock'!J399))+COUNTIFS('Master Stock'!$J$2:J399,'Master Stock'!J399,'Master Stock'!$D$2:D399,"&lt;&gt;",'Master Stock'!$H$2:H399,"OCCUPIED",'Master Stock'!$K$2:K399,""),"")</f>
        <v/>
      </c>
      <c r="V399" s="149">
        <f>IF(AND('Master Stock'!D399&lt;&gt;"",'Master Stock'!H399="OCCUPIED",ISNUMBER('Master Stock'!L399),'Master Stock'!L399&lt;TODAY()-30),SUMPRODUCT(--('Master Stock'!$D$2:$D$1000&lt;&gt;""),--('Master Stock'!$H$2:$H$1000="OCCUPIED"),--ISNUMBER('Master Stock'!$L$2:$L$1000),--('Master Stock'!$L$2:$L$1000&lt;TODAY()-30),--('Master Stock'!$L$2:$L$1000&lt;'Master Stock'!L399))+COUNTIFS('Master Stock'!$L$2:L399,'Master Stock'!L399,'Master Stock'!$D$2:D399,"&lt;&gt;",'Master Stock'!$H$2:H399,"OCCUPIED"),"")</f>
        <v/>
      </c>
      <c r="W399" s="149" t="n"/>
      <c r="X399" s="149" t="n"/>
      <c r="Y399" s="149" t="n"/>
      <c r="Z399" s="149" t="n"/>
    </row>
    <row r="400" ht="15.75" customHeight="1" s="236">
      <c r="A400" s="148" t="n"/>
      <c r="B400" s="148" t="n"/>
      <c r="C400" s="124" t="n"/>
      <c r="D400" s="148" t="n"/>
      <c r="E400" s="148" t="n"/>
      <c r="F400" s="148" t="n"/>
      <c r="G400" s="124" t="n"/>
      <c r="H400" s="148" t="n"/>
      <c r="I400" s="148" t="n"/>
      <c r="J400" s="148" t="n"/>
      <c r="K400" s="148" t="n"/>
      <c r="L400" s="148" t="n"/>
      <c r="M400" s="148" t="n"/>
      <c r="N400" s="148" t="n"/>
      <c r="O400" s="148" t="n"/>
      <c r="P400" s="148" t="n"/>
      <c r="Q400" s="148" t="n"/>
      <c r="R400" s="148" t="n"/>
      <c r="S400" s="148" t="n"/>
      <c r="T400" s="148" t="n"/>
      <c r="U400" s="149">
        <f>IF(AND('Master Stock'!D400&lt;&gt;"",'Master Stock'!H400="OCCUPIED",ISNUMBER('Master Stock'!J400),'Master Stock'!K400=""),SUMPRODUCT(--('Master Stock'!$D$2:$D$1000&lt;&gt;""),--('Master Stock'!$H$2:$H$1000="OCCUPIED"),--ISNUMBER('Master Stock'!$J$2:$J$1000),--('Master Stock'!$K$2:$K$1000=""),--('Master Stock'!$J$2:$J$1000&lt;'Master Stock'!J400))+COUNTIFS('Master Stock'!$J$2:J400,'Master Stock'!J400,'Master Stock'!$D$2:D400,"&lt;&gt;",'Master Stock'!$H$2:H400,"OCCUPIED",'Master Stock'!$K$2:K400,""),"")</f>
        <v/>
      </c>
      <c r="V400" s="149">
        <f>IF(AND('Master Stock'!D400&lt;&gt;"",'Master Stock'!H400="OCCUPIED",ISNUMBER('Master Stock'!L400),'Master Stock'!L400&lt;TODAY()-30),SUMPRODUCT(--('Master Stock'!$D$2:$D$1000&lt;&gt;""),--('Master Stock'!$H$2:$H$1000="OCCUPIED"),--ISNUMBER('Master Stock'!$L$2:$L$1000),--('Master Stock'!$L$2:$L$1000&lt;TODAY()-30),--('Master Stock'!$L$2:$L$1000&lt;'Master Stock'!L400))+COUNTIFS('Master Stock'!$L$2:L400,'Master Stock'!L400,'Master Stock'!$D$2:D400,"&lt;&gt;",'Master Stock'!$H$2:H400,"OCCUPIED"),"")</f>
        <v/>
      </c>
      <c r="W400" s="149" t="n"/>
      <c r="X400" s="149" t="n"/>
      <c r="Y400" s="149" t="n"/>
      <c r="Z400" s="149" t="n"/>
    </row>
    <row r="401" ht="15.75" customHeight="1" s="236">
      <c r="A401" s="148" t="n"/>
      <c r="B401" s="148" t="n"/>
      <c r="C401" s="124" t="n"/>
      <c r="D401" s="148" t="n"/>
      <c r="E401" s="148" t="n"/>
      <c r="F401" s="148" t="n"/>
      <c r="G401" s="124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9">
        <f>IF(AND('Master Stock'!D401&lt;&gt;"",'Master Stock'!H401="OCCUPIED",ISNUMBER('Master Stock'!J401),'Master Stock'!K401=""),SUMPRODUCT(--('Master Stock'!$D$2:$D$1000&lt;&gt;""),--('Master Stock'!$H$2:$H$1000="OCCUPIED"),--ISNUMBER('Master Stock'!$J$2:$J$1000),--('Master Stock'!$K$2:$K$1000=""),--('Master Stock'!$J$2:$J$1000&lt;'Master Stock'!J401))+COUNTIFS('Master Stock'!$J$2:J401,'Master Stock'!J401,'Master Stock'!$D$2:D401,"&lt;&gt;",'Master Stock'!$H$2:H401,"OCCUPIED",'Master Stock'!$K$2:K401,""),"")</f>
        <v/>
      </c>
      <c r="V401" s="149">
        <f>IF(AND('Master Stock'!D401&lt;&gt;"",'Master Stock'!H401="OCCUPIED",ISNUMBER('Master Stock'!L401),'Master Stock'!L401&lt;TODAY()-30),SUMPRODUCT(--('Master Stock'!$D$2:$D$1000&lt;&gt;""),--('Master Stock'!$H$2:$H$1000="OCCUPIED"),--ISNUMBER('Master Stock'!$L$2:$L$1000),--('Master Stock'!$L$2:$L$1000&lt;TODAY()-30),--('Master Stock'!$L$2:$L$1000&lt;'Master Stock'!L401))+COUNTIFS('Master Stock'!$L$2:L401,'Master Stock'!L401,'Master Stock'!$D$2:D401,"&lt;&gt;",'Master Stock'!$H$2:H401,"OCCUPIED"),"")</f>
        <v/>
      </c>
      <c r="W401" s="149" t="n"/>
      <c r="X401" s="149" t="n"/>
      <c r="Y401" s="149" t="n"/>
      <c r="Z401" s="149" t="n"/>
    </row>
    <row r="402" ht="15.75" customHeight="1" s="236">
      <c r="A402" s="148" t="n"/>
      <c r="B402" s="148" t="n"/>
      <c r="C402" s="124" t="n"/>
      <c r="D402" s="148" t="n"/>
      <c r="E402" s="148" t="n"/>
      <c r="F402" s="148" t="n"/>
      <c r="G402" s="124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9">
        <f>IF(AND('Master Stock'!D402&lt;&gt;"",'Master Stock'!H402="OCCUPIED",ISNUMBER('Master Stock'!J402),'Master Stock'!K402=""),SUMPRODUCT(--('Master Stock'!$D$2:$D$1000&lt;&gt;""),--('Master Stock'!$H$2:$H$1000="OCCUPIED"),--ISNUMBER('Master Stock'!$J$2:$J$1000),--('Master Stock'!$K$2:$K$1000=""),--('Master Stock'!$J$2:$J$1000&lt;'Master Stock'!J402))+COUNTIFS('Master Stock'!$J$2:J402,'Master Stock'!J402,'Master Stock'!$D$2:D402,"&lt;&gt;",'Master Stock'!$H$2:H402,"OCCUPIED",'Master Stock'!$K$2:K402,""),"")</f>
        <v/>
      </c>
      <c r="V402" s="149">
        <f>IF(AND('Master Stock'!D402&lt;&gt;"",'Master Stock'!H402="OCCUPIED",ISNUMBER('Master Stock'!L402),'Master Stock'!L402&lt;TODAY()-30),SUMPRODUCT(--('Master Stock'!$D$2:$D$1000&lt;&gt;""),--('Master Stock'!$H$2:$H$1000="OCCUPIED"),--ISNUMBER('Master Stock'!$L$2:$L$1000),--('Master Stock'!$L$2:$L$1000&lt;TODAY()-30),--('Master Stock'!$L$2:$L$1000&lt;'Master Stock'!L402))+COUNTIFS('Master Stock'!$L$2:L402,'Master Stock'!L402,'Master Stock'!$D$2:D402,"&lt;&gt;",'Master Stock'!$H$2:H402,"OCCUPIED"),"")</f>
        <v/>
      </c>
      <c r="W402" s="149" t="n"/>
      <c r="X402" s="149" t="n"/>
      <c r="Y402" s="149" t="n"/>
      <c r="Z402" s="149" t="n"/>
    </row>
    <row r="403" ht="15.75" customHeight="1" s="236">
      <c r="A403" s="148" t="n"/>
      <c r="B403" s="148" t="n"/>
      <c r="C403" s="124" t="n"/>
      <c r="D403" s="148" t="n"/>
      <c r="E403" s="148" t="n"/>
      <c r="F403" s="148" t="n"/>
      <c r="G403" s="124" t="n"/>
      <c r="H403" s="148" t="n"/>
      <c r="I403" s="148" t="n"/>
      <c r="J403" s="148" t="n"/>
      <c r="K403" s="148" t="n"/>
      <c r="L403" s="148" t="n"/>
      <c r="M403" s="148" t="n"/>
      <c r="N403" s="148" t="n"/>
      <c r="O403" s="148" t="n"/>
      <c r="P403" s="148" t="n"/>
      <c r="Q403" s="148" t="n"/>
      <c r="R403" s="148" t="n"/>
      <c r="S403" s="148" t="n"/>
      <c r="T403" s="148" t="n"/>
      <c r="U403" s="149">
        <f>IF(AND('Master Stock'!D403&lt;&gt;"",'Master Stock'!H403="OCCUPIED",ISNUMBER('Master Stock'!J403),'Master Stock'!K403=""),SUMPRODUCT(--('Master Stock'!$D$2:$D$1000&lt;&gt;""),--('Master Stock'!$H$2:$H$1000="OCCUPIED"),--ISNUMBER('Master Stock'!$J$2:$J$1000),--('Master Stock'!$K$2:$K$1000=""),--('Master Stock'!$J$2:$J$1000&lt;'Master Stock'!J403))+COUNTIFS('Master Stock'!$J$2:J403,'Master Stock'!J403,'Master Stock'!$D$2:D403,"&lt;&gt;",'Master Stock'!$H$2:H403,"OCCUPIED",'Master Stock'!$K$2:K403,""),"")</f>
        <v/>
      </c>
      <c r="V403" s="149">
        <f>IF(AND('Master Stock'!D403&lt;&gt;"",'Master Stock'!H403="OCCUPIED",ISNUMBER('Master Stock'!L403),'Master Stock'!L403&lt;TODAY()-30),SUMPRODUCT(--('Master Stock'!$D$2:$D$1000&lt;&gt;""),--('Master Stock'!$H$2:$H$1000="OCCUPIED"),--ISNUMBER('Master Stock'!$L$2:$L$1000),--('Master Stock'!$L$2:$L$1000&lt;TODAY()-30),--('Master Stock'!$L$2:$L$1000&lt;'Master Stock'!L403))+COUNTIFS('Master Stock'!$L$2:L403,'Master Stock'!L403,'Master Stock'!$D$2:D403,"&lt;&gt;",'Master Stock'!$H$2:H403,"OCCUPIED"),"")</f>
        <v/>
      </c>
      <c r="W403" s="149" t="n"/>
      <c r="X403" s="149" t="n"/>
      <c r="Y403" s="149" t="n"/>
      <c r="Z403" s="149" t="n"/>
    </row>
    <row r="404" ht="15.75" customHeight="1" s="236">
      <c r="A404" s="148" t="n"/>
      <c r="B404" s="148" t="n"/>
      <c r="C404" s="124" t="n"/>
      <c r="D404" s="148" t="n"/>
      <c r="E404" s="148" t="n"/>
      <c r="F404" s="148" t="n"/>
      <c r="G404" s="124" t="n"/>
      <c r="H404" s="148" t="n"/>
      <c r="I404" s="148" t="n"/>
      <c r="J404" s="148" t="n"/>
      <c r="K404" s="148" t="n"/>
      <c r="L404" s="148" t="n"/>
      <c r="M404" s="148" t="n"/>
      <c r="N404" s="148" t="n"/>
      <c r="O404" s="148" t="n"/>
      <c r="P404" s="148" t="n"/>
      <c r="Q404" s="148" t="n"/>
      <c r="R404" s="148" t="n"/>
      <c r="S404" s="148" t="n"/>
      <c r="T404" s="148" t="n"/>
      <c r="U404" s="149">
        <f>IF(AND('Master Stock'!D404&lt;&gt;"",'Master Stock'!H404="OCCUPIED",ISNUMBER('Master Stock'!J404),'Master Stock'!K404=""),SUMPRODUCT(--('Master Stock'!$D$2:$D$1000&lt;&gt;""),--('Master Stock'!$H$2:$H$1000="OCCUPIED"),--ISNUMBER('Master Stock'!$J$2:$J$1000),--('Master Stock'!$K$2:$K$1000=""),--('Master Stock'!$J$2:$J$1000&lt;'Master Stock'!J404))+COUNTIFS('Master Stock'!$J$2:J404,'Master Stock'!J404,'Master Stock'!$D$2:D404,"&lt;&gt;",'Master Stock'!$H$2:H404,"OCCUPIED",'Master Stock'!$K$2:K404,""),"")</f>
        <v/>
      </c>
      <c r="V404" s="149">
        <f>IF(AND('Master Stock'!D404&lt;&gt;"",'Master Stock'!H404="OCCUPIED",ISNUMBER('Master Stock'!L404),'Master Stock'!L404&lt;TODAY()-30),SUMPRODUCT(--('Master Stock'!$D$2:$D$1000&lt;&gt;""),--('Master Stock'!$H$2:$H$1000="OCCUPIED"),--ISNUMBER('Master Stock'!$L$2:$L$1000),--('Master Stock'!$L$2:$L$1000&lt;TODAY()-30),--('Master Stock'!$L$2:$L$1000&lt;'Master Stock'!L404))+COUNTIFS('Master Stock'!$L$2:L404,'Master Stock'!L404,'Master Stock'!$D$2:D404,"&lt;&gt;",'Master Stock'!$H$2:H404,"OCCUPIED"),"")</f>
        <v/>
      </c>
      <c r="W404" s="149" t="n"/>
      <c r="X404" s="149" t="n"/>
      <c r="Y404" s="149" t="n"/>
      <c r="Z404" s="149" t="n"/>
    </row>
    <row r="405" ht="15.75" customHeight="1" s="236">
      <c r="A405" s="148" t="n"/>
      <c r="B405" s="148" t="n"/>
      <c r="C405" s="124" t="n"/>
      <c r="D405" s="148" t="n"/>
      <c r="E405" s="148" t="n"/>
      <c r="F405" s="148" t="n"/>
      <c r="G405" s="124" t="n"/>
      <c r="H405" s="148" t="n"/>
      <c r="I405" s="148" t="n"/>
      <c r="J405" s="148" t="n"/>
      <c r="K405" s="148" t="n"/>
      <c r="L405" s="148" t="n"/>
      <c r="M405" s="148" t="n"/>
      <c r="N405" s="148" t="n"/>
      <c r="O405" s="148" t="n"/>
      <c r="P405" s="148" t="n"/>
      <c r="Q405" s="148" t="n"/>
      <c r="R405" s="148" t="n"/>
      <c r="S405" s="148" t="n"/>
      <c r="T405" s="148" t="n"/>
      <c r="U405" s="149">
        <f>IF(AND('Master Stock'!D405&lt;&gt;"",'Master Stock'!H405="OCCUPIED",ISNUMBER('Master Stock'!J405),'Master Stock'!K405=""),SUMPRODUCT(--('Master Stock'!$D$2:$D$1000&lt;&gt;""),--('Master Stock'!$H$2:$H$1000="OCCUPIED"),--ISNUMBER('Master Stock'!$J$2:$J$1000),--('Master Stock'!$K$2:$K$1000=""),--('Master Stock'!$J$2:$J$1000&lt;'Master Stock'!J405))+COUNTIFS('Master Stock'!$J$2:J405,'Master Stock'!J405,'Master Stock'!$D$2:D405,"&lt;&gt;",'Master Stock'!$H$2:H405,"OCCUPIED",'Master Stock'!$K$2:K405,""),"")</f>
        <v/>
      </c>
      <c r="V405" s="149">
        <f>IF(AND('Master Stock'!D405&lt;&gt;"",'Master Stock'!H405="OCCUPIED",ISNUMBER('Master Stock'!L405),'Master Stock'!L405&lt;TODAY()-30),SUMPRODUCT(--('Master Stock'!$D$2:$D$1000&lt;&gt;""),--('Master Stock'!$H$2:$H$1000="OCCUPIED"),--ISNUMBER('Master Stock'!$L$2:$L$1000),--('Master Stock'!$L$2:$L$1000&lt;TODAY()-30),--('Master Stock'!$L$2:$L$1000&lt;'Master Stock'!L405))+COUNTIFS('Master Stock'!$L$2:L405,'Master Stock'!L405,'Master Stock'!$D$2:D405,"&lt;&gt;",'Master Stock'!$H$2:H405,"OCCUPIED"),"")</f>
        <v/>
      </c>
      <c r="W405" s="149" t="n"/>
      <c r="X405" s="149" t="n"/>
      <c r="Y405" s="149" t="n"/>
      <c r="Z405" s="149" t="n"/>
    </row>
    <row r="406" ht="15.75" customHeight="1" s="236">
      <c r="A406" s="148" t="n"/>
      <c r="B406" s="148" t="n"/>
      <c r="C406" s="124" t="n"/>
      <c r="D406" s="148" t="n"/>
      <c r="E406" s="148" t="n"/>
      <c r="F406" s="148" t="n"/>
      <c r="G406" s="124" t="n"/>
      <c r="H406" s="148" t="n"/>
      <c r="I406" s="148" t="n"/>
      <c r="J406" s="148" t="n"/>
      <c r="K406" s="148" t="n"/>
      <c r="L406" s="148" t="n"/>
      <c r="M406" s="148" t="n"/>
      <c r="N406" s="148" t="n"/>
      <c r="O406" s="148" t="n"/>
      <c r="P406" s="148" t="n"/>
      <c r="Q406" s="148" t="n"/>
      <c r="R406" s="148" t="n"/>
      <c r="S406" s="148" t="n"/>
      <c r="T406" s="148" t="n"/>
      <c r="U406" s="149">
        <f>IF(AND('Master Stock'!D406&lt;&gt;"",'Master Stock'!H406="OCCUPIED",ISNUMBER('Master Stock'!J406),'Master Stock'!K406=""),SUMPRODUCT(--('Master Stock'!$D$2:$D$1000&lt;&gt;""),--('Master Stock'!$H$2:$H$1000="OCCUPIED"),--ISNUMBER('Master Stock'!$J$2:$J$1000),--('Master Stock'!$K$2:$K$1000=""),--('Master Stock'!$J$2:$J$1000&lt;'Master Stock'!J406))+COUNTIFS('Master Stock'!$J$2:J406,'Master Stock'!J406,'Master Stock'!$D$2:D406,"&lt;&gt;",'Master Stock'!$H$2:H406,"OCCUPIED",'Master Stock'!$K$2:K406,""),"")</f>
        <v/>
      </c>
      <c r="V406" s="149">
        <f>IF(AND('Master Stock'!D406&lt;&gt;"",'Master Stock'!H406="OCCUPIED",ISNUMBER('Master Stock'!L406),'Master Stock'!L406&lt;TODAY()-30),SUMPRODUCT(--('Master Stock'!$D$2:$D$1000&lt;&gt;""),--('Master Stock'!$H$2:$H$1000="OCCUPIED"),--ISNUMBER('Master Stock'!$L$2:$L$1000),--('Master Stock'!$L$2:$L$1000&lt;TODAY()-30),--('Master Stock'!$L$2:$L$1000&lt;'Master Stock'!L406))+COUNTIFS('Master Stock'!$L$2:L406,'Master Stock'!L406,'Master Stock'!$D$2:D406,"&lt;&gt;",'Master Stock'!$H$2:H406,"OCCUPIED"),"")</f>
        <v/>
      </c>
      <c r="W406" s="149" t="n"/>
      <c r="X406" s="149" t="n"/>
      <c r="Y406" s="149" t="n"/>
      <c r="Z406" s="149" t="n"/>
    </row>
    <row r="407" ht="15.75" customHeight="1" s="236">
      <c r="A407" s="148" t="n"/>
      <c r="B407" s="148" t="n"/>
      <c r="C407" s="124" t="n"/>
      <c r="D407" s="148" t="n"/>
      <c r="E407" s="148" t="n"/>
      <c r="F407" s="148" t="n"/>
      <c r="G407" s="124" t="n"/>
      <c r="H407" s="148" t="n"/>
      <c r="I407" s="148" t="n"/>
      <c r="J407" s="148" t="n"/>
      <c r="K407" s="148" t="n"/>
      <c r="L407" s="148" t="n"/>
      <c r="M407" s="148" t="n"/>
      <c r="N407" s="148" t="n"/>
      <c r="O407" s="148" t="n"/>
      <c r="P407" s="148" t="n"/>
      <c r="Q407" s="148" t="n"/>
      <c r="R407" s="148" t="n"/>
      <c r="S407" s="148" t="n"/>
      <c r="T407" s="148" t="n"/>
      <c r="U407" s="149">
        <f>IF(AND('Master Stock'!D407&lt;&gt;"",'Master Stock'!H407="OCCUPIED",ISNUMBER('Master Stock'!J407),'Master Stock'!K407=""),SUMPRODUCT(--('Master Stock'!$D$2:$D$1000&lt;&gt;""),--('Master Stock'!$H$2:$H$1000="OCCUPIED"),--ISNUMBER('Master Stock'!$J$2:$J$1000),--('Master Stock'!$K$2:$K$1000=""),--('Master Stock'!$J$2:$J$1000&lt;'Master Stock'!J407))+COUNTIFS('Master Stock'!$J$2:J407,'Master Stock'!J407,'Master Stock'!$D$2:D407,"&lt;&gt;",'Master Stock'!$H$2:H407,"OCCUPIED",'Master Stock'!$K$2:K407,""),"")</f>
        <v/>
      </c>
      <c r="V407" s="149">
        <f>IF(AND('Master Stock'!D407&lt;&gt;"",'Master Stock'!H407="OCCUPIED",ISNUMBER('Master Stock'!L407),'Master Stock'!L407&lt;TODAY()-30),SUMPRODUCT(--('Master Stock'!$D$2:$D$1000&lt;&gt;""),--('Master Stock'!$H$2:$H$1000="OCCUPIED"),--ISNUMBER('Master Stock'!$L$2:$L$1000),--('Master Stock'!$L$2:$L$1000&lt;TODAY()-30),--('Master Stock'!$L$2:$L$1000&lt;'Master Stock'!L407))+COUNTIFS('Master Stock'!$L$2:L407,'Master Stock'!L407,'Master Stock'!$D$2:D407,"&lt;&gt;",'Master Stock'!$H$2:H407,"OCCUPIED"),"")</f>
        <v/>
      </c>
      <c r="W407" s="149" t="n"/>
      <c r="X407" s="149" t="n"/>
      <c r="Y407" s="149" t="n"/>
      <c r="Z407" s="149" t="n"/>
    </row>
    <row r="408" ht="15.75" customHeight="1" s="236">
      <c r="A408" s="148" t="n"/>
      <c r="B408" s="148" t="n"/>
      <c r="C408" s="124" t="n"/>
      <c r="D408" s="148" t="n"/>
      <c r="E408" s="148" t="n"/>
      <c r="F408" s="148" t="n"/>
      <c r="G408" s="124" t="n"/>
      <c r="H408" s="148" t="n"/>
      <c r="I408" s="148" t="n"/>
      <c r="J408" s="148" t="n"/>
      <c r="K408" s="148" t="n"/>
      <c r="L408" s="148" t="n"/>
      <c r="M408" s="148" t="n"/>
      <c r="N408" s="148" t="n"/>
      <c r="O408" s="148" t="n"/>
      <c r="P408" s="148" t="n"/>
      <c r="Q408" s="148" t="n"/>
      <c r="R408" s="148" t="n"/>
      <c r="S408" s="148" t="n"/>
      <c r="T408" s="148" t="n"/>
      <c r="U408" s="149">
        <f>IF(AND('Master Stock'!D408&lt;&gt;"",'Master Stock'!H408="OCCUPIED",ISNUMBER('Master Stock'!J408),'Master Stock'!K408=""),SUMPRODUCT(--('Master Stock'!$D$2:$D$1000&lt;&gt;""),--('Master Stock'!$H$2:$H$1000="OCCUPIED"),--ISNUMBER('Master Stock'!$J$2:$J$1000),--('Master Stock'!$K$2:$K$1000=""),--('Master Stock'!$J$2:$J$1000&lt;'Master Stock'!J408))+COUNTIFS('Master Stock'!$J$2:J408,'Master Stock'!J408,'Master Stock'!$D$2:D408,"&lt;&gt;",'Master Stock'!$H$2:H408,"OCCUPIED",'Master Stock'!$K$2:K408,""),"")</f>
        <v/>
      </c>
      <c r="V408" s="149">
        <f>IF(AND('Master Stock'!D408&lt;&gt;"",'Master Stock'!H408="OCCUPIED",ISNUMBER('Master Stock'!L408),'Master Stock'!L408&lt;TODAY()-30),SUMPRODUCT(--('Master Stock'!$D$2:$D$1000&lt;&gt;""),--('Master Stock'!$H$2:$H$1000="OCCUPIED"),--ISNUMBER('Master Stock'!$L$2:$L$1000),--('Master Stock'!$L$2:$L$1000&lt;TODAY()-30),--('Master Stock'!$L$2:$L$1000&lt;'Master Stock'!L408))+COUNTIFS('Master Stock'!$L$2:L408,'Master Stock'!L408,'Master Stock'!$D$2:D408,"&lt;&gt;",'Master Stock'!$H$2:H408,"OCCUPIED"),"")</f>
        <v/>
      </c>
      <c r="W408" s="149" t="n"/>
      <c r="X408" s="149" t="n"/>
      <c r="Y408" s="149" t="n"/>
      <c r="Z408" s="149" t="n"/>
    </row>
    <row r="409" ht="15.75" customHeight="1" s="236">
      <c r="A409" s="148" t="n"/>
      <c r="B409" s="148" t="n"/>
      <c r="C409" s="124" t="n"/>
      <c r="D409" s="148" t="n"/>
      <c r="E409" s="148" t="n"/>
      <c r="F409" s="148" t="n"/>
      <c r="G409" s="124" t="n"/>
      <c r="H409" s="148" t="n"/>
      <c r="I409" s="148" t="n"/>
      <c r="J409" s="148" t="n"/>
      <c r="K409" s="148" t="n"/>
      <c r="L409" s="148" t="n"/>
      <c r="M409" s="148" t="n"/>
      <c r="N409" s="148" t="n"/>
      <c r="O409" s="148" t="n"/>
      <c r="P409" s="148" t="n"/>
      <c r="Q409" s="148" t="n"/>
      <c r="R409" s="148" t="n"/>
      <c r="S409" s="148" t="n"/>
      <c r="T409" s="148" t="n"/>
      <c r="U409" s="149">
        <f>IF(AND('Master Stock'!D409&lt;&gt;"",'Master Stock'!H409="OCCUPIED",ISNUMBER('Master Stock'!J409),'Master Stock'!K409=""),SUMPRODUCT(--('Master Stock'!$D$2:$D$1000&lt;&gt;""),--('Master Stock'!$H$2:$H$1000="OCCUPIED"),--ISNUMBER('Master Stock'!$J$2:$J$1000),--('Master Stock'!$K$2:$K$1000=""),--('Master Stock'!$J$2:$J$1000&lt;'Master Stock'!J409))+COUNTIFS('Master Stock'!$J$2:J409,'Master Stock'!J409,'Master Stock'!$D$2:D409,"&lt;&gt;",'Master Stock'!$H$2:H409,"OCCUPIED",'Master Stock'!$K$2:K409,""),"")</f>
        <v/>
      </c>
      <c r="V409" s="149">
        <f>IF(AND('Master Stock'!D409&lt;&gt;"",'Master Stock'!H409="OCCUPIED",ISNUMBER('Master Stock'!L409),'Master Stock'!L409&lt;TODAY()-30),SUMPRODUCT(--('Master Stock'!$D$2:$D$1000&lt;&gt;""),--('Master Stock'!$H$2:$H$1000="OCCUPIED"),--ISNUMBER('Master Stock'!$L$2:$L$1000),--('Master Stock'!$L$2:$L$1000&lt;TODAY()-30),--('Master Stock'!$L$2:$L$1000&lt;'Master Stock'!L409))+COUNTIFS('Master Stock'!$L$2:L409,'Master Stock'!L409,'Master Stock'!$D$2:D409,"&lt;&gt;",'Master Stock'!$H$2:H409,"OCCUPIED"),"")</f>
        <v/>
      </c>
      <c r="W409" s="149" t="n"/>
      <c r="X409" s="149" t="n"/>
      <c r="Y409" s="149" t="n"/>
      <c r="Z409" s="149" t="n"/>
    </row>
    <row r="410" ht="15.75" customHeight="1" s="236">
      <c r="A410" s="148" t="n"/>
      <c r="B410" s="148" t="n"/>
      <c r="C410" s="124" t="n"/>
      <c r="D410" s="148" t="n"/>
      <c r="E410" s="148" t="n"/>
      <c r="F410" s="148" t="n"/>
      <c r="G410" s="124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9">
        <f>IF(AND('Master Stock'!D410&lt;&gt;"",'Master Stock'!H410="OCCUPIED",ISNUMBER('Master Stock'!J410),'Master Stock'!K410=""),SUMPRODUCT(--('Master Stock'!$D$2:$D$1000&lt;&gt;""),--('Master Stock'!$H$2:$H$1000="OCCUPIED"),--ISNUMBER('Master Stock'!$J$2:$J$1000),--('Master Stock'!$K$2:$K$1000=""),--('Master Stock'!$J$2:$J$1000&lt;'Master Stock'!J410))+COUNTIFS('Master Stock'!$J$2:J410,'Master Stock'!J410,'Master Stock'!$D$2:D410,"&lt;&gt;",'Master Stock'!$H$2:H410,"OCCUPIED",'Master Stock'!$K$2:K410,""),"")</f>
        <v/>
      </c>
      <c r="V410" s="149">
        <f>IF(AND('Master Stock'!D410&lt;&gt;"",'Master Stock'!H410="OCCUPIED",ISNUMBER('Master Stock'!L410),'Master Stock'!L410&lt;TODAY()-30),SUMPRODUCT(--('Master Stock'!$D$2:$D$1000&lt;&gt;""),--('Master Stock'!$H$2:$H$1000="OCCUPIED"),--ISNUMBER('Master Stock'!$L$2:$L$1000),--('Master Stock'!$L$2:$L$1000&lt;TODAY()-30),--('Master Stock'!$L$2:$L$1000&lt;'Master Stock'!L410))+COUNTIFS('Master Stock'!$L$2:L410,'Master Stock'!L410,'Master Stock'!$D$2:D410,"&lt;&gt;",'Master Stock'!$H$2:H410,"OCCUPIED"),"")</f>
        <v/>
      </c>
      <c r="W410" s="149" t="n"/>
      <c r="X410" s="149" t="n"/>
      <c r="Y410" s="149" t="n"/>
      <c r="Z410" s="149" t="n"/>
    </row>
    <row r="411" ht="15.75" customHeight="1" s="236">
      <c r="A411" s="148" t="n"/>
      <c r="B411" s="148" t="n"/>
      <c r="C411" s="124" t="n"/>
      <c r="D411" s="148" t="n"/>
      <c r="E411" s="148" t="n"/>
      <c r="F411" s="148" t="n"/>
      <c r="G411" s="124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9">
        <f>IF(AND('Master Stock'!D411&lt;&gt;"",'Master Stock'!H411="OCCUPIED",ISNUMBER('Master Stock'!J411),'Master Stock'!K411=""),SUMPRODUCT(--('Master Stock'!$D$2:$D$1000&lt;&gt;""),--('Master Stock'!$H$2:$H$1000="OCCUPIED"),--ISNUMBER('Master Stock'!$J$2:$J$1000),--('Master Stock'!$K$2:$K$1000=""),--('Master Stock'!$J$2:$J$1000&lt;'Master Stock'!J411))+COUNTIFS('Master Stock'!$J$2:J411,'Master Stock'!J411,'Master Stock'!$D$2:D411,"&lt;&gt;",'Master Stock'!$H$2:H411,"OCCUPIED",'Master Stock'!$K$2:K411,""),"")</f>
        <v/>
      </c>
      <c r="V411" s="149">
        <f>IF(AND('Master Stock'!D411&lt;&gt;"",'Master Stock'!H411="OCCUPIED",ISNUMBER('Master Stock'!L411),'Master Stock'!L411&lt;TODAY()-30),SUMPRODUCT(--('Master Stock'!$D$2:$D$1000&lt;&gt;""),--('Master Stock'!$H$2:$H$1000="OCCUPIED"),--ISNUMBER('Master Stock'!$L$2:$L$1000),--('Master Stock'!$L$2:$L$1000&lt;TODAY()-30),--('Master Stock'!$L$2:$L$1000&lt;'Master Stock'!L411))+COUNTIFS('Master Stock'!$L$2:L411,'Master Stock'!L411,'Master Stock'!$D$2:D411,"&lt;&gt;",'Master Stock'!$H$2:H411,"OCCUPIED"),"")</f>
        <v/>
      </c>
      <c r="W411" s="149" t="n"/>
      <c r="X411" s="149" t="n"/>
      <c r="Y411" s="149" t="n"/>
      <c r="Z411" s="149" t="n"/>
    </row>
    <row r="412" ht="15.75" customHeight="1" s="236">
      <c r="A412" s="148" t="n"/>
      <c r="B412" s="148" t="n"/>
      <c r="C412" s="124" t="n"/>
      <c r="D412" s="148" t="n"/>
      <c r="E412" s="148" t="n"/>
      <c r="F412" s="148" t="n"/>
      <c r="G412" s="124" t="n"/>
      <c r="H412" s="148" t="n"/>
      <c r="I412" s="148" t="n"/>
      <c r="J412" s="148" t="n"/>
      <c r="K412" s="148" t="n"/>
      <c r="L412" s="148" t="n"/>
      <c r="M412" s="148" t="n"/>
      <c r="N412" s="148" t="n"/>
      <c r="O412" s="148" t="n"/>
      <c r="P412" s="148" t="n"/>
      <c r="Q412" s="148" t="n"/>
      <c r="R412" s="148" t="n"/>
      <c r="S412" s="148" t="n"/>
      <c r="T412" s="148" t="n"/>
      <c r="U412" s="149">
        <f>IF(AND('Master Stock'!D412&lt;&gt;"",'Master Stock'!H412="OCCUPIED",ISNUMBER('Master Stock'!J412),'Master Stock'!K412=""),SUMPRODUCT(--('Master Stock'!$D$2:$D$1000&lt;&gt;""),--('Master Stock'!$H$2:$H$1000="OCCUPIED"),--ISNUMBER('Master Stock'!$J$2:$J$1000),--('Master Stock'!$K$2:$K$1000=""),--('Master Stock'!$J$2:$J$1000&lt;'Master Stock'!J412))+COUNTIFS('Master Stock'!$J$2:J412,'Master Stock'!J412,'Master Stock'!$D$2:D412,"&lt;&gt;",'Master Stock'!$H$2:H412,"OCCUPIED",'Master Stock'!$K$2:K412,""),"")</f>
        <v/>
      </c>
      <c r="V412" s="149">
        <f>IF(AND('Master Stock'!D412&lt;&gt;"",'Master Stock'!H412="OCCUPIED",ISNUMBER('Master Stock'!L412),'Master Stock'!L412&lt;TODAY()-30),SUMPRODUCT(--('Master Stock'!$D$2:$D$1000&lt;&gt;""),--('Master Stock'!$H$2:$H$1000="OCCUPIED"),--ISNUMBER('Master Stock'!$L$2:$L$1000),--('Master Stock'!$L$2:$L$1000&lt;TODAY()-30),--('Master Stock'!$L$2:$L$1000&lt;'Master Stock'!L412))+COUNTIFS('Master Stock'!$L$2:L412,'Master Stock'!L412,'Master Stock'!$D$2:D412,"&lt;&gt;",'Master Stock'!$H$2:H412,"OCCUPIED"),"")</f>
        <v/>
      </c>
      <c r="W412" s="149" t="n"/>
      <c r="X412" s="149" t="n"/>
      <c r="Y412" s="149" t="n"/>
      <c r="Z412" s="149" t="n"/>
    </row>
    <row r="413" ht="15.75" customHeight="1" s="236">
      <c r="A413" s="148" t="n"/>
      <c r="B413" s="148" t="n"/>
      <c r="C413" s="124" t="n"/>
      <c r="D413" s="148" t="n"/>
      <c r="E413" s="148" t="n"/>
      <c r="F413" s="148" t="n"/>
      <c r="G413" s="124" t="n"/>
      <c r="H413" s="148" t="n"/>
      <c r="I413" s="148" t="n"/>
      <c r="J413" s="148" t="n"/>
      <c r="K413" s="148" t="n"/>
      <c r="L413" s="148" t="n"/>
      <c r="M413" s="148" t="n"/>
      <c r="N413" s="148" t="n"/>
      <c r="O413" s="148" t="n"/>
      <c r="P413" s="148" t="n"/>
      <c r="Q413" s="148" t="n"/>
      <c r="R413" s="148" t="n"/>
      <c r="S413" s="148" t="n"/>
      <c r="T413" s="148" t="n"/>
      <c r="U413" s="149">
        <f>IF(AND('Master Stock'!D413&lt;&gt;"",'Master Stock'!H413="OCCUPIED",ISNUMBER('Master Stock'!J413),'Master Stock'!K413=""),SUMPRODUCT(--('Master Stock'!$D$2:$D$1000&lt;&gt;""),--('Master Stock'!$H$2:$H$1000="OCCUPIED"),--ISNUMBER('Master Stock'!$J$2:$J$1000),--('Master Stock'!$K$2:$K$1000=""),--('Master Stock'!$J$2:$J$1000&lt;'Master Stock'!J413))+COUNTIFS('Master Stock'!$J$2:J413,'Master Stock'!J413,'Master Stock'!$D$2:D413,"&lt;&gt;",'Master Stock'!$H$2:H413,"OCCUPIED",'Master Stock'!$K$2:K413,""),"")</f>
        <v/>
      </c>
      <c r="V413" s="149">
        <f>IF(AND('Master Stock'!D413&lt;&gt;"",'Master Stock'!H413="OCCUPIED",ISNUMBER('Master Stock'!L413),'Master Stock'!L413&lt;TODAY()-30),SUMPRODUCT(--('Master Stock'!$D$2:$D$1000&lt;&gt;""),--('Master Stock'!$H$2:$H$1000="OCCUPIED"),--ISNUMBER('Master Stock'!$L$2:$L$1000),--('Master Stock'!$L$2:$L$1000&lt;TODAY()-30),--('Master Stock'!$L$2:$L$1000&lt;'Master Stock'!L413))+COUNTIFS('Master Stock'!$L$2:L413,'Master Stock'!L413,'Master Stock'!$D$2:D413,"&lt;&gt;",'Master Stock'!$H$2:H413,"OCCUPIED"),"")</f>
        <v/>
      </c>
      <c r="W413" s="149" t="n"/>
      <c r="X413" s="149" t="n"/>
      <c r="Y413" s="149" t="n"/>
      <c r="Z413" s="149" t="n"/>
    </row>
    <row r="414" ht="15.75" customHeight="1" s="236">
      <c r="A414" s="148" t="n"/>
      <c r="B414" s="148" t="n"/>
      <c r="C414" s="124" t="n"/>
      <c r="D414" s="148" t="n"/>
      <c r="E414" s="148" t="n"/>
      <c r="F414" s="148" t="n"/>
      <c r="G414" s="124" t="n"/>
      <c r="H414" s="148" t="n"/>
      <c r="I414" s="148" t="n"/>
      <c r="J414" s="148" t="n"/>
      <c r="K414" s="148" t="n"/>
      <c r="L414" s="148" t="n"/>
      <c r="M414" s="148" t="n"/>
      <c r="N414" s="148" t="n"/>
      <c r="O414" s="148" t="n"/>
      <c r="P414" s="148" t="n"/>
      <c r="Q414" s="148" t="n"/>
      <c r="R414" s="148" t="n"/>
      <c r="S414" s="148" t="n"/>
      <c r="T414" s="148" t="n"/>
      <c r="U414" s="149">
        <f>IF(AND('Master Stock'!D414&lt;&gt;"",'Master Stock'!H414="OCCUPIED",ISNUMBER('Master Stock'!J414),'Master Stock'!K414=""),SUMPRODUCT(--('Master Stock'!$D$2:$D$1000&lt;&gt;""),--('Master Stock'!$H$2:$H$1000="OCCUPIED"),--ISNUMBER('Master Stock'!$J$2:$J$1000),--('Master Stock'!$K$2:$K$1000=""),--('Master Stock'!$J$2:$J$1000&lt;'Master Stock'!J414))+COUNTIFS('Master Stock'!$J$2:J414,'Master Stock'!J414,'Master Stock'!$D$2:D414,"&lt;&gt;",'Master Stock'!$H$2:H414,"OCCUPIED",'Master Stock'!$K$2:K414,""),"")</f>
        <v/>
      </c>
      <c r="V414" s="149">
        <f>IF(AND('Master Stock'!D414&lt;&gt;"",'Master Stock'!H414="OCCUPIED",ISNUMBER('Master Stock'!L414),'Master Stock'!L414&lt;TODAY()-30),SUMPRODUCT(--('Master Stock'!$D$2:$D$1000&lt;&gt;""),--('Master Stock'!$H$2:$H$1000="OCCUPIED"),--ISNUMBER('Master Stock'!$L$2:$L$1000),--('Master Stock'!$L$2:$L$1000&lt;TODAY()-30),--('Master Stock'!$L$2:$L$1000&lt;'Master Stock'!L414))+COUNTIFS('Master Stock'!$L$2:L414,'Master Stock'!L414,'Master Stock'!$D$2:D414,"&lt;&gt;",'Master Stock'!$H$2:H414,"OCCUPIED"),"")</f>
        <v/>
      </c>
      <c r="W414" s="149" t="n"/>
      <c r="X414" s="149" t="n"/>
      <c r="Y414" s="149" t="n"/>
      <c r="Z414" s="149" t="n"/>
    </row>
    <row r="415" ht="15.75" customHeight="1" s="236">
      <c r="A415" s="148" t="n"/>
      <c r="B415" s="148" t="n"/>
      <c r="C415" s="124" t="n"/>
      <c r="D415" s="148" t="n"/>
      <c r="E415" s="148" t="n"/>
      <c r="F415" s="148" t="n"/>
      <c r="G415" s="124" t="n"/>
      <c r="H415" s="148" t="n"/>
      <c r="I415" s="148" t="n"/>
      <c r="J415" s="148" t="n"/>
      <c r="K415" s="148" t="n"/>
      <c r="L415" s="148" t="n"/>
      <c r="M415" s="148" t="n"/>
      <c r="N415" s="148" t="n"/>
      <c r="O415" s="148" t="n"/>
      <c r="P415" s="148" t="n"/>
      <c r="Q415" s="148" t="n"/>
      <c r="R415" s="148" t="n"/>
      <c r="S415" s="148" t="n"/>
      <c r="T415" s="148" t="n"/>
      <c r="U415" s="149">
        <f>IF(AND('Master Stock'!D415&lt;&gt;"",'Master Stock'!H415="OCCUPIED",ISNUMBER('Master Stock'!J415),'Master Stock'!K415=""),SUMPRODUCT(--('Master Stock'!$D$2:$D$1000&lt;&gt;""),--('Master Stock'!$H$2:$H$1000="OCCUPIED"),--ISNUMBER('Master Stock'!$J$2:$J$1000),--('Master Stock'!$K$2:$K$1000=""),--('Master Stock'!$J$2:$J$1000&lt;'Master Stock'!J415))+COUNTIFS('Master Stock'!$J$2:J415,'Master Stock'!J415,'Master Stock'!$D$2:D415,"&lt;&gt;",'Master Stock'!$H$2:H415,"OCCUPIED",'Master Stock'!$K$2:K415,""),"")</f>
        <v/>
      </c>
      <c r="V415" s="149">
        <f>IF(AND('Master Stock'!D415&lt;&gt;"",'Master Stock'!H415="OCCUPIED",ISNUMBER('Master Stock'!L415),'Master Stock'!L415&lt;TODAY()-30),SUMPRODUCT(--('Master Stock'!$D$2:$D$1000&lt;&gt;""),--('Master Stock'!$H$2:$H$1000="OCCUPIED"),--ISNUMBER('Master Stock'!$L$2:$L$1000),--('Master Stock'!$L$2:$L$1000&lt;TODAY()-30),--('Master Stock'!$L$2:$L$1000&lt;'Master Stock'!L415))+COUNTIFS('Master Stock'!$L$2:L415,'Master Stock'!L415,'Master Stock'!$D$2:D415,"&lt;&gt;",'Master Stock'!$H$2:H415,"OCCUPIED"),"")</f>
        <v/>
      </c>
      <c r="W415" s="149" t="n"/>
      <c r="X415" s="149" t="n"/>
      <c r="Y415" s="149" t="n"/>
      <c r="Z415" s="149" t="n"/>
    </row>
    <row r="416" ht="15.75" customHeight="1" s="236">
      <c r="A416" s="148" t="n"/>
      <c r="B416" s="148" t="n"/>
      <c r="C416" s="124" t="n"/>
      <c r="D416" s="148" t="n"/>
      <c r="E416" s="148" t="n"/>
      <c r="F416" s="148" t="n"/>
      <c r="G416" s="124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9">
        <f>IF(AND('Master Stock'!D416&lt;&gt;"",'Master Stock'!H416="OCCUPIED",ISNUMBER('Master Stock'!J416),'Master Stock'!K416=""),SUMPRODUCT(--('Master Stock'!$D$2:$D$1000&lt;&gt;""),--('Master Stock'!$H$2:$H$1000="OCCUPIED"),--ISNUMBER('Master Stock'!$J$2:$J$1000),--('Master Stock'!$K$2:$K$1000=""),--('Master Stock'!$J$2:$J$1000&lt;'Master Stock'!J416))+COUNTIFS('Master Stock'!$J$2:J416,'Master Stock'!J416,'Master Stock'!$D$2:D416,"&lt;&gt;",'Master Stock'!$H$2:H416,"OCCUPIED",'Master Stock'!$K$2:K416,""),"")</f>
        <v/>
      </c>
      <c r="V416" s="149">
        <f>IF(AND('Master Stock'!D416&lt;&gt;"",'Master Stock'!H416="OCCUPIED",ISNUMBER('Master Stock'!L416),'Master Stock'!L416&lt;TODAY()-30),SUMPRODUCT(--('Master Stock'!$D$2:$D$1000&lt;&gt;""),--('Master Stock'!$H$2:$H$1000="OCCUPIED"),--ISNUMBER('Master Stock'!$L$2:$L$1000),--('Master Stock'!$L$2:$L$1000&lt;TODAY()-30),--('Master Stock'!$L$2:$L$1000&lt;'Master Stock'!L416))+COUNTIFS('Master Stock'!$L$2:L416,'Master Stock'!L416,'Master Stock'!$D$2:D416,"&lt;&gt;",'Master Stock'!$H$2:H416,"OCCUPIED"),"")</f>
        <v/>
      </c>
      <c r="W416" s="149" t="n"/>
      <c r="X416" s="149" t="n"/>
      <c r="Y416" s="149" t="n"/>
      <c r="Z416" s="149" t="n"/>
    </row>
    <row r="417" ht="15.75" customHeight="1" s="236">
      <c r="A417" s="148" t="n"/>
      <c r="B417" s="148" t="n"/>
      <c r="C417" s="124" t="n"/>
      <c r="D417" s="148" t="n"/>
      <c r="E417" s="148" t="n"/>
      <c r="F417" s="148" t="n"/>
      <c r="G417" s="124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9">
        <f>IF(AND('Master Stock'!D417&lt;&gt;"",'Master Stock'!H417="OCCUPIED",ISNUMBER('Master Stock'!J417),'Master Stock'!K417=""),SUMPRODUCT(--('Master Stock'!$D$2:$D$1000&lt;&gt;""),--('Master Stock'!$H$2:$H$1000="OCCUPIED"),--ISNUMBER('Master Stock'!$J$2:$J$1000),--('Master Stock'!$K$2:$K$1000=""),--('Master Stock'!$J$2:$J$1000&lt;'Master Stock'!J417))+COUNTIFS('Master Stock'!$J$2:J417,'Master Stock'!J417,'Master Stock'!$D$2:D417,"&lt;&gt;",'Master Stock'!$H$2:H417,"OCCUPIED",'Master Stock'!$K$2:K417,""),"")</f>
        <v/>
      </c>
      <c r="V417" s="149">
        <f>IF(AND('Master Stock'!D417&lt;&gt;"",'Master Stock'!H417="OCCUPIED",ISNUMBER('Master Stock'!L417),'Master Stock'!L417&lt;TODAY()-30),SUMPRODUCT(--('Master Stock'!$D$2:$D$1000&lt;&gt;""),--('Master Stock'!$H$2:$H$1000="OCCUPIED"),--ISNUMBER('Master Stock'!$L$2:$L$1000),--('Master Stock'!$L$2:$L$1000&lt;TODAY()-30),--('Master Stock'!$L$2:$L$1000&lt;'Master Stock'!L417))+COUNTIFS('Master Stock'!$L$2:L417,'Master Stock'!L417,'Master Stock'!$D$2:D417,"&lt;&gt;",'Master Stock'!$H$2:H417,"OCCUPIED"),"")</f>
        <v/>
      </c>
      <c r="W417" s="149" t="n"/>
      <c r="X417" s="149" t="n"/>
      <c r="Y417" s="149" t="n"/>
      <c r="Z417" s="149" t="n"/>
    </row>
    <row r="418" ht="15.75" customHeight="1" s="236">
      <c r="A418" s="148" t="n"/>
      <c r="B418" s="148" t="n"/>
      <c r="C418" s="124" t="n"/>
      <c r="D418" s="148" t="n"/>
      <c r="E418" s="148" t="n"/>
      <c r="F418" s="148" t="n"/>
      <c r="G418" s="124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9">
        <f>IF(AND('Master Stock'!D418&lt;&gt;"",'Master Stock'!H418="OCCUPIED",ISNUMBER('Master Stock'!J418),'Master Stock'!K418=""),SUMPRODUCT(--('Master Stock'!$D$2:$D$1000&lt;&gt;""),--('Master Stock'!$H$2:$H$1000="OCCUPIED"),--ISNUMBER('Master Stock'!$J$2:$J$1000),--('Master Stock'!$K$2:$K$1000=""),--('Master Stock'!$J$2:$J$1000&lt;'Master Stock'!J418))+COUNTIFS('Master Stock'!$J$2:J418,'Master Stock'!J418,'Master Stock'!$D$2:D418,"&lt;&gt;",'Master Stock'!$H$2:H418,"OCCUPIED",'Master Stock'!$K$2:K418,""),"")</f>
        <v/>
      </c>
      <c r="V418" s="149">
        <f>IF(AND('Master Stock'!D418&lt;&gt;"",'Master Stock'!H418="OCCUPIED",ISNUMBER('Master Stock'!L418),'Master Stock'!L418&lt;TODAY()-30),SUMPRODUCT(--('Master Stock'!$D$2:$D$1000&lt;&gt;""),--('Master Stock'!$H$2:$H$1000="OCCUPIED"),--ISNUMBER('Master Stock'!$L$2:$L$1000),--('Master Stock'!$L$2:$L$1000&lt;TODAY()-30),--('Master Stock'!$L$2:$L$1000&lt;'Master Stock'!L418))+COUNTIFS('Master Stock'!$L$2:L418,'Master Stock'!L418,'Master Stock'!$D$2:D418,"&lt;&gt;",'Master Stock'!$H$2:H418,"OCCUPIED"),"")</f>
        <v/>
      </c>
      <c r="W418" s="149" t="n"/>
      <c r="X418" s="149" t="n"/>
      <c r="Y418" s="149" t="n"/>
      <c r="Z418" s="149" t="n"/>
    </row>
    <row r="419" ht="15.75" customHeight="1" s="236">
      <c r="A419" s="148" t="n"/>
      <c r="B419" s="148" t="n"/>
      <c r="C419" s="124" t="n"/>
      <c r="D419" s="148" t="n"/>
      <c r="E419" s="148" t="n"/>
      <c r="F419" s="148" t="n"/>
      <c r="G419" s="124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9">
        <f>IF(AND('Master Stock'!D419&lt;&gt;"",'Master Stock'!H419="OCCUPIED",ISNUMBER('Master Stock'!J419),'Master Stock'!K419=""),SUMPRODUCT(--('Master Stock'!$D$2:$D$1000&lt;&gt;""),--('Master Stock'!$H$2:$H$1000="OCCUPIED"),--ISNUMBER('Master Stock'!$J$2:$J$1000),--('Master Stock'!$K$2:$K$1000=""),--('Master Stock'!$J$2:$J$1000&lt;'Master Stock'!J419))+COUNTIFS('Master Stock'!$J$2:J419,'Master Stock'!J419,'Master Stock'!$D$2:D419,"&lt;&gt;",'Master Stock'!$H$2:H419,"OCCUPIED",'Master Stock'!$K$2:K419,""),"")</f>
        <v/>
      </c>
      <c r="V419" s="149">
        <f>IF(AND('Master Stock'!D419&lt;&gt;"",'Master Stock'!H419="OCCUPIED",ISNUMBER('Master Stock'!L419),'Master Stock'!L419&lt;TODAY()-30),SUMPRODUCT(--('Master Stock'!$D$2:$D$1000&lt;&gt;""),--('Master Stock'!$H$2:$H$1000="OCCUPIED"),--ISNUMBER('Master Stock'!$L$2:$L$1000),--('Master Stock'!$L$2:$L$1000&lt;TODAY()-30),--('Master Stock'!$L$2:$L$1000&lt;'Master Stock'!L419))+COUNTIFS('Master Stock'!$L$2:L419,'Master Stock'!L419,'Master Stock'!$D$2:D419,"&lt;&gt;",'Master Stock'!$H$2:H419,"OCCUPIED"),"")</f>
        <v/>
      </c>
      <c r="W419" s="149" t="n"/>
      <c r="X419" s="149" t="n"/>
      <c r="Y419" s="149" t="n"/>
      <c r="Z419" s="149" t="n"/>
    </row>
    <row r="420" ht="15.75" customHeight="1" s="236">
      <c r="A420" s="148" t="n"/>
      <c r="B420" s="148" t="n"/>
      <c r="C420" s="124" t="n"/>
      <c r="D420" s="148" t="n"/>
      <c r="E420" s="148" t="n"/>
      <c r="F420" s="148" t="n"/>
      <c r="G420" s="124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9">
        <f>IF(AND('Master Stock'!D420&lt;&gt;"",'Master Stock'!H420="OCCUPIED",ISNUMBER('Master Stock'!J420),'Master Stock'!K420=""),SUMPRODUCT(--('Master Stock'!$D$2:$D$1000&lt;&gt;""),--('Master Stock'!$H$2:$H$1000="OCCUPIED"),--ISNUMBER('Master Stock'!$J$2:$J$1000),--('Master Stock'!$K$2:$K$1000=""),--('Master Stock'!$J$2:$J$1000&lt;'Master Stock'!J420))+COUNTIFS('Master Stock'!$J$2:J420,'Master Stock'!J420,'Master Stock'!$D$2:D420,"&lt;&gt;",'Master Stock'!$H$2:H420,"OCCUPIED",'Master Stock'!$K$2:K420,""),"")</f>
        <v/>
      </c>
      <c r="V420" s="149">
        <f>IF(AND('Master Stock'!D420&lt;&gt;"",'Master Stock'!H420="OCCUPIED",ISNUMBER('Master Stock'!L420),'Master Stock'!L420&lt;TODAY()-30),SUMPRODUCT(--('Master Stock'!$D$2:$D$1000&lt;&gt;""),--('Master Stock'!$H$2:$H$1000="OCCUPIED"),--ISNUMBER('Master Stock'!$L$2:$L$1000),--('Master Stock'!$L$2:$L$1000&lt;TODAY()-30),--('Master Stock'!$L$2:$L$1000&lt;'Master Stock'!L420))+COUNTIFS('Master Stock'!$L$2:L420,'Master Stock'!L420,'Master Stock'!$D$2:D420,"&lt;&gt;",'Master Stock'!$H$2:H420,"OCCUPIED"),"")</f>
        <v/>
      </c>
      <c r="W420" s="149" t="n"/>
      <c r="X420" s="149" t="n"/>
      <c r="Y420" s="149" t="n"/>
      <c r="Z420" s="149" t="n"/>
    </row>
    <row r="421" ht="15.75" customHeight="1" s="236">
      <c r="A421" s="148" t="n"/>
      <c r="B421" s="148" t="n"/>
      <c r="C421" s="124" t="n"/>
      <c r="D421" s="148" t="n"/>
      <c r="E421" s="148" t="n"/>
      <c r="F421" s="148" t="n"/>
      <c r="G421" s="124" t="n"/>
      <c r="H421" s="148" t="n"/>
      <c r="I421" s="148" t="n"/>
      <c r="J421" s="148" t="n"/>
      <c r="K421" s="148" t="n"/>
      <c r="L421" s="148" t="n"/>
      <c r="M421" s="148" t="n"/>
      <c r="N421" s="148" t="n"/>
      <c r="O421" s="148" t="n"/>
      <c r="P421" s="148" t="n"/>
      <c r="Q421" s="148" t="n"/>
      <c r="R421" s="148" t="n"/>
      <c r="S421" s="148" t="n"/>
      <c r="T421" s="148" t="n"/>
      <c r="U421" s="149">
        <f>IF(AND('Master Stock'!D421&lt;&gt;"",'Master Stock'!H421="OCCUPIED",ISNUMBER('Master Stock'!J421),'Master Stock'!K421=""),SUMPRODUCT(--('Master Stock'!$D$2:$D$1000&lt;&gt;""),--('Master Stock'!$H$2:$H$1000="OCCUPIED"),--ISNUMBER('Master Stock'!$J$2:$J$1000),--('Master Stock'!$K$2:$K$1000=""),--('Master Stock'!$J$2:$J$1000&lt;'Master Stock'!J421))+COUNTIFS('Master Stock'!$J$2:J421,'Master Stock'!J421,'Master Stock'!$D$2:D421,"&lt;&gt;",'Master Stock'!$H$2:H421,"OCCUPIED",'Master Stock'!$K$2:K421,""),"")</f>
        <v/>
      </c>
      <c r="V421" s="149">
        <f>IF(AND('Master Stock'!D421&lt;&gt;"",'Master Stock'!H421="OCCUPIED",ISNUMBER('Master Stock'!L421),'Master Stock'!L421&lt;TODAY()-30),SUMPRODUCT(--('Master Stock'!$D$2:$D$1000&lt;&gt;""),--('Master Stock'!$H$2:$H$1000="OCCUPIED"),--ISNUMBER('Master Stock'!$L$2:$L$1000),--('Master Stock'!$L$2:$L$1000&lt;TODAY()-30),--('Master Stock'!$L$2:$L$1000&lt;'Master Stock'!L421))+COUNTIFS('Master Stock'!$L$2:L421,'Master Stock'!L421,'Master Stock'!$D$2:D421,"&lt;&gt;",'Master Stock'!$H$2:H421,"OCCUPIED"),"")</f>
        <v/>
      </c>
      <c r="W421" s="149" t="n"/>
      <c r="X421" s="149" t="n"/>
      <c r="Y421" s="149" t="n"/>
      <c r="Z421" s="149" t="n"/>
    </row>
    <row r="422" ht="15.75" customHeight="1" s="236">
      <c r="A422" s="148" t="n"/>
      <c r="B422" s="148" t="n"/>
      <c r="C422" s="124" t="n"/>
      <c r="D422" s="148" t="n"/>
      <c r="E422" s="148" t="n"/>
      <c r="F422" s="148" t="n"/>
      <c r="G422" s="124" t="n"/>
      <c r="H422" s="148" t="n"/>
      <c r="I422" s="148" t="n"/>
      <c r="J422" s="148" t="n"/>
      <c r="K422" s="148" t="n"/>
      <c r="L422" s="148" t="n"/>
      <c r="M422" s="148" t="n"/>
      <c r="N422" s="148" t="n"/>
      <c r="O422" s="148" t="n"/>
      <c r="P422" s="148" t="n"/>
      <c r="Q422" s="148" t="n"/>
      <c r="R422" s="148" t="n"/>
      <c r="S422" s="148" t="n"/>
      <c r="T422" s="148" t="n"/>
      <c r="U422" s="149">
        <f>IF(AND('Master Stock'!D422&lt;&gt;"",'Master Stock'!H422="OCCUPIED",ISNUMBER('Master Stock'!J422),'Master Stock'!K422=""),SUMPRODUCT(--('Master Stock'!$D$2:$D$1000&lt;&gt;""),--('Master Stock'!$H$2:$H$1000="OCCUPIED"),--ISNUMBER('Master Stock'!$J$2:$J$1000),--('Master Stock'!$K$2:$K$1000=""),--('Master Stock'!$J$2:$J$1000&lt;'Master Stock'!J422))+COUNTIFS('Master Stock'!$J$2:J422,'Master Stock'!J422,'Master Stock'!$D$2:D422,"&lt;&gt;",'Master Stock'!$H$2:H422,"OCCUPIED",'Master Stock'!$K$2:K422,""),"")</f>
        <v/>
      </c>
      <c r="V422" s="149">
        <f>IF(AND('Master Stock'!D422&lt;&gt;"",'Master Stock'!H422="OCCUPIED",ISNUMBER('Master Stock'!L422),'Master Stock'!L422&lt;TODAY()-30),SUMPRODUCT(--('Master Stock'!$D$2:$D$1000&lt;&gt;""),--('Master Stock'!$H$2:$H$1000="OCCUPIED"),--ISNUMBER('Master Stock'!$L$2:$L$1000),--('Master Stock'!$L$2:$L$1000&lt;TODAY()-30),--('Master Stock'!$L$2:$L$1000&lt;'Master Stock'!L422))+COUNTIFS('Master Stock'!$L$2:L422,'Master Stock'!L422,'Master Stock'!$D$2:D422,"&lt;&gt;",'Master Stock'!$H$2:H422,"OCCUPIED"),"")</f>
        <v/>
      </c>
      <c r="W422" s="149" t="n"/>
      <c r="X422" s="149" t="n"/>
      <c r="Y422" s="149" t="n"/>
      <c r="Z422" s="149" t="n"/>
    </row>
    <row r="423" ht="15.75" customHeight="1" s="236">
      <c r="A423" s="148" t="n"/>
      <c r="B423" s="148" t="n"/>
      <c r="C423" s="124" t="n"/>
      <c r="D423" s="148" t="n"/>
      <c r="E423" s="148" t="n"/>
      <c r="F423" s="148" t="n"/>
      <c r="G423" s="124" t="n"/>
      <c r="H423" s="148" t="n"/>
      <c r="I423" s="148" t="n"/>
      <c r="J423" s="148" t="n"/>
      <c r="K423" s="148" t="n"/>
      <c r="L423" s="148" t="n"/>
      <c r="M423" s="148" t="n"/>
      <c r="N423" s="148" t="n"/>
      <c r="O423" s="148" t="n"/>
      <c r="P423" s="148" t="n"/>
      <c r="Q423" s="148" t="n"/>
      <c r="R423" s="148" t="n"/>
      <c r="S423" s="148" t="n"/>
      <c r="T423" s="148" t="n"/>
      <c r="U423" s="149">
        <f>IF(AND('Master Stock'!D423&lt;&gt;"",'Master Stock'!H423="OCCUPIED",ISNUMBER('Master Stock'!J423),'Master Stock'!K423=""),SUMPRODUCT(--('Master Stock'!$D$2:$D$1000&lt;&gt;""),--('Master Stock'!$H$2:$H$1000="OCCUPIED"),--ISNUMBER('Master Stock'!$J$2:$J$1000),--('Master Stock'!$K$2:$K$1000=""),--('Master Stock'!$J$2:$J$1000&lt;'Master Stock'!J423))+COUNTIFS('Master Stock'!$J$2:J423,'Master Stock'!J423,'Master Stock'!$D$2:D423,"&lt;&gt;",'Master Stock'!$H$2:H423,"OCCUPIED",'Master Stock'!$K$2:K423,""),"")</f>
        <v/>
      </c>
      <c r="V423" s="149">
        <f>IF(AND('Master Stock'!D423&lt;&gt;"",'Master Stock'!H423="OCCUPIED",ISNUMBER('Master Stock'!L423),'Master Stock'!L423&lt;TODAY()-30),SUMPRODUCT(--('Master Stock'!$D$2:$D$1000&lt;&gt;""),--('Master Stock'!$H$2:$H$1000="OCCUPIED"),--ISNUMBER('Master Stock'!$L$2:$L$1000),--('Master Stock'!$L$2:$L$1000&lt;TODAY()-30),--('Master Stock'!$L$2:$L$1000&lt;'Master Stock'!L423))+COUNTIFS('Master Stock'!$L$2:L423,'Master Stock'!L423,'Master Stock'!$D$2:D423,"&lt;&gt;",'Master Stock'!$H$2:H423,"OCCUPIED"),"")</f>
        <v/>
      </c>
      <c r="W423" s="149" t="n"/>
      <c r="X423" s="149" t="n"/>
      <c r="Y423" s="149" t="n"/>
      <c r="Z423" s="149" t="n"/>
    </row>
    <row r="424" ht="15.75" customHeight="1" s="236">
      <c r="A424" s="148" t="n"/>
      <c r="B424" s="148" t="n"/>
      <c r="C424" s="124" t="n"/>
      <c r="D424" s="148" t="n"/>
      <c r="E424" s="148" t="n"/>
      <c r="F424" s="148" t="n"/>
      <c r="G424" s="124" t="n"/>
      <c r="H424" s="148" t="n"/>
      <c r="I424" s="148" t="n"/>
      <c r="J424" s="148" t="n"/>
      <c r="K424" s="148" t="n"/>
      <c r="L424" s="148" t="n"/>
      <c r="M424" s="148" t="n"/>
      <c r="N424" s="148" t="n"/>
      <c r="O424" s="148" t="n"/>
      <c r="P424" s="148" t="n"/>
      <c r="Q424" s="148" t="n"/>
      <c r="R424" s="148" t="n"/>
      <c r="S424" s="148" t="n"/>
      <c r="T424" s="148" t="n"/>
      <c r="U424" s="149">
        <f>IF(AND('Master Stock'!D424&lt;&gt;"",'Master Stock'!H424="OCCUPIED",ISNUMBER('Master Stock'!J424),'Master Stock'!K424=""),SUMPRODUCT(--('Master Stock'!$D$2:$D$1000&lt;&gt;""),--('Master Stock'!$H$2:$H$1000="OCCUPIED"),--ISNUMBER('Master Stock'!$J$2:$J$1000),--('Master Stock'!$K$2:$K$1000=""),--('Master Stock'!$J$2:$J$1000&lt;'Master Stock'!J424))+COUNTIFS('Master Stock'!$J$2:J424,'Master Stock'!J424,'Master Stock'!$D$2:D424,"&lt;&gt;",'Master Stock'!$H$2:H424,"OCCUPIED",'Master Stock'!$K$2:K424,""),"")</f>
        <v/>
      </c>
      <c r="V424" s="149">
        <f>IF(AND('Master Stock'!D424&lt;&gt;"",'Master Stock'!H424="OCCUPIED",ISNUMBER('Master Stock'!L424),'Master Stock'!L424&lt;TODAY()-30),SUMPRODUCT(--('Master Stock'!$D$2:$D$1000&lt;&gt;""),--('Master Stock'!$H$2:$H$1000="OCCUPIED"),--ISNUMBER('Master Stock'!$L$2:$L$1000),--('Master Stock'!$L$2:$L$1000&lt;TODAY()-30),--('Master Stock'!$L$2:$L$1000&lt;'Master Stock'!L424))+COUNTIFS('Master Stock'!$L$2:L424,'Master Stock'!L424,'Master Stock'!$D$2:D424,"&lt;&gt;",'Master Stock'!$H$2:H424,"OCCUPIED"),"")</f>
        <v/>
      </c>
      <c r="W424" s="149" t="n"/>
      <c r="X424" s="149" t="n"/>
      <c r="Y424" s="149" t="n"/>
      <c r="Z424" s="149" t="n"/>
    </row>
    <row r="425" ht="15.75" customHeight="1" s="236">
      <c r="A425" s="148" t="n"/>
      <c r="B425" s="148" t="n"/>
      <c r="C425" s="124" t="n"/>
      <c r="D425" s="148" t="n"/>
      <c r="E425" s="148" t="n"/>
      <c r="F425" s="148" t="n"/>
      <c r="G425" s="124" t="n"/>
      <c r="H425" s="148" t="n"/>
      <c r="I425" s="148" t="n"/>
      <c r="J425" s="148" t="n"/>
      <c r="K425" s="148" t="n"/>
      <c r="L425" s="148" t="n"/>
      <c r="M425" s="148" t="n"/>
      <c r="N425" s="148" t="n"/>
      <c r="O425" s="148" t="n"/>
      <c r="P425" s="148" t="n"/>
      <c r="Q425" s="148" t="n"/>
      <c r="R425" s="148" t="n"/>
      <c r="S425" s="148" t="n"/>
      <c r="T425" s="148" t="n"/>
      <c r="U425" s="149">
        <f>IF(AND('Master Stock'!D425&lt;&gt;"",'Master Stock'!H425="OCCUPIED",ISNUMBER('Master Stock'!J425),'Master Stock'!K425=""),SUMPRODUCT(--('Master Stock'!$D$2:$D$1000&lt;&gt;""),--('Master Stock'!$H$2:$H$1000="OCCUPIED"),--ISNUMBER('Master Stock'!$J$2:$J$1000),--('Master Stock'!$K$2:$K$1000=""),--('Master Stock'!$J$2:$J$1000&lt;'Master Stock'!J425))+COUNTIFS('Master Stock'!$J$2:J425,'Master Stock'!J425,'Master Stock'!$D$2:D425,"&lt;&gt;",'Master Stock'!$H$2:H425,"OCCUPIED",'Master Stock'!$K$2:K425,""),"")</f>
        <v/>
      </c>
      <c r="V425" s="149">
        <f>IF(AND('Master Stock'!D425&lt;&gt;"",'Master Stock'!H425="OCCUPIED",ISNUMBER('Master Stock'!L425),'Master Stock'!L425&lt;TODAY()-30),SUMPRODUCT(--('Master Stock'!$D$2:$D$1000&lt;&gt;""),--('Master Stock'!$H$2:$H$1000="OCCUPIED"),--ISNUMBER('Master Stock'!$L$2:$L$1000),--('Master Stock'!$L$2:$L$1000&lt;TODAY()-30),--('Master Stock'!$L$2:$L$1000&lt;'Master Stock'!L425))+COUNTIFS('Master Stock'!$L$2:L425,'Master Stock'!L425,'Master Stock'!$D$2:D425,"&lt;&gt;",'Master Stock'!$H$2:H425,"OCCUPIED"),"")</f>
        <v/>
      </c>
      <c r="W425" s="149" t="n"/>
      <c r="X425" s="149" t="n"/>
      <c r="Y425" s="149" t="n"/>
      <c r="Z425" s="149" t="n"/>
    </row>
    <row r="426" ht="15.75" customHeight="1" s="236">
      <c r="A426" s="148" t="n"/>
      <c r="B426" s="148" t="n"/>
      <c r="C426" s="124" t="n"/>
      <c r="D426" s="148" t="n"/>
      <c r="E426" s="148" t="n"/>
      <c r="F426" s="148" t="n"/>
      <c r="G426" s="124" t="n"/>
      <c r="H426" s="148" t="n"/>
      <c r="I426" s="148" t="n"/>
      <c r="J426" s="148" t="n"/>
      <c r="K426" s="148" t="n"/>
      <c r="L426" s="148" t="n"/>
      <c r="M426" s="148" t="n"/>
      <c r="N426" s="148" t="n"/>
      <c r="O426" s="148" t="n"/>
      <c r="P426" s="148" t="n"/>
      <c r="Q426" s="148" t="n"/>
      <c r="R426" s="148" t="n"/>
      <c r="S426" s="148" t="n"/>
      <c r="T426" s="148" t="n"/>
      <c r="U426" s="149">
        <f>IF(AND('Master Stock'!D426&lt;&gt;"",'Master Stock'!H426="OCCUPIED",ISNUMBER('Master Stock'!J426),'Master Stock'!K426=""),SUMPRODUCT(--('Master Stock'!$D$2:$D$1000&lt;&gt;""),--('Master Stock'!$H$2:$H$1000="OCCUPIED"),--ISNUMBER('Master Stock'!$J$2:$J$1000),--('Master Stock'!$K$2:$K$1000=""),--('Master Stock'!$J$2:$J$1000&lt;'Master Stock'!J426))+COUNTIFS('Master Stock'!$J$2:J426,'Master Stock'!J426,'Master Stock'!$D$2:D426,"&lt;&gt;",'Master Stock'!$H$2:H426,"OCCUPIED",'Master Stock'!$K$2:K426,""),"")</f>
        <v/>
      </c>
      <c r="V426" s="149">
        <f>IF(AND('Master Stock'!D426&lt;&gt;"",'Master Stock'!H426="OCCUPIED",ISNUMBER('Master Stock'!L426),'Master Stock'!L426&lt;TODAY()-30),SUMPRODUCT(--('Master Stock'!$D$2:$D$1000&lt;&gt;""),--('Master Stock'!$H$2:$H$1000="OCCUPIED"),--ISNUMBER('Master Stock'!$L$2:$L$1000),--('Master Stock'!$L$2:$L$1000&lt;TODAY()-30),--('Master Stock'!$L$2:$L$1000&lt;'Master Stock'!L426))+COUNTIFS('Master Stock'!$L$2:L426,'Master Stock'!L426,'Master Stock'!$D$2:D426,"&lt;&gt;",'Master Stock'!$H$2:H426,"OCCUPIED"),"")</f>
        <v/>
      </c>
      <c r="W426" s="149" t="n"/>
      <c r="X426" s="149" t="n"/>
      <c r="Y426" s="149" t="n"/>
      <c r="Z426" s="149" t="n"/>
    </row>
    <row r="427" ht="15.75" customHeight="1" s="236">
      <c r="A427" s="148" t="n"/>
      <c r="B427" s="148" t="n"/>
      <c r="C427" s="124" t="n"/>
      <c r="D427" s="148" t="n"/>
      <c r="E427" s="148" t="n"/>
      <c r="F427" s="148" t="n"/>
      <c r="G427" s="124" t="n"/>
      <c r="H427" s="148" t="n"/>
      <c r="I427" s="148" t="n"/>
      <c r="J427" s="148" t="n"/>
      <c r="K427" s="148" t="n"/>
      <c r="L427" s="148" t="n"/>
      <c r="M427" s="148" t="n"/>
      <c r="N427" s="148" t="n"/>
      <c r="O427" s="148" t="n"/>
      <c r="P427" s="148" t="n"/>
      <c r="Q427" s="148" t="n"/>
      <c r="R427" s="148" t="n"/>
      <c r="S427" s="148" t="n"/>
      <c r="T427" s="148" t="n"/>
      <c r="U427" s="149">
        <f>IF(AND('Master Stock'!D427&lt;&gt;"",'Master Stock'!H427="OCCUPIED",ISNUMBER('Master Stock'!J427),'Master Stock'!K427=""),SUMPRODUCT(--('Master Stock'!$D$2:$D$1000&lt;&gt;""),--('Master Stock'!$H$2:$H$1000="OCCUPIED"),--ISNUMBER('Master Stock'!$J$2:$J$1000),--('Master Stock'!$K$2:$K$1000=""),--('Master Stock'!$J$2:$J$1000&lt;'Master Stock'!J427))+COUNTIFS('Master Stock'!$J$2:J427,'Master Stock'!J427,'Master Stock'!$D$2:D427,"&lt;&gt;",'Master Stock'!$H$2:H427,"OCCUPIED",'Master Stock'!$K$2:K427,""),"")</f>
        <v/>
      </c>
      <c r="V427" s="149">
        <f>IF(AND('Master Stock'!D427&lt;&gt;"",'Master Stock'!H427="OCCUPIED",ISNUMBER('Master Stock'!L427),'Master Stock'!L427&lt;TODAY()-30),SUMPRODUCT(--('Master Stock'!$D$2:$D$1000&lt;&gt;""),--('Master Stock'!$H$2:$H$1000="OCCUPIED"),--ISNUMBER('Master Stock'!$L$2:$L$1000),--('Master Stock'!$L$2:$L$1000&lt;TODAY()-30),--('Master Stock'!$L$2:$L$1000&lt;'Master Stock'!L427))+COUNTIFS('Master Stock'!$L$2:L427,'Master Stock'!L427,'Master Stock'!$D$2:D427,"&lt;&gt;",'Master Stock'!$H$2:H427,"OCCUPIED"),"")</f>
        <v/>
      </c>
      <c r="W427" s="149" t="n"/>
      <c r="X427" s="149" t="n"/>
      <c r="Y427" s="149" t="n"/>
      <c r="Z427" s="149" t="n"/>
    </row>
    <row r="428" ht="15.75" customHeight="1" s="236">
      <c r="A428" s="148" t="n"/>
      <c r="B428" s="148" t="n"/>
      <c r="C428" s="124" t="n"/>
      <c r="D428" s="148" t="n"/>
      <c r="E428" s="148" t="n"/>
      <c r="F428" s="148" t="n"/>
      <c r="G428" s="124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9">
        <f>IF(AND('Master Stock'!D428&lt;&gt;"",'Master Stock'!H428="OCCUPIED",ISNUMBER('Master Stock'!J428),'Master Stock'!K428=""),SUMPRODUCT(--('Master Stock'!$D$2:$D$1000&lt;&gt;""),--('Master Stock'!$H$2:$H$1000="OCCUPIED"),--ISNUMBER('Master Stock'!$J$2:$J$1000),--('Master Stock'!$K$2:$K$1000=""),--('Master Stock'!$J$2:$J$1000&lt;'Master Stock'!J428))+COUNTIFS('Master Stock'!$J$2:J428,'Master Stock'!J428,'Master Stock'!$D$2:D428,"&lt;&gt;",'Master Stock'!$H$2:H428,"OCCUPIED",'Master Stock'!$K$2:K428,""),"")</f>
        <v/>
      </c>
      <c r="V428" s="149">
        <f>IF(AND('Master Stock'!D428&lt;&gt;"",'Master Stock'!H428="OCCUPIED",ISNUMBER('Master Stock'!L428),'Master Stock'!L428&lt;TODAY()-30),SUMPRODUCT(--('Master Stock'!$D$2:$D$1000&lt;&gt;""),--('Master Stock'!$H$2:$H$1000="OCCUPIED"),--ISNUMBER('Master Stock'!$L$2:$L$1000),--('Master Stock'!$L$2:$L$1000&lt;TODAY()-30),--('Master Stock'!$L$2:$L$1000&lt;'Master Stock'!L428))+COUNTIFS('Master Stock'!$L$2:L428,'Master Stock'!L428,'Master Stock'!$D$2:D428,"&lt;&gt;",'Master Stock'!$H$2:H428,"OCCUPIED"),"")</f>
        <v/>
      </c>
      <c r="W428" s="149" t="n"/>
      <c r="X428" s="149" t="n"/>
      <c r="Y428" s="149" t="n"/>
      <c r="Z428" s="149" t="n"/>
    </row>
    <row r="429" ht="15.75" customHeight="1" s="236">
      <c r="A429" s="148" t="n"/>
      <c r="B429" s="148" t="n"/>
      <c r="C429" s="124" t="n"/>
      <c r="D429" s="148" t="n"/>
      <c r="E429" s="148" t="n"/>
      <c r="F429" s="148" t="n"/>
      <c r="G429" s="124" t="n"/>
      <c r="H429" s="148" t="n"/>
      <c r="I429" s="148" t="n"/>
      <c r="J429" s="148" t="n"/>
      <c r="K429" s="148" t="n"/>
      <c r="L429" s="148" t="n"/>
      <c r="M429" s="148" t="n"/>
      <c r="N429" s="148" t="n"/>
      <c r="O429" s="148" t="n"/>
      <c r="P429" s="148" t="n"/>
      <c r="Q429" s="148" t="n"/>
      <c r="R429" s="148" t="n"/>
      <c r="S429" s="148" t="n"/>
      <c r="T429" s="148" t="n"/>
      <c r="U429" s="149">
        <f>IF(AND('Master Stock'!D429&lt;&gt;"",'Master Stock'!H429="OCCUPIED",ISNUMBER('Master Stock'!J429),'Master Stock'!K429=""),SUMPRODUCT(--('Master Stock'!$D$2:$D$1000&lt;&gt;""),--('Master Stock'!$H$2:$H$1000="OCCUPIED"),--ISNUMBER('Master Stock'!$J$2:$J$1000),--('Master Stock'!$K$2:$K$1000=""),--('Master Stock'!$J$2:$J$1000&lt;'Master Stock'!J429))+COUNTIFS('Master Stock'!$J$2:J429,'Master Stock'!J429,'Master Stock'!$D$2:D429,"&lt;&gt;",'Master Stock'!$H$2:H429,"OCCUPIED",'Master Stock'!$K$2:K429,""),"")</f>
        <v/>
      </c>
      <c r="V429" s="149">
        <f>IF(AND('Master Stock'!D429&lt;&gt;"",'Master Stock'!H429="OCCUPIED",ISNUMBER('Master Stock'!L429),'Master Stock'!L429&lt;TODAY()-30),SUMPRODUCT(--('Master Stock'!$D$2:$D$1000&lt;&gt;""),--('Master Stock'!$H$2:$H$1000="OCCUPIED"),--ISNUMBER('Master Stock'!$L$2:$L$1000),--('Master Stock'!$L$2:$L$1000&lt;TODAY()-30),--('Master Stock'!$L$2:$L$1000&lt;'Master Stock'!L429))+COUNTIFS('Master Stock'!$L$2:L429,'Master Stock'!L429,'Master Stock'!$D$2:D429,"&lt;&gt;",'Master Stock'!$H$2:H429,"OCCUPIED"),"")</f>
        <v/>
      </c>
      <c r="W429" s="149" t="n"/>
      <c r="X429" s="149" t="n"/>
      <c r="Y429" s="149" t="n"/>
      <c r="Z429" s="149" t="n"/>
    </row>
    <row r="430" ht="15.75" customHeight="1" s="236">
      <c r="A430" s="148" t="n"/>
      <c r="B430" s="148" t="n"/>
      <c r="C430" s="124" t="n"/>
      <c r="D430" s="148" t="n"/>
      <c r="E430" s="148" t="n"/>
      <c r="F430" s="148" t="n"/>
      <c r="G430" s="124" t="n"/>
      <c r="H430" s="148" t="n"/>
      <c r="I430" s="148" t="n"/>
      <c r="J430" s="148" t="n"/>
      <c r="K430" s="148" t="n"/>
      <c r="L430" s="148" t="n"/>
      <c r="M430" s="148" t="n"/>
      <c r="N430" s="148" t="n"/>
      <c r="O430" s="148" t="n"/>
      <c r="P430" s="148" t="n"/>
      <c r="Q430" s="148" t="n"/>
      <c r="R430" s="148" t="n"/>
      <c r="S430" s="148" t="n"/>
      <c r="T430" s="148" t="n"/>
      <c r="U430" s="149">
        <f>IF(AND('Master Stock'!D430&lt;&gt;"",'Master Stock'!H430="OCCUPIED",ISNUMBER('Master Stock'!J430),'Master Stock'!K430=""),SUMPRODUCT(--('Master Stock'!$D$2:$D$1000&lt;&gt;""),--('Master Stock'!$H$2:$H$1000="OCCUPIED"),--ISNUMBER('Master Stock'!$J$2:$J$1000),--('Master Stock'!$K$2:$K$1000=""),--('Master Stock'!$J$2:$J$1000&lt;'Master Stock'!J430))+COUNTIFS('Master Stock'!$J$2:J430,'Master Stock'!J430,'Master Stock'!$D$2:D430,"&lt;&gt;",'Master Stock'!$H$2:H430,"OCCUPIED",'Master Stock'!$K$2:K430,""),"")</f>
        <v/>
      </c>
      <c r="V430" s="149">
        <f>IF(AND('Master Stock'!D430&lt;&gt;"",'Master Stock'!H430="OCCUPIED",ISNUMBER('Master Stock'!L430),'Master Stock'!L430&lt;TODAY()-30),SUMPRODUCT(--('Master Stock'!$D$2:$D$1000&lt;&gt;""),--('Master Stock'!$H$2:$H$1000="OCCUPIED"),--ISNUMBER('Master Stock'!$L$2:$L$1000),--('Master Stock'!$L$2:$L$1000&lt;TODAY()-30),--('Master Stock'!$L$2:$L$1000&lt;'Master Stock'!L430))+COUNTIFS('Master Stock'!$L$2:L430,'Master Stock'!L430,'Master Stock'!$D$2:D430,"&lt;&gt;",'Master Stock'!$H$2:H430,"OCCUPIED"),"")</f>
        <v/>
      </c>
      <c r="W430" s="149" t="n"/>
      <c r="X430" s="149" t="n"/>
      <c r="Y430" s="149" t="n"/>
      <c r="Z430" s="149" t="n"/>
    </row>
    <row r="431" ht="15.75" customHeight="1" s="236">
      <c r="A431" s="148" t="n"/>
      <c r="B431" s="148" t="n"/>
      <c r="C431" s="124" t="n"/>
      <c r="D431" s="148" t="n"/>
      <c r="E431" s="148" t="n"/>
      <c r="F431" s="148" t="n"/>
      <c r="G431" s="124" t="n"/>
      <c r="H431" s="148" t="n"/>
      <c r="I431" s="148" t="n"/>
      <c r="J431" s="148" t="n"/>
      <c r="K431" s="148" t="n"/>
      <c r="L431" s="148" t="n"/>
      <c r="M431" s="148" t="n"/>
      <c r="N431" s="148" t="n"/>
      <c r="O431" s="148" t="n"/>
      <c r="P431" s="148" t="n"/>
      <c r="Q431" s="148" t="n"/>
      <c r="R431" s="148" t="n"/>
      <c r="S431" s="148" t="n"/>
      <c r="T431" s="148" t="n"/>
      <c r="U431" s="149">
        <f>IF(AND('Master Stock'!D431&lt;&gt;"",'Master Stock'!H431="OCCUPIED",ISNUMBER('Master Stock'!J431),'Master Stock'!K431=""),SUMPRODUCT(--('Master Stock'!$D$2:$D$1000&lt;&gt;""),--('Master Stock'!$H$2:$H$1000="OCCUPIED"),--ISNUMBER('Master Stock'!$J$2:$J$1000),--('Master Stock'!$K$2:$K$1000=""),--('Master Stock'!$J$2:$J$1000&lt;'Master Stock'!J431))+COUNTIFS('Master Stock'!$J$2:J431,'Master Stock'!J431,'Master Stock'!$D$2:D431,"&lt;&gt;",'Master Stock'!$H$2:H431,"OCCUPIED",'Master Stock'!$K$2:K431,""),"")</f>
        <v/>
      </c>
      <c r="V431" s="149">
        <f>IF(AND('Master Stock'!D431&lt;&gt;"",'Master Stock'!H431="OCCUPIED",ISNUMBER('Master Stock'!L431),'Master Stock'!L431&lt;TODAY()-30),SUMPRODUCT(--('Master Stock'!$D$2:$D$1000&lt;&gt;""),--('Master Stock'!$H$2:$H$1000="OCCUPIED"),--ISNUMBER('Master Stock'!$L$2:$L$1000),--('Master Stock'!$L$2:$L$1000&lt;TODAY()-30),--('Master Stock'!$L$2:$L$1000&lt;'Master Stock'!L431))+COUNTIFS('Master Stock'!$L$2:L431,'Master Stock'!L431,'Master Stock'!$D$2:D431,"&lt;&gt;",'Master Stock'!$H$2:H431,"OCCUPIED"),"")</f>
        <v/>
      </c>
      <c r="W431" s="149" t="n"/>
      <c r="X431" s="149" t="n"/>
      <c r="Y431" s="149" t="n"/>
      <c r="Z431" s="149" t="n"/>
    </row>
    <row r="432" ht="15.75" customHeight="1" s="236">
      <c r="A432" s="148" t="n"/>
      <c r="B432" s="148" t="n"/>
      <c r="C432" s="124" t="n"/>
      <c r="D432" s="148" t="n"/>
      <c r="E432" s="148" t="n"/>
      <c r="F432" s="148" t="n"/>
      <c r="G432" s="124" t="n"/>
      <c r="H432" s="148" t="n"/>
      <c r="I432" s="148" t="n"/>
      <c r="J432" s="148" t="n"/>
      <c r="K432" s="148" t="n"/>
      <c r="L432" s="148" t="n"/>
      <c r="M432" s="148" t="n"/>
      <c r="N432" s="148" t="n"/>
      <c r="O432" s="148" t="n"/>
      <c r="P432" s="148" t="n"/>
      <c r="Q432" s="148" t="n"/>
      <c r="R432" s="148" t="n"/>
      <c r="S432" s="148" t="n"/>
      <c r="T432" s="148" t="n"/>
      <c r="U432" s="149">
        <f>IF(AND('Master Stock'!D432&lt;&gt;"",'Master Stock'!H432="OCCUPIED",ISNUMBER('Master Stock'!J432),'Master Stock'!K432=""),SUMPRODUCT(--('Master Stock'!$D$2:$D$1000&lt;&gt;""),--('Master Stock'!$H$2:$H$1000="OCCUPIED"),--ISNUMBER('Master Stock'!$J$2:$J$1000),--('Master Stock'!$K$2:$K$1000=""),--('Master Stock'!$J$2:$J$1000&lt;'Master Stock'!J432))+COUNTIFS('Master Stock'!$J$2:J432,'Master Stock'!J432,'Master Stock'!$D$2:D432,"&lt;&gt;",'Master Stock'!$H$2:H432,"OCCUPIED",'Master Stock'!$K$2:K432,""),"")</f>
        <v/>
      </c>
      <c r="V432" s="149">
        <f>IF(AND('Master Stock'!D432&lt;&gt;"",'Master Stock'!H432="OCCUPIED",ISNUMBER('Master Stock'!L432),'Master Stock'!L432&lt;TODAY()-30),SUMPRODUCT(--('Master Stock'!$D$2:$D$1000&lt;&gt;""),--('Master Stock'!$H$2:$H$1000="OCCUPIED"),--ISNUMBER('Master Stock'!$L$2:$L$1000),--('Master Stock'!$L$2:$L$1000&lt;TODAY()-30),--('Master Stock'!$L$2:$L$1000&lt;'Master Stock'!L432))+COUNTIFS('Master Stock'!$L$2:L432,'Master Stock'!L432,'Master Stock'!$D$2:D432,"&lt;&gt;",'Master Stock'!$H$2:H432,"OCCUPIED"),"")</f>
        <v/>
      </c>
      <c r="W432" s="149" t="n"/>
      <c r="X432" s="149" t="n"/>
      <c r="Y432" s="149" t="n"/>
      <c r="Z432" s="149" t="n"/>
    </row>
    <row r="433" ht="15.75" customHeight="1" s="236">
      <c r="A433" s="148" t="n"/>
      <c r="B433" s="148" t="n"/>
      <c r="C433" s="124" t="n"/>
      <c r="D433" s="148" t="n"/>
      <c r="E433" s="148" t="n"/>
      <c r="F433" s="148" t="n"/>
      <c r="G433" s="124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9">
        <f>IF(AND('Master Stock'!D433&lt;&gt;"",'Master Stock'!H433="OCCUPIED",ISNUMBER('Master Stock'!J433),'Master Stock'!K433=""),SUMPRODUCT(--('Master Stock'!$D$2:$D$1000&lt;&gt;""),--('Master Stock'!$H$2:$H$1000="OCCUPIED"),--ISNUMBER('Master Stock'!$J$2:$J$1000),--('Master Stock'!$K$2:$K$1000=""),--('Master Stock'!$J$2:$J$1000&lt;'Master Stock'!J433))+COUNTIFS('Master Stock'!$J$2:J433,'Master Stock'!J433,'Master Stock'!$D$2:D433,"&lt;&gt;",'Master Stock'!$H$2:H433,"OCCUPIED",'Master Stock'!$K$2:K433,""),"")</f>
        <v/>
      </c>
      <c r="V433" s="149">
        <f>IF(AND('Master Stock'!D433&lt;&gt;"",'Master Stock'!H433="OCCUPIED",ISNUMBER('Master Stock'!L433),'Master Stock'!L433&lt;TODAY()-30),SUMPRODUCT(--('Master Stock'!$D$2:$D$1000&lt;&gt;""),--('Master Stock'!$H$2:$H$1000="OCCUPIED"),--ISNUMBER('Master Stock'!$L$2:$L$1000),--('Master Stock'!$L$2:$L$1000&lt;TODAY()-30),--('Master Stock'!$L$2:$L$1000&lt;'Master Stock'!L433))+COUNTIFS('Master Stock'!$L$2:L433,'Master Stock'!L433,'Master Stock'!$D$2:D433,"&lt;&gt;",'Master Stock'!$H$2:H433,"OCCUPIED"),"")</f>
        <v/>
      </c>
      <c r="W433" s="149" t="n"/>
      <c r="X433" s="149" t="n"/>
      <c r="Y433" s="149" t="n"/>
      <c r="Z433" s="149" t="n"/>
    </row>
    <row r="434" ht="15.75" customHeight="1" s="236">
      <c r="A434" s="148" t="n"/>
      <c r="B434" s="148" t="n"/>
      <c r="C434" s="124" t="n"/>
      <c r="D434" s="148" t="n"/>
      <c r="E434" s="148" t="n"/>
      <c r="F434" s="148" t="n"/>
      <c r="G434" s="124" t="n"/>
      <c r="H434" s="148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9">
        <f>IF(AND('Master Stock'!D434&lt;&gt;"",'Master Stock'!H434="OCCUPIED",ISNUMBER('Master Stock'!J434),'Master Stock'!K434=""),SUMPRODUCT(--('Master Stock'!$D$2:$D$1000&lt;&gt;""),--('Master Stock'!$H$2:$H$1000="OCCUPIED"),--ISNUMBER('Master Stock'!$J$2:$J$1000),--('Master Stock'!$K$2:$K$1000=""),--('Master Stock'!$J$2:$J$1000&lt;'Master Stock'!J434))+COUNTIFS('Master Stock'!$J$2:J434,'Master Stock'!J434,'Master Stock'!$D$2:D434,"&lt;&gt;",'Master Stock'!$H$2:H434,"OCCUPIED",'Master Stock'!$K$2:K434,""),"")</f>
        <v/>
      </c>
      <c r="V434" s="149">
        <f>IF(AND('Master Stock'!D434&lt;&gt;"",'Master Stock'!H434="OCCUPIED",ISNUMBER('Master Stock'!L434),'Master Stock'!L434&lt;TODAY()-30),SUMPRODUCT(--('Master Stock'!$D$2:$D$1000&lt;&gt;""),--('Master Stock'!$H$2:$H$1000="OCCUPIED"),--ISNUMBER('Master Stock'!$L$2:$L$1000),--('Master Stock'!$L$2:$L$1000&lt;TODAY()-30),--('Master Stock'!$L$2:$L$1000&lt;'Master Stock'!L434))+COUNTIFS('Master Stock'!$L$2:L434,'Master Stock'!L434,'Master Stock'!$D$2:D434,"&lt;&gt;",'Master Stock'!$H$2:H434,"OCCUPIED"),"")</f>
        <v/>
      </c>
      <c r="W434" s="149" t="n"/>
      <c r="X434" s="149" t="n"/>
      <c r="Y434" s="149" t="n"/>
      <c r="Z434" s="149" t="n"/>
    </row>
    <row r="435" ht="15.75" customHeight="1" s="236">
      <c r="A435" s="148" t="n"/>
      <c r="B435" s="148" t="n"/>
      <c r="C435" s="124" t="n"/>
      <c r="D435" s="148" t="n"/>
      <c r="E435" s="148" t="n"/>
      <c r="F435" s="148" t="n"/>
      <c r="G435" s="124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9">
        <f>IF(AND('Master Stock'!D435&lt;&gt;"",'Master Stock'!H435="OCCUPIED",ISNUMBER('Master Stock'!J435),'Master Stock'!K435=""),SUMPRODUCT(--('Master Stock'!$D$2:$D$1000&lt;&gt;""),--('Master Stock'!$H$2:$H$1000="OCCUPIED"),--ISNUMBER('Master Stock'!$J$2:$J$1000),--('Master Stock'!$K$2:$K$1000=""),--('Master Stock'!$J$2:$J$1000&lt;'Master Stock'!J435))+COUNTIFS('Master Stock'!$J$2:J435,'Master Stock'!J435,'Master Stock'!$D$2:D435,"&lt;&gt;",'Master Stock'!$H$2:H435,"OCCUPIED",'Master Stock'!$K$2:K435,""),"")</f>
        <v/>
      </c>
      <c r="V435" s="149">
        <f>IF(AND('Master Stock'!D435&lt;&gt;"",'Master Stock'!H435="OCCUPIED",ISNUMBER('Master Stock'!L435),'Master Stock'!L435&lt;TODAY()-30),SUMPRODUCT(--('Master Stock'!$D$2:$D$1000&lt;&gt;""),--('Master Stock'!$H$2:$H$1000="OCCUPIED"),--ISNUMBER('Master Stock'!$L$2:$L$1000),--('Master Stock'!$L$2:$L$1000&lt;TODAY()-30),--('Master Stock'!$L$2:$L$1000&lt;'Master Stock'!L435))+COUNTIFS('Master Stock'!$L$2:L435,'Master Stock'!L435,'Master Stock'!$D$2:D435,"&lt;&gt;",'Master Stock'!$H$2:H435,"OCCUPIED"),"")</f>
        <v/>
      </c>
      <c r="W435" s="149" t="n"/>
      <c r="X435" s="149" t="n"/>
      <c r="Y435" s="149" t="n"/>
      <c r="Z435" s="149" t="n"/>
    </row>
    <row r="436" ht="15.75" customHeight="1" s="236">
      <c r="A436" s="148" t="n"/>
      <c r="B436" s="148" t="n"/>
      <c r="C436" s="124" t="n"/>
      <c r="D436" s="148" t="n"/>
      <c r="E436" s="148" t="n"/>
      <c r="F436" s="148" t="n"/>
      <c r="G436" s="124" t="n"/>
      <c r="H436" s="148" t="n"/>
      <c r="I436" s="148" t="n"/>
      <c r="J436" s="148" t="n"/>
      <c r="K436" s="148" t="n"/>
      <c r="L436" s="148" t="n"/>
      <c r="M436" s="148" t="n"/>
      <c r="N436" s="148" t="n"/>
      <c r="O436" s="148" t="n"/>
      <c r="P436" s="148" t="n"/>
      <c r="Q436" s="148" t="n"/>
      <c r="R436" s="148" t="n"/>
      <c r="S436" s="148" t="n"/>
      <c r="T436" s="148" t="n"/>
      <c r="U436" s="149">
        <f>IF(AND('Master Stock'!D436&lt;&gt;"",'Master Stock'!H436="OCCUPIED",ISNUMBER('Master Stock'!J436),'Master Stock'!K436=""),SUMPRODUCT(--('Master Stock'!$D$2:$D$1000&lt;&gt;""),--('Master Stock'!$H$2:$H$1000="OCCUPIED"),--ISNUMBER('Master Stock'!$J$2:$J$1000),--('Master Stock'!$K$2:$K$1000=""),--('Master Stock'!$J$2:$J$1000&lt;'Master Stock'!J436))+COUNTIFS('Master Stock'!$J$2:J436,'Master Stock'!J436,'Master Stock'!$D$2:D436,"&lt;&gt;",'Master Stock'!$H$2:H436,"OCCUPIED",'Master Stock'!$K$2:K436,""),"")</f>
        <v/>
      </c>
      <c r="V436" s="149">
        <f>IF(AND('Master Stock'!D436&lt;&gt;"",'Master Stock'!H436="OCCUPIED",ISNUMBER('Master Stock'!L436),'Master Stock'!L436&lt;TODAY()-30),SUMPRODUCT(--('Master Stock'!$D$2:$D$1000&lt;&gt;""),--('Master Stock'!$H$2:$H$1000="OCCUPIED"),--ISNUMBER('Master Stock'!$L$2:$L$1000),--('Master Stock'!$L$2:$L$1000&lt;TODAY()-30),--('Master Stock'!$L$2:$L$1000&lt;'Master Stock'!L436))+COUNTIFS('Master Stock'!$L$2:L436,'Master Stock'!L436,'Master Stock'!$D$2:D436,"&lt;&gt;",'Master Stock'!$H$2:H436,"OCCUPIED"),"")</f>
        <v/>
      </c>
      <c r="W436" s="149" t="n"/>
      <c r="X436" s="149" t="n"/>
      <c r="Y436" s="149" t="n"/>
      <c r="Z436" s="149" t="n"/>
    </row>
    <row r="437" ht="15.75" customHeight="1" s="236">
      <c r="A437" s="148" t="n"/>
      <c r="B437" s="148" t="n"/>
      <c r="C437" s="124" t="n"/>
      <c r="D437" s="148" t="n"/>
      <c r="E437" s="148" t="n"/>
      <c r="F437" s="148" t="n"/>
      <c r="G437" s="124" t="n"/>
      <c r="H437" s="148" t="n"/>
      <c r="I437" s="148" t="n"/>
      <c r="J437" s="148" t="n"/>
      <c r="K437" s="148" t="n"/>
      <c r="L437" s="148" t="n"/>
      <c r="M437" s="148" t="n"/>
      <c r="N437" s="148" t="n"/>
      <c r="O437" s="148" t="n"/>
      <c r="P437" s="148" t="n"/>
      <c r="Q437" s="148" t="n"/>
      <c r="R437" s="148" t="n"/>
      <c r="S437" s="148" t="n"/>
      <c r="T437" s="148" t="n"/>
      <c r="U437" s="149">
        <f>IF(AND('Master Stock'!D437&lt;&gt;"",'Master Stock'!H437="OCCUPIED",ISNUMBER('Master Stock'!J437),'Master Stock'!K437=""),SUMPRODUCT(--('Master Stock'!$D$2:$D$1000&lt;&gt;""),--('Master Stock'!$H$2:$H$1000="OCCUPIED"),--ISNUMBER('Master Stock'!$J$2:$J$1000),--('Master Stock'!$K$2:$K$1000=""),--('Master Stock'!$J$2:$J$1000&lt;'Master Stock'!J437))+COUNTIFS('Master Stock'!$J$2:J437,'Master Stock'!J437,'Master Stock'!$D$2:D437,"&lt;&gt;",'Master Stock'!$H$2:H437,"OCCUPIED",'Master Stock'!$K$2:K437,""),"")</f>
        <v/>
      </c>
      <c r="V437" s="149">
        <f>IF(AND('Master Stock'!D437&lt;&gt;"",'Master Stock'!H437="OCCUPIED",ISNUMBER('Master Stock'!L437),'Master Stock'!L437&lt;TODAY()-30),SUMPRODUCT(--('Master Stock'!$D$2:$D$1000&lt;&gt;""),--('Master Stock'!$H$2:$H$1000="OCCUPIED"),--ISNUMBER('Master Stock'!$L$2:$L$1000),--('Master Stock'!$L$2:$L$1000&lt;TODAY()-30),--('Master Stock'!$L$2:$L$1000&lt;'Master Stock'!L437))+COUNTIFS('Master Stock'!$L$2:L437,'Master Stock'!L437,'Master Stock'!$D$2:D437,"&lt;&gt;",'Master Stock'!$H$2:H437,"OCCUPIED"),"")</f>
        <v/>
      </c>
      <c r="W437" s="149" t="n"/>
      <c r="X437" s="149" t="n"/>
      <c r="Y437" s="149" t="n"/>
      <c r="Z437" s="149" t="n"/>
    </row>
    <row r="438" ht="15.75" customHeight="1" s="236">
      <c r="A438" s="148" t="n"/>
      <c r="B438" s="148" t="n"/>
      <c r="C438" s="124" t="n"/>
      <c r="D438" s="148" t="n"/>
      <c r="E438" s="148" t="n"/>
      <c r="F438" s="148" t="n"/>
      <c r="G438" s="124" t="n"/>
      <c r="H438" s="148" t="n"/>
      <c r="I438" s="148" t="n"/>
      <c r="J438" s="148" t="n"/>
      <c r="K438" s="148" t="n"/>
      <c r="L438" s="148" t="n"/>
      <c r="M438" s="148" t="n"/>
      <c r="N438" s="148" t="n"/>
      <c r="O438" s="148" t="n"/>
      <c r="P438" s="148" t="n"/>
      <c r="Q438" s="148" t="n"/>
      <c r="R438" s="148" t="n"/>
      <c r="S438" s="148" t="n"/>
      <c r="T438" s="148" t="n"/>
      <c r="U438" s="149">
        <f>IF(AND('Master Stock'!D438&lt;&gt;"",'Master Stock'!H438="OCCUPIED",ISNUMBER('Master Stock'!J438),'Master Stock'!K438=""),SUMPRODUCT(--('Master Stock'!$D$2:$D$1000&lt;&gt;""),--('Master Stock'!$H$2:$H$1000="OCCUPIED"),--ISNUMBER('Master Stock'!$J$2:$J$1000),--('Master Stock'!$K$2:$K$1000=""),--('Master Stock'!$J$2:$J$1000&lt;'Master Stock'!J438))+COUNTIFS('Master Stock'!$J$2:J438,'Master Stock'!J438,'Master Stock'!$D$2:D438,"&lt;&gt;",'Master Stock'!$H$2:H438,"OCCUPIED",'Master Stock'!$K$2:K438,""),"")</f>
        <v/>
      </c>
      <c r="V438" s="149">
        <f>IF(AND('Master Stock'!D438&lt;&gt;"",'Master Stock'!H438="OCCUPIED",ISNUMBER('Master Stock'!L438),'Master Stock'!L438&lt;TODAY()-30),SUMPRODUCT(--('Master Stock'!$D$2:$D$1000&lt;&gt;""),--('Master Stock'!$H$2:$H$1000="OCCUPIED"),--ISNUMBER('Master Stock'!$L$2:$L$1000),--('Master Stock'!$L$2:$L$1000&lt;TODAY()-30),--('Master Stock'!$L$2:$L$1000&lt;'Master Stock'!L438))+COUNTIFS('Master Stock'!$L$2:L438,'Master Stock'!L438,'Master Stock'!$D$2:D438,"&lt;&gt;",'Master Stock'!$H$2:H438,"OCCUPIED"),"")</f>
        <v/>
      </c>
      <c r="W438" s="149" t="n"/>
      <c r="X438" s="149" t="n"/>
      <c r="Y438" s="149" t="n"/>
      <c r="Z438" s="149" t="n"/>
    </row>
    <row r="439" ht="15.75" customHeight="1" s="236">
      <c r="A439" s="148" t="n"/>
      <c r="B439" s="148" t="n"/>
      <c r="C439" s="124" t="n"/>
      <c r="D439" s="148" t="n"/>
      <c r="E439" s="148" t="n"/>
      <c r="F439" s="148" t="n"/>
      <c r="G439" s="124" t="n"/>
      <c r="H439" s="148" t="n"/>
      <c r="I439" s="148" t="n"/>
      <c r="J439" s="148" t="n"/>
      <c r="K439" s="148" t="n"/>
      <c r="L439" s="148" t="n"/>
      <c r="M439" s="148" t="n"/>
      <c r="N439" s="148" t="n"/>
      <c r="O439" s="148" t="n"/>
      <c r="P439" s="148" t="n"/>
      <c r="Q439" s="148" t="n"/>
      <c r="R439" s="148" t="n"/>
      <c r="S439" s="148" t="n"/>
      <c r="T439" s="148" t="n"/>
      <c r="U439" s="149">
        <f>IF(AND('Master Stock'!D439&lt;&gt;"",'Master Stock'!H439="OCCUPIED",ISNUMBER('Master Stock'!J439),'Master Stock'!K439=""),SUMPRODUCT(--('Master Stock'!$D$2:$D$1000&lt;&gt;""),--('Master Stock'!$H$2:$H$1000="OCCUPIED"),--ISNUMBER('Master Stock'!$J$2:$J$1000),--('Master Stock'!$K$2:$K$1000=""),--('Master Stock'!$J$2:$J$1000&lt;'Master Stock'!J439))+COUNTIFS('Master Stock'!$J$2:J439,'Master Stock'!J439,'Master Stock'!$D$2:D439,"&lt;&gt;",'Master Stock'!$H$2:H439,"OCCUPIED",'Master Stock'!$K$2:K439,""),"")</f>
        <v/>
      </c>
      <c r="V439" s="149">
        <f>IF(AND('Master Stock'!D439&lt;&gt;"",'Master Stock'!H439="OCCUPIED",ISNUMBER('Master Stock'!L439),'Master Stock'!L439&lt;TODAY()-30),SUMPRODUCT(--('Master Stock'!$D$2:$D$1000&lt;&gt;""),--('Master Stock'!$H$2:$H$1000="OCCUPIED"),--ISNUMBER('Master Stock'!$L$2:$L$1000),--('Master Stock'!$L$2:$L$1000&lt;TODAY()-30),--('Master Stock'!$L$2:$L$1000&lt;'Master Stock'!L439))+COUNTIFS('Master Stock'!$L$2:L439,'Master Stock'!L439,'Master Stock'!$D$2:D439,"&lt;&gt;",'Master Stock'!$H$2:H439,"OCCUPIED"),"")</f>
        <v/>
      </c>
      <c r="W439" s="149" t="n"/>
      <c r="X439" s="149" t="n"/>
      <c r="Y439" s="149" t="n"/>
      <c r="Z439" s="149" t="n"/>
    </row>
    <row r="440" ht="15.75" customHeight="1" s="236">
      <c r="A440" s="148" t="n"/>
      <c r="B440" s="148" t="n"/>
      <c r="C440" s="124" t="n"/>
      <c r="D440" s="148" t="n"/>
      <c r="E440" s="148" t="n"/>
      <c r="F440" s="148" t="n"/>
      <c r="G440" s="124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9">
        <f>IF(AND('Master Stock'!D440&lt;&gt;"",'Master Stock'!H440="OCCUPIED",ISNUMBER('Master Stock'!J440),'Master Stock'!K440=""),SUMPRODUCT(--('Master Stock'!$D$2:$D$1000&lt;&gt;""),--('Master Stock'!$H$2:$H$1000="OCCUPIED"),--ISNUMBER('Master Stock'!$J$2:$J$1000),--('Master Stock'!$K$2:$K$1000=""),--('Master Stock'!$J$2:$J$1000&lt;'Master Stock'!J440))+COUNTIFS('Master Stock'!$J$2:J440,'Master Stock'!J440,'Master Stock'!$D$2:D440,"&lt;&gt;",'Master Stock'!$H$2:H440,"OCCUPIED",'Master Stock'!$K$2:K440,""),"")</f>
        <v/>
      </c>
      <c r="V440" s="149">
        <f>IF(AND('Master Stock'!D440&lt;&gt;"",'Master Stock'!H440="OCCUPIED",ISNUMBER('Master Stock'!L440),'Master Stock'!L440&lt;TODAY()-30),SUMPRODUCT(--('Master Stock'!$D$2:$D$1000&lt;&gt;""),--('Master Stock'!$H$2:$H$1000="OCCUPIED"),--ISNUMBER('Master Stock'!$L$2:$L$1000),--('Master Stock'!$L$2:$L$1000&lt;TODAY()-30),--('Master Stock'!$L$2:$L$1000&lt;'Master Stock'!L440))+COUNTIFS('Master Stock'!$L$2:L440,'Master Stock'!L440,'Master Stock'!$D$2:D440,"&lt;&gt;",'Master Stock'!$H$2:H440,"OCCUPIED"),"")</f>
        <v/>
      </c>
      <c r="W440" s="149" t="n"/>
      <c r="X440" s="149" t="n"/>
      <c r="Y440" s="149" t="n"/>
      <c r="Z440" s="149" t="n"/>
    </row>
    <row r="441" ht="15.75" customHeight="1" s="236">
      <c r="A441" s="148" t="n"/>
      <c r="B441" s="148" t="n"/>
      <c r="C441" s="124" t="n"/>
      <c r="D441" s="148" t="n"/>
      <c r="E441" s="148" t="n"/>
      <c r="F441" s="148" t="n"/>
      <c r="G441" s="124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9">
        <f>IF(AND('Master Stock'!D441&lt;&gt;"",'Master Stock'!H441="OCCUPIED",ISNUMBER('Master Stock'!J441),'Master Stock'!K441=""),SUMPRODUCT(--('Master Stock'!$D$2:$D$1000&lt;&gt;""),--('Master Stock'!$H$2:$H$1000="OCCUPIED"),--ISNUMBER('Master Stock'!$J$2:$J$1000),--('Master Stock'!$K$2:$K$1000=""),--('Master Stock'!$J$2:$J$1000&lt;'Master Stock'!J441))+COUNTIFS('Master Stock'!$J$2:J441,'Master Stock'!J441,'Master Stock'!$D$2:D441,"&lt;&gt;",'Master Stock'!$H$2:H441,"OCCUPIED",'Master Stock'!$K$2:K441,""),"")</f>
        <v/>
      </c>
      <c r="V441" s="149">
        <f>IF(AND('Master Stock'!D441&lt;&gt;"",'Master Stock'!H441="OCCUPIED",ISNUMBER('Master Stock'!L441),'Master Stock'!L441&lt;TODAY()-30),SUMPRODUCT(--('Master Stock'!$D$2:$D$1000&lt;&gt;""),--('Master Stock'!$H$2:$H$1000="OCCUPIED"),--ISNUMBER('Master Stock'!$L$2:$L$1000),--('Master Stock'!$L$2:$L$1000&lt;TODAY()-30),--('Master Stock'!$L$2:$L$1000&lt;'Master Stock'!L441))+COUNTIFS('Master Stock'!$L$2:L441,'Master Stock'!L441,'Master Stock'!$D$2:D441,"&lt;&gt;",'Master Stock'!$H$2:H441,"OCCUPIED"),"")</f>
        <v/>
      </c>
      <c r="W441" s="149" t="n"/>
      <c r="X441" s="149" t="n"/>
      <c r="Y441" s="149" t="n"/>
      <c r="Z441" s="149" t="n"/>
    </row>
    <row r="442" ht="15.75" customHeight="1" s="236">
      <c r="A442" s="148" t="n"/>
      <c r="B442" s="148" t="n"/>
      <c r="C442" s="124" t="n"/>
      <c r="D442" s="148" t="n"/>
      <c r="E442" s="148" t="n"/>
      <c r="F442" s="148" t="n"/>
      <c r="G442" s="124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9">
        <f>IF(AND('Master Stock'!D442&lt;&gt;"",'Master Stock'!H442="OCCUPIED",ISNUMBER('Master Stock'!J442),'Master Stock'!K442=""),SUMPRODUCT(--('Master Stock'!$D$2:$D$1000&lt;&gt;""),--('Master Stock'!$H$2:$H$1000="OCCUPIED"),--ISNUMBER('Master Stock'!$J$2:$J$1000),--('Master Stock'!$K$2:$K$1000=""),--('Master Stock'!$J$2:$J$1000&lt;'Master Stock'!J442))+COUNTIFS('Master Stock'!$J$2:J442,'Master Stock'!J442,'Master Stock'!$D$2:D442,"&lt;&gt;",'Master Stock'!$H$2:H442,"OCCUPIED",'Master Stock'!$K$2:K442,""),"")</f>
        <v/>
      </c>
      <c r="V442" s="149">
        <f>IF(AND('Master Stock'!D442&lt;&gt;"",'Master Stock'!H442="OCCUPIED",ISNUMBER('Master Stock'!L442),'Master Stock'!L442&lt;TODAY()-30),SUMPRODUCT(--('Master Stock'!$D$2:$D$1000&lt;&gt;""),--('Master Stock'!$H$2:$H$1000="OCCUPIED"),--ISNUMBER('Master Stock'!$L$2:$L$1000),--('Master Stock'!$L$2:$L$1000&lt;TODAY()-30),--('Master Stock'!$L$2:$L$1000&lt;'Master Stock'!L442))+COUNTIFS('Master Stock'!$L$2:L442,'Master Stock'!L442,'Master Stock'!$D$2:D442,"&lt;&gt;",'Master Stock'!$H$2:H442,"OCCUPIED"),"")</f>
        <v/>
      </c>
      <c r="W442" s="149" t="n"/>
      <c r="X442" s="149" t="n"/>
      <c r="Y442" s="149" t="n"/>
      <c r="Z442" s="149" t="n"/>
    </row>
    <row r="443" ht="15.75" customHeight="1" s="236">
      <c r="A443" s="148" t="n"/>
      <c r="B443" s="148" t="n"/>
      <c r="C443" s="124" t="n"/>
      <c r="D443" s="148" t="n"/>
      <c r="E443" s="148" t="n"/>
      <c r="F443" s="148" t="n"/>
      <c r="G443" s="124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9">
        <f>IF(AND('Master Stock'!D443&lt;&gt;"",'Master Stock'!H443="OCCUPIED",ISNUMBER('Master Stock'!J443),'Master Stock'!K443=""),SUMPRODUCT(--('Master Stock'!$D$2:$D$1000&lt;&gt;""),--('Master Stock'!$H$2:$H$1000="OCCUPIED"),--ISNUMBER('Master Stock'!$J$2:$J$1000),--('Master Stock'!$K$2:$K$1000=""),--('Master Stock'!$J$2:$J$1000&lt;'Master Stock'!J443))+COUNTIFS('Master Stock'!$J$2:J443,'Master Stock'!J443,'Master Stock'!$D$2:D443,"&lt;&gt;",'Master Stock'!$H$2:H443,"OCCUPIED",'Master Stock'!$K$2:K443,""),"")</f>
        <v/>
      </c>
      <c r="V443" s="149">
        <f>IF(AND('Master Stock'!D443&lt;&gt;"",'Master Stock'!H443="OCCUPIED",ISNUMBER('Master Stock'!L443),'Master Stock'!L443&lt;TODAY()-30),SUMPRODUCT(--('Master Stock'!$D$2:$D$1000&lt;&gt;""),--('Master Stock'!$H$2:$H$1000="OCCUPIED"),--ISNUMBER('Master Stock'!$L$2:$L$1000),--('Master Stock'!$L$2:$L$1000&lt;TODAY()-30),--('Master Stock'!$L$2:$L$1000&lt;'Master Stock'!L443))+COUNTIFS('Master Stock'!$L$2:L443,'Master Stock'!L443,'Master Stock'!$D$2:D443,"&lt;&gt;",'Master Stock'!$H$2:H443,"OCCUPIED"),"")</f>
        <v/>
      </c>
      <c r="W443" s="149" t="n"/>
      <c r="X443" s="149" t="n"/>
      <c r="Y443" s="149" t="n"/>
      <c r="Z443" s="149" t="n"/>
    </row>
    <row r="444" ht="15.75" customHeight="1" s="236">
      <c r="A444" s="148" t="n"/>
      <c r="B444" s="148" t="n"/>
      <c r="C444" s="124" t="n"/>
      <c r="D444" s="148" t="n"/>
      <c r="E444" s="148" t="n"/>
      <c r="F444" s="148" t="n"/>
      <c r="G444" s="124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9">
        <f>IF(AND('Master Stock'!D444&lt;&gt;"",'Master Stock'!H444="OCCUPIED",ISNUMBER('Master Stock'!J444),'Master Stock'!K444=""),SUMPRODUCT(--('Master Stock'!$D$2:$D$1000&lt;&gt;""),--('Master Stock'!$H$2:$H$1000="OCCUPIED"),--ISNUMBER('Master Stock'!$J$2:$J$1000),--('Master Stock'!$K$2:$K$1000=""),--('Master Stock'!$J$2:$J$1000&lt;'Master Stock'!J444))+COUNTIFS('Master Stock'!$J$2:J444,'Master Stock'!J444,'Master Stock'!$D$2:D444,"&lt;&gt;",'Master Stock'!$H$2:H444,"OCCUPIED",'Master Stock'!$K$2:K444,""),"")</f>
        <v/>
      </c>
      <c r="V444" s="149">
        <f>IF(AND('Master Stock'!D444&lt;&gt;"",'Master Stock'!H444="OCCUPIED",ISNUMBER('Master Stock'!L444),'Master Stock'!L444&lt;TODAY()-30),SUMPRODUCT(--('Master Stock'!$D$2:$D$1000&lt;&gt;""),--('Master Stock'!$H$2:$H$1000="OCCUPIED"),--ISNUMBER('Master Stock'!$L$2:$L$1000),--('Master Stock'!$L$2:$L$1000&lt;TODAY()-30),--('Master Stock'!$L$2:$L$1000&lt;'Master Stock'!L444))+COUNTIFS('Master Stock'!$L$2:L444,'Master Stock'!L444,'Master Stock'!$D$2:D444,"&lt;&gt;",'Master Stock'!$H$2:H444,"OCCUPIED"),"")</f>
        <v/>
      </c>
      <c r="W444" s="149" t="n"/>
      <c r="X444" s="149" t="n"/>
      <c r="Y444" s="149" t="n"/>
      <c r="Z444" s="149" t="n"/>
    </row>
    <row r="445" ht="15.75" customHeight="1" s="236">
      <c r="A445" s="148" t="n"/>
      <c r="B445" s="148" t="n"/>
      <c r="C445" s="124" t="n"/>
      <c r="D445" s="148" t="n"/>
      <c r="E445" s="148" t="n"/>
      <c r="F445" s="148" t="n"/>
      <c r="G445" s="124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9">
        <f>IF(AND('Master Stock'!D445&lt;&gt;"",'Master Stock'!H445="OCCUPIED",ISNUMBER('Master Stock'!J445),'Master Stock'!K445=""),SUMPRODUCT(--('Master Stock'!$D$2:$D$1000&lt;&gt;""),--('Master Stock'!$H$2:$H$1000="OCCUPIED"),--ISNUMBER('Master Stock'!$J$2:$J$1000),--('Master Stock'!$K$2:$K$1000=""),--('Master Stock'!$J$2:$J$1000&lt;'Master Stock'!J445))+COUNTIFS('Master Stock'!$J$2:J445,'Master Stock'!J445,'Master Stock'!$D$2:D445,"&lt;&gt;",'Master Stock'!$H$2:H445,"OCCUPIED",'Master Stock'!$K$2:K445,""),"")</f>
        <v/>
      </c>
      <c r="V445" s="149">
        <f>IF(AND('Master Stock'!D445&lt;&gt;"",'Master Stock'!H445="OCCUPIED",ISNUMBER('Master Stock'!L445),'Master Stock'!L445&lt;TODAY()-30),SUMPRODUCT(--('Master Stock'!$D$2:$D$1000&lt;&gt;""),--('Master Stock'!$H$2:$H$1000="OCCUPIED"),--ISNUMBER('Master Stock'!$L$2:$L$1000),--('Master Stock'!$L$2:$L$1000&lt;TODAY()-30),--('Master Stock'!$L$2:$L$1000&lt;'Master Stock'!L445))+COUNTIFS('Master Stock'!$L$2:L445,'Master Stock'!L445,'Master Stock'!$D$2:D445,"&lt;&gt;",'Master Stock'!$H$2:H445,"OCCUPIED"),"")</f>
        <v/>
      </c>
      <c r="W445" s="149" t="n"/>
      <c r="X445" s="149" t="n"/>
      <c r="Y445" s="149" t="n"/>
      <c r="Z445" s="149" t="n"/>
    </row>
    <row r="446" ht="15.75" customHeight="1" s="236">
      <c r="A446" s="148" t="n"/>
      <c r="B446" s="148" t="n"/>
      <c r="C446" s="124" t="n"/>
      <c r="D446" s="148" t="n"/>
      <c r="E446" s="148" t="n"/>
      <c r="F446" s="148" t="n"/>
      <c r="G446" s="124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9">
        <f>IF(AND('Master Stock'!D446&lt;&gt;"",'Master Stock'!H446="OCCUPIED",ISNUMBER('Master Stock'!J446),'Master Stock'!K446=""),SUMPRODUCT(--('Master Stock'!$D$2:$D$1000&lt;&gt;""),--('Master Stock'!$H$2:$H$1000="OCCUPIED"),--ISNUMBER('Master Stock'!$J$2:$J$1000),--('Master Stock'!$K$2:$K$1000=""),--('Master Stock'!$J$2:$J$1000&lt;'Master Stock'!J446))+COUNTIFS('Master Stock'!$J$2:J446,'Master Stock'!J446,'Master Stock'!$D$2:D446,"&lt;&gt;",'Master Stock'!$H$2:H446,"OCCUPIED",'Master Stock'!$K$2:K446,""),"")</f>
        <v/>
      </c>
      <c r="V446" s="149">
        <f>IF(AND('Master Stock'!D446&lt;&gt;"",'Master Stock'!H446="OCCUPIED",ISNUMBER('Master Stock'!L446),'Master Stock'!L446&lt;TODAY()-30),SUMPRODUCT(--('Master Stock'!$D$2:$D$1000&lt;&gt;""),--('Master Stock'!$H$2:$H$1000="OCCUPIED"),--ISNUMBER('Master Stock'!$L$2:$L$1000),--('Master Stock'!$L$2:$L$1000&lt;TODAY()-30),--('Master Stock'!$L$2:$L$1000&lt;'Master Stock'!L446))+COUNTIFS('Master Stock'!$L$2:L446,'Master Stock'!L446,'Master Stock'!$D$2:D446,"&lt;&gt;",'Master Stock'!$H$2:H446,"OCCUPIED"),"")</f>
        <v/>
      </c>
      <c r="W446" s="149" t="n"/>
      <c r="X446" s="149" t="n"/>
      <c r="Y446" s="149" t="n"/>
      <c r="Z446" s="149" t="n"/>
    </row>
    <row r="447" ht="15.75" customHeight="1" s="236">
      <c r="A447" s="148" t="n"/>
      <c r="B447" s="148" t="n"/>
      <c r="C447" s="124" t="n"/>
      <c r="D447" s="148" t="n"/>
      <c r="E447" s="148" t="n"/>
      <c r="F447" s="148" t="n"/>
      <c r="G447" s="124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9">
        <f>IF(AND('Master Stock'!D447&lt;&gt;"",'Master Stock'!H447="OCCUPIED",ISNUMBER('Master Stock'!J447),'Master Stock'!K447=""),SUMPRODUCT(--('Master Stock'!$D$2:$D$1000&lt;&gt;""),--('Master Stock'!$H$2:$H$1000="OCCUPIED"),--ISNUMBER('Master Stock'!$J$2:$J$1000),--('Master Stock'!$K$2:$K$1000=""),--('Master Stock'!$J$2:$J$1000&lt;'Master Stock'!J447))+COUNTIFS('Master Stock'!$J$2:J447,'Master Stock'!J447,'Master Stock'!$D$2:D447,"&lt;&gt;",'Master Stock'!$H$2:H447,"OCCUPIED",'Master Stock'!$K$2:K447,""),"")</f>
        <v/>
      </c>
      <c r="V447" s="149">
        <f>IF(AND('Master Stock'!D447&lt;&gt;"",'Master Stock'!H447="OCCUPIED",ISNUMBER('Master Stock'!L447),'Master Stock'!L447&lt;TODAY()-30),SUMPRODUCT(--('Master Stock'!$D$2:$D$1000&lt;&gt;""),--('Master Stock'!$H$2:$H$1000="OCCUPIED"),--ISNUMBER('Master Stock'!$L$2:$L$1000),--('Master Stock'!$L$2:$L$1000&lt;TODAY()-30),--('Master Stock'!$L$2:$L$1000&lt;'Master Stock'!L447))+COUNTIFS('Master Stock'!$L$2:L447,'Master Stock'!L447,'Master Stock'!$D$2:D447,"&lt;&gt;",'Master Stock'!$H$2:H447,"OCCUPIED"),"")</f>
        <v/>
      </c>
      <c r="W447" s="149" t="n"/>
      <c r="X447" s="149" t="n"/>
      <c r="Y447" s="149" t="n"/>
      <c r="Z447" s="149" t="n"/>
    </row>
    <row r="448" ht="15.75" customHeight="1" s="236">
      <c r="A448" s="148" t="n"/>
      <c r="B448" s="148" t="n"/>
      <c r="C448" s="124" t="n"/>
      <c r="D448" s="148" t="n"/>
      <c r="E448" s="148" t="n"/>
      <c r="F448" s="148" t="n"/>
      <c r="G448" s="124" t="n"/>
      <c r="H448" s="148" t="n"/>
      <c r="I448" s="148" t="n"/>
      <c r="J448" s="148" t="n"/>
      <c r="K448" s="148" t="n"/>
      <c r="L448" s="148" t="n"/>
      <c r="M448" s="148" t="n"/>
      <c r="N448" s="148" t="n"/>
      <c r="O448" s="148" t="n"/>
      <c r="P448" s="148" t="n"/>
      <c r="Q448" s="148" t="n"/>
      <c r="R448" s="148" t="n"/>
      <c r="S448" s="148" t="n"/>
      <c r="T448" s="148" t="n"/>
      <c r="U448" s="149">
        <f>IF(AND('Master Stock'!D448&lt;&gt;"",'Master Stock'!H448="OCCUPIED",ISNUMBER('Master Stock'!J448),'Master Stock'!K448=""),SUMPRODUCT(--('Master Stock'!$D$2:$D$1000&lt;&gt;""),--('Master Stock'!$H$2:$H$1000="OCCUPIED"),--ISNUMBER('Master Stock'!$J$2:$J$1000),--('Master Stock'!$K$2:$K$1000=""),--('Master Stock'!$J$2:$J$1000&lt;'Master Stock'!J448))+COUNTIFS('Master Stock'!$J$2:J448,'Master Stock'!J448,'Master Stock'!$D$2:D448,"&lt;&gt;",'Master Stock'!$H$2:H448,"OCCUPIED",'Master Stock'!$K$2:K448,""),"")</f>
        <v/>
      </c>
      <c r="V448" s="149">
        <f>IF(AND('Master Stock'!D448&lt;&gt;"",'Master Stock'!H448="OCCUPIED",ISNUMBER('Master Stock'!L448),'Master Stock'!L448&lt;TODAY()-30),SUMPRODUCT(--('Master Stock'!$D$2:$D$1000&lt;&gt;""),--('Master Stock'!$H$2:$H$1000="OCCUPIED"),--ISNUMBER('Master Stock'!$L$2:$L$1000),--('Master Stock'!$L$2:$L$1000&lt;TODAY()-30),--('Master Stock'!$L$2:$L$1000&lt;'Master Stock'!L448))+COUNTIFS('Master Stock'!$L$2:L448,'Master Stock'!L448,'Master Stock'!$D$2:D448,"&lt;&gt;",'Master Stock'!$H$2:H448,"OCCUPIED"),"")</f>
        <v/>
      </c>
      <c r="W448" s="149" t="n"/>
      <c r="X448" s="149" t="n"/>
      <c r="Y448" s="149" t="n"/>
      <c r="Z448" s="149" t="n"/>
    </row>
    <row r="449" ht="15.75" customHeight="1" s="236">
      <c r="A449" s="148" t="n"/>
      <c r="B449" s="148" t="n"/>
      <c r="C449" s="124" t="n"/>
      <c r="D449" s="148" t="n"/>
      <c r="E449" s="148" t="n"/>
      <c r="F449" s="148" t="n"/>
      <c r="G449" s="124" t="n"/>
      <c r="H449" s="148" t="n"/>
      <c r="I449" s="148" t="n"/>
      <c r="J449" s="148" t="n"/>
      <c r="K449" s="148" t="n"/>
      <c r="L449" s="148" t="n"/>
      <c r="M449" s="148" t="n"/>
      <c r="N449" s="148" t="n"/>
      <c r="O449" s="148" t="n"/>
      <c r="P449" s="148" t="n"/>
      <c r="Q449" s="148" t="n"/>
      <c r="R449" s="148" t="n"/>
      <c r="S449" s="148" t="n"/>
      <c r="T449" s="148" t="n"/>
      <c r="U449" s="149">
        <f>IF(AND('Master Stock'!D449&lt;&gt;"",'Master Stock'!H449="OCCUPIED",ISNUMBER('Master Stock'!J449),'Master Stock'!K449=""),SUMPRODUCT(--('Master Stock'!$D$2:$D$1000&lt;&gt;""),--('Master Stock'!$H$2:$H$1000="OCCUPIED"),--ISNUMBER('Master Stock'!$J$2:$J$1000),--('Master Stock'!$K$2:$K$1000=""),--('Master Stock'!$J$2:$J$1000&lt;'Master Stock'!J449))+COUNTIFS('Master Stock'!$J$2:J449,'Master Stock'!J449,'Master Stock'!$D$2:D449,"&lt;&gt;",'Master Stock'!$H$2:H449,"OCCUPIED",'Master Stock'!$K$2:K449,""),"")</f>
        <v/>
      </c>
      <c r="V449" s="149">
        <f>IF(AND('Master Stock'!D449&lt;&gt;"",'Master Stock'!H449="OCCUPIED",ISNUMBER('Master Stock'!L449),'Master Stock'!L449&lt;TODAY()-30),SUMPRODUCT(--('Master Stock'!$D$2:$D$1000&lt;&gt;""),--('Master Stock'!$H$2:$H$1000="OCCUPIED"),--ISNUMBER('Master Stock'!$L$2:$L$1000),--('Master Stock'!$L$2:$L$1000&lt;TODAY()-30),--('Master Stock'!$L$2:$L$1000&lt;'Master Stock'!L449))+COUNTIFS('Master Stock'!$L$2:L449,'Master Stock'!L449,'Master Stock'!$D$2:D449,"&lt;&gt;",'Master Stock'!$H$2:H449,"OCCUPIED"),"")</f>
        <v/>
      </c>
      <c r="W449" s="149" t="n"/>
      <c r="X449" s="149" t="n"/>
      <c r="Y449" s="149" t="n"/>
      <c r="Z449" s="149" t="n"/>
    </row>
    <row r="450" ht="15.75" customHeight="1" s="236">
      <c r="A450" s="148" t="n"/>
      <c r="B450" s="148" t="n"/>
      <c r="C450" s="124" t="n"/>
      <c r="D450" s="148" t="n"/>
      <c r="E450" s="148" t="n"/>
      <c r="F450" s="148" t="n"/>
      <c r="G450" s="124" t="n"/>
      <c r="H450" s="148" t="n"/>
      <c r="I450" s="148" t="n"/>
      <c r="J450" s="148" t="n"/>
      <c r="K450" s="148" t="n"/>
      <c r="L450" s="148" t="n"/>
      <c r="M450" s="148" t="n"/>
      <c r="N450" s="148" t="n"/>
      <c r="O450" s="148" t="n"/>
      <c r="P450" s="148" t="n"/>
      <c r="Q450" s="148" t="n"/>
      <c r="R450" s="148" t="n"/>
      <c r="S450" s="148" t="n"/>
      <c r="T450" s="148" t="n"/>
      <c r="U450" s="149">
        <f>IF(AND('Master Stock'!D450&lt;&gt;"",'Master Stock'!H450="OCCUPIED",ISNUMBER('Master Stock'!J450),'Master Stock'!K450=""),SUMPRODUCT(--('Master Stock'!$D$2:$D$1000&lt;&gt;""),--('Master Stock'!$H$2:$H$1000="OCCUPIED"),--ISNUMBER('Master Stock'!$J$2:$J$1000),--('Master Stock'!$K$2:$K$1000=""),--('Master Stock'!$J$2:$J$1000&lt;'Master Stock'!J450))+COUNTIFS('Master Stock'!$J$2:J450,'Master Stock'!J450,'Master Stock'!$D$2:D450,"&lt;&gt;",'Master Stock'!$H$2:H450,"OCCUPIED",'Master Stock'!$K$2:K450,""),"")</f>
        <v/>
      </c>
      <c r="V450" s="149">
        <f>IF(AND('Master Stock'!D450&lt;&gt;"",'Master Stock'!H450="OCCUPIED",ISNUMBER('Master Stock'!L450),'Master Stock'!L450&lt;TODAY()-30),SUMPRODUCT(--('Master Stock'!$D$2:$D$1000&lt;&gt;""),--('Master Stock'!$H$2:$H$1000="OCCUPIED"),--ISNUMBER('Master Stock'!$L$2:$L$1000),--('Master Stock'!$L$2:$L$1000&lt;TODAY()-30),--('Master Stock'!$L$2:$L$1000&lt;'Master Stock'!L450))+COUNTIFS('Master Stock'!$L$2:L450,'Master Stock'!L450,'Master Stock'!$D$2:D450,"&lt;&gt;",'Master Stock'!$H$2:H450,"OCCUPIED"),"")</f>
        <v/>
      </c>
      <c r="W450" s="149" t="n"/>
      <c r="X450" s="149" t="n"/>
      <c r="Y450" s="149" t="n"/>
      <c r="Z450" s="149" t="n"/>
    </row>
    <row r="451" ht="15.75" customHeight="1" s="236">
      <c r="A451" s="148" t="n"/>
      <c r="B451" s="148" t="n"/>
      <c r="C451" s="124" t="n"/>
      <c r="D451" s="148" t="n"/>
      <c r="E451" s="148" t="n"/>
      <c r="F451" s="148" t="n"/>
      <c r="G451" s="124" t="n"/>
      <c r="H451" s="148" t="n"/>
      <c r="I451" s="148" t="n"/>
      <c r="J451" s="148" t="n"/>
      <c r="K451" s="148" t="n"/>
      <c r="L451" s="148" t="n"/>
      <c r="M451" s="148" t="n"/>
      <c r="N451" s="148" t="n"/>
      <c r="O451" s="148" t="n"/>
      <c r="P451" s="148" t="n"/>
      <c r="Q451" s="148" t="n"/>
      <c r="R451" s="148" t="n"/>
      <c r="S451" s="148" t="n"/>
      <c r="T451" s="148" t="n"/>
      <c r="U451" s="149">
        <f>IF(AND('Master Stock'!D451&lt;&gt;"",'Master Stock'!H451="OCCUPIED",ISNUMBER('Master Stock'!J451),'Master Stock'!K451=""),SUMPRODUCT(--('Master Stock'!$D$2:$D$1000&lt;&gt;""),--('Master Stock'!$H$2:$H$1000="OCCUPIED"),--ISNUMBER('Master Stock'!$J$2:$J$1000),--('Master Stock'!$K$2:$K$1000=""),--('Master Stock'!$J$2:$J$1000&lt;'Master Stock'!J451))+COUNTIFS('Master Stock'!$J$2:J451,'Master Stock'!J451,'Master Stock'!$D$2:D451,"&lt;&gt;",'Master Stock'!$H$2:H451,"OCCUPIED",'Master Stock'!$K$2:K451,""),"")</f>
        <v/>
      </c>
      <c r="V451" s="149">
        <f>IF(AND('Master Stock'!D451&lt;&gt;"",'Master Stock'!H451="OCCUPIED",ISNUMBER('Master Stock'!L451),'Master Stock'!L451&lt;TODAY()-30),SUMPRODUCT(--('Master Stock'!$D$2:$D$1000&lt;&gt;""),--('Master Stock'!$H$2:$H$1000="OCCUPIED"),--ISNUMBER('Master Stock'!$L$2:$L$1000),--('Master Stock'!$L$2:$L$1000&lt;TODAY()-30),--('Master Stock'!$L$2:$L$1000&lt;'Master Stock'!L451))+COUNTIFS('Master Stock'!$L$2:L451,'Master Stock'!L451,'Master Stock'!$D$2:D451,"&lt;&gt;",'Master Stock'!$H$2:H451,"OCCUPIED"),"")</f>
        <v/>
      </c>
      <c r="W451" s="149" t="n"/>
      <c r="X451" s="149" t="n"/>
      <c r="Y451" s="149" t="n"/>
      <c r="Z451" s="149" t="n"/>
    </row>
    <row r="452" ht="15.75" customHeight="1" s="236">
      <c r="A452" s="148" t="n"/>
      <c r="B452" s="148" t="n"/>
      <c r="C452" s="124" t="n"/>
      <c r="D452" s="148" t="n"/>
      <c r="E452" s="148" t="n"/>
      <c r="F452" s="148" t="n"/>
      <c r="G452" s="124" t="n"/>
      <c r="H452" s="148" t="n"/>
      <c r="I452" s="148" t="n"/>
      <c r="J452" s="148" t="n"/>
      <c r="K452" s="148" t="n"/>
      <c r="L452" s="148" t="n"/>
      <c r="M452" s="148" t="n"/>
      <c r="N452" s="148" t="n"/>
      <c r="O452" s="148" t="n"/>
      <c r="P452" s="148" t="n"/>
      <c r="Q452" s="148" t="n"/>
      <c r="R452" s="148" t="n"/>
      <c r="S452" s="148" t="n"/>
      <c r="T452" s="148" t="n"/>
      <c r="U452" s="149">
        <f>IF(AND('Master Stock'!D452&lt;&gt;"",'Master Stock'!H452="OCCUPIED",ISNUMBER('Master Stock'!J452),'Master Stock'!K452=""),SUMPRODUCT(--('Master Stock'!$D$2:$D$1000&lt;&gt;""),--('Master Stock'!$H$2:$H$1000="OCCUPIED"),--ISNUMBER('Master Stock'!$J$2:$J$1000),--('Master Stock'!$K$2:$K$1000=""),--('Master Stock'!$J$2:$J$1000&lt;'Master Stock'!J452))+COUNTIFS('Master Stock'!$J$2:J452,'Master Stock'!J452,'Master Stock'!$D$2:D452,"&lt;&gt;",'Master Stock'!$H$2:H452,"OCCUPIED",'Master Stock'!$K$2:K452,""),"")</f>
        <v/>
      </c>
      <c r="V452" s="149">
        <f>IF(AND('Master Stock'!D452&lt;&gt;"",'Master Stock'!H452="OCCUPIED",ISNUMBER('Master Stock'!L452),'Master Stock'!L452&lt;TODAY()-30),SUMPRODUCT(--('Master Stock'!$D$2:$D$1000&lt;&gt;""),--('Master Stock'!$H$2:$H$1000="OCCUPIED"),--ISNUMBER('Master Stock'!$L$2:$L$1000),--('Master Stock'!$L$2:$L$1000&lt;TODAY()-30),--('Master Stock'!$L$2:$L$1000&lt;'Master Stock'!L452))+COUNTIFS('Master Stock'!$L$2:L452,'Master Stock'!L452,'Master Stock'!$D$2:D452,"&lt;&gt;",'Master Stock'!$H$2:H452,"OCCUPIED"),"")</f>
        <v/>
      </c>
      <c r="W452" s="149" t="n"/>
      <c r="X452" s="149" t="n"/>
      <c r="Y452" s="149" t="n"/>
      <c r="Z452" s="149" t="n"/>
    </row>
    <row r="453" ht="15.75" customHeight="1" s="236">
      <c r="A453" s="148" t="n"/>
      <c r="B453" s="148" t="n"/>
      <c r="C453" s="124" t="n"/>
      <c r="D453" s="148" t="n"/>
      <c r="E453" s="148" t="n"/>
      <c r="F453" s="148" t="n"/>
      <c r="G453" s="124" t="n"/>
      <c r="H453" s="148" t="n"/>
      <c r="I453" s="148" t="n"/>
      <c r="J453" s="148" t="n"/>
      <c r="K453" s="148" t="n"/>
      <c r="L453" s="148" t="n"/>
      <c r="M453" s="148" t="n"/>
      <c r="N453" s="148" t="n"/>
      <c r="O453" s="148" t="n"/>
      <c r="P453" s="148" t="n"/>
      <c r="Q453" s="148" t="n"/>
      <c r="R453" s="148" t="n"/>
      <c r="S453" s="148" t="n"/>
      <c r="T453" s="148" t="n"/>
      <c r="U453" s="149">
        <f>IF(AND('Master Stock'!D453&lt;&gt;"",'Master Stock'!H453="OCCUPIED",ISNUMBER('Master Stock'!J453),'Master Stock'!K453=""),SUMPRODUCT(--('Master Stock'!$D$2:$D$1000&lt;&gt;""),--('Master Stock'!$H$2:$H$1000="OCCUPIED"),--ISNUMBER('Master Stock'!$J$2:$J$1000),--('Master Stock'!$K$2:$K$1000=""),--('Master Stock'!$J$2:$J$1000&lt;'Master Stock'!J453))+COUNTIFS('Master Stock'!$J$2:J453,'Master Stock'!J453,'Master Stock'!$D$2:D453,"&lt;&gt;",'Master Stock'!$H$2:H453,"OCCUPIED",'Master Stock'!$K$2:K453,""),"")</f>
        <v/>
      </c>
      <c r="V453" s="149">
        <f>IF(AND('Master Stock'!D453&lt;&gt;"",'Master Stock'!H453="OCCUPIED",ISNUMBER('Master Stock'!L453),'Master Stock'!L453&lt;TODAY()-30),SUMPRODUCT(--('Master Stock'!$D$2:$D$1000&lt;&gt;""),--('Master Stock'!$H$2:$H$1000="OCCUPIED"),--ISNUMBER('Master Stock'!$L$2:$L$1000),--('Master Stock'!$L$2:$L$1000&lt;TODAY()-30),--('Master Stock'!$L$2:$L$1000&lt;'Master Stock'!L453))+COUNTIFS('Master Stock'!$L$2:L453,'Master Stock'!L453,'Master Stock'!$D$2:D453,"&lt;&gt;",'Master Stock'!$H$2:H453,"OCCUPIED"),"")</f>
        <v/>
      </c>
      <c r="W453" s="149" t="n"/>
      <c r="X453" s="149" t="n"/>
      <c r="Y453" s="149" t="n"/>
      <c r="Z453" s="149" t="n"/>
    </row>
    <row r="454" ht="15.75" customHeight="1" s="236">
      <c r="A454" s="148" t="n"/>
      <c r="B454" s="148" t="n"/>
      <c r="C454" s="124" t="n"/>
      <c r="D454" s="148" t="n"/>
      <c r="E454" s="148" t="n"/>
      <c r="F454" s="148" t="n"/>
      <c r="G454" s="124" t="n"/>
      <c r="H454" s="148" t="n"/>
      <c r="I454" s="148" t="n"/>
      <c r="J454" s="148" t="n"/>
      <c r="K454" s="148" t="n"/>
      <c r="L454" s="148" t="n"/>
      <c r="M454" s="148" t="n"/>
      <c r="N454" s="148" t="n"/>
      <c r="O454" s="148" t="n"/>
      <c r="P454" s="148" t="n"/>
      <c r="Q454" s="148" t="n"/>
      <c r="R454" s="148" t="n"/>
      <c r="S454" s="148" t="n"/>
      <c r="T454" s="148" t="n"/>
      <c r="U454" s="149">
        <f>IF(AND('Master Stock'!D454&lt;&gt;"",'Master Stock'!H454="OCCUPIED",ISNUMBER('Master Stock'!J454),'Master Stock'!K454=""),SUMPRODUCT(--('Master Stock'!$D$2:$D$1000&lt;&gt;""),--('Master Stock'!$H$2:$H$1000="OCCUPIED"),--ISNUMBER('Master Stock'!$J$2:$J$1000),--('Master Stock'!$K$2:$K$1000=""),--('Master Stock'!$J$2:$J$1000&lt;'Master Stock'!J454))+COUNTIFS('Master Stock'!$J$2:J454,'Master Stock'!J454,'Master Stock'!$D$2:D454,"&lt;&gt;",'Master Stock'!$H$2:H454,"OCCUPIED",'Master Stock'!$K$2:K454,""),"")</f>
        <v/>
      </c>
      <c r="V454" s="149">
        <f>IF(AND('Master Stock'!D454&lt;&gt;"",'Master Stock'!H454="OCCUPIED",ISNUMBER('Master Stock'!L454),'Master Stock'!L454&lt;TODAY()-30),SUMPRODUCT(--('Master Stock'!$D$2:$D$1000&lt;&gt;""),--('Master Stock'!$H$2:$H$1000="OCCUPIED"),--ISNUMBER('Master Stock'!$L$2:$L$1000),--('Master Stock'!$L$2:$L$1000&lt;TODAY()-30),--('Master Stock'!$L$2:$L$1000&lt;'Master Stock'!L454))+COUNTIFS('Master Stock'!$L$2:L454,'Master Stock'!L454,'Master Stock'!$D$2:D454,"&lt;&gt;",'Master Stock'!$H$2:H454,"OCCUPIED"),"")</f>
        <v/>
      </c>
      <c r="W454" s="149" t="n"/>
      <c r="X454" s="149" t="n"/>
      <c r="Y454" s="149" t="n"/>
      <c r="Z454" s="149" t="n"/>
    </row>
    <row r="455" ht="15.75" customHeight="1" s="236">
      <c r="A455" s="148" t="n"/>
      <c r="B455" s="148" t="n"/>
      <c r="C455" s="124" t="n"/>
      <c r="D455" s="148" t="n"/>
      <c r="E455" s="148" t="n"/>
      <c r="F455" s="148" t="n"/>
      <c r="G455" s="124" t="n"/>
      <c r="H455" s="148" t="n"/>
      <c r="I455" s="148" t="n"/>
      <c r="J455" s="148" t="n"/>
      <c r="K455" s="148" t="n"/>
      <c r="L455" s="148" t="n"/>
      <c r="M455" s="148" t="n"/>
      <c r="N455" s="148" t="n"/>
      <c r="O455" s="148" t="n"/>
      <c r="P455" s="148" t="n"/>
      <c r="Q455" s="148" t="n"/>
      <c r="R455" s="148" t="n"/>
      <c r="S455" s="148" t="n"/>
      <c r="T455" s="148" t="n"/>
      <c r="U455" s="149">
        <f>IF(AND('Master Stock'!D455&lt;&gt;"",'Master Stock'!H455="OCCUPIED",ISNUMBER('Master Stock'!J455),'Master Stock'!K455=""),SUMPRODUCT(--('Master Stock'!$D$2:$D$1000&lt;&gt;""),--('Master Stock'!$H$2:$H$1000="OCCUPIED"),--ISNUMBER('Master Stock'!$J$2:$J$1000),--('Master Stock'!$K$2:$K$1000=""),--('Master Stock'!$J$2:$J$1000&lt;'Master Stock'!J455))+COUNTIFS('Master Stock'!$J$2:J455,'Master Stock'!J455,'Master Stock'!$D$2:D455,"&lt;&gt;",'Master Stock'!$H$2:H455,"OCCUPIED",'Master Stock'!$K$2:K455,""),"")</f>
        <v/>
      </c>
      <c r="V455" s="149">
        <f>IF(AND('Master Stock'!D455&lt;&gt;"",'Master Stock'!H455="OCCUPIED",ISNUMBER('Master Stock'!L455),'Master Stock'!L455&lt;TODAY()-30),SUMPRODUCT(--('Master Stock'!$D$2:$D$1000&lt;&gt;""),--('Master Stock'!$H$2:$H$1000="OCCUPIED"),--ISNUMBER('Master Stock'!$L$2:$L$1000),--('Master Stock'!$L$2:$L$1000&lt;TODAY()-30),--('Master Stock'!$L$2:$L$1000&lt;'Master Stock'!L455))+COUNTIFS('Master Stock'!$L$2:L455,'Master Stock'!L455,'Master Stock'!$D$2:D455,"&lt;&gt;",'Master Stock'!$H$2:H455,"OCCUPIED"),"")</f>
        <v/>
      </c>
      <c r="W455" s="149" t="n"/>
      <c r="X455" s="149" t="n"/>
      <c r="Y455" s="149" t="n"/>
      <c r="Z455" s="149" t="n"/>
    </row>
    <row r="456" ht="15.75" customHeight="1" s="236">
      <c r="A456" s="148" t="n"/>
      <c r="B456" s="148" t="n"/>
      <c r="C456" s="124" t="n"/>
      <c r="D456" s="148" t="n"/>
      <c r="E456" s="148" t="n"/>
      <c r="F456" s="148" t="n"/>
      <c r="G456" s="124" t="n"/>
      <c r="H456" s="148" t="n"/>
      <c r="I456" s="148" t="n"/>
      <c r="J456" s="148" t="n"/>
      <c r="K456" s="148" t="n"/>
      <c r="L456" s="148" t="n"/>
      <c r="M456" s="148" t="n"/>
      <c r="N456" s="148" t="n"/>
      <c r="O456" s="148" t="n"/>
      <c r="P456" s="148" t="n"/>
      <c r="Q456" s="148" t="n"/>
      <c r="R456" s="148" t="n"/>
      <c r="S456" s="148" t="n"/>
      <c r="T456" s="148" t="n"/>
      <c r="U456" s="149">
        <f>IF(AND('Master Stock'!D456&lt;&gt;"",'Master Stock'!H456="OCCUPIED",ISNUMBER('Master Stock'!J456),'Master Stock'!K456=""),SUMPRODUCT(--('Master Stock'!$D$2:$D$1000&lt;&gt;""),--('Master Stock'!$H$2:$H$1000="OCCUPIED"),--ISNUMBER('Master Stock'!$J$2:$J$1000),--('Master Stock'!$K$2:$K$1000=""),--('Master Stock'!$J$2:$J$1000&lt;'Master Stock'!J456))+COUNTIFS('Master Stock'!$J$2:J456,'Master Stock'!J456,'Master Stock'!$D$2:D456,"&lt;&gt;",'Master Stock'!$H$2:H456,"OCCUPIED",'Master Stock'!$K$2:K456,""),"")</f>
        <v/>
      </c>
      <c r="V456" s="149">
        <f>IF(AND('Master Stock'!D456&lt;&gt;"",'Master Stock'!H456="OCCUPIED",ISNUMBER('Master Stock'!L456),'Master Stock'!L456&lt;TODAY()-30),SUMPRODUCT(--('Master Stock'!$D$2:$D$1000&lt;&gt;""),--('Master Stock'!$H$2:$H$1000="OCCUPIED"),--ISNUMBER('Master Stock'!$L$2:$L$1000),--('Master Stock'!$L$2:$L$1000&lt;TODAY()-30),--('Master Stock'!$L$2:$L$1000&lt;'Master Stock'!L456))+COUNTIFS('Master Stock'!$L$2:L456,'Master Stock'!L456,'Master Stock'!$D$2:D456,"&lt;&gt;",'Master Stock'!$H$2:H456,"OCCUPIED"),"")</f>
        <v/>
      </c>
      <c r="W456" s="149" t="n"/>
      <c r="X456" s="149" t="n"/>
      <c r="Y456" s="149" t="n"/>
      <c r="Z456" s="149" t="n"/>
    </row>
    <row r="457" ht="15.75" customHeight="1" s="236">
      <c r="A457" s="148" t="n"/>
      <c r="B457" s="148" t="n"/>
      <c r="C457" s="124" t="n"/>
      <c r="D457" s="148" t="n"/>
      <c r="E457" s="148" t="n"/>
      <c r="F457" s="148" t="n"/>
      <c r="G457" s="124" t="n"/>
      <c r="H457" s="148" t="n"/>
      <c r="I457" s="148" t="n"/>
      <c r="J457" s="148" t="n"/>
      <c r="K457" s="148" t="n"/>
      <c r="L457" s="148" t="n"/>
      <c r="M457" s="148" t="n"/>
      <c r="N457" s="148" t="n"/>
      <c r="O457" s="148" t="n"/>
      <c r="P457" s="148" t="n"/>
      <c r="Q457" s="148" t="n"/>
      <c r="R457" s="148" t="n"/>
      <c r="S457" s="148" t="n"/>
      <c r="T457" s="148" t="n"/>
      <c r="U457" s="149">
        <f>IF(AND('Master Stock'!D457&lt;&gt;"",'Master Stock'!H457="OCCUPIED",ISNUMBER('Master Stock'!J457),'Master Stock'!K457=""),SUMPRODUCT(--('Master Stock'!$D$2:$D$1000&lt;&gt;""),--('Master Stock'!$H$2:$H$1000="OCCUPIED"),--ISNUMBER('Master Stock'!$J$2:$J$1000),--('Master Stock'!$K$2:$K$1000=""),--('Master Stock'!$J$2:$J$1000&lt;'Master Stock'!J457))+COUNTIFS('Master Stock'!$J$2:J457,'Master Stock'!J457,'Master Stock'!$D$2:D457,"&lt;&gt;",'Master Stock'!$H$2:H457,"OCCUPIED",'Master Stock'!$K$2:K457,""),"")</f>
        <v/>
      </c>
      <c r="V457" s="149">
        <f>IF(AND('Master Stock'!D457&lt;&gt;"",'Master Stock'!H457="OCCUPIED",ISNUMBER('Master Stock'!L457),'Master Stock'!L457&lt;TODAY()-30),SUMPRODUCT(--('Master Stock'!$D$2:$D$1000&lt;&gt;""),--('Master Stock'!$H$2:$H$1000="OCCUPIED"),--ISNUMBER('Master Stock'!$L$2:$L$1000),--('Master Stock'!$L$2:$L$1000&lt;TODAY()-30),--('Master Stock'!$L$2:$L$1000&lt;'Master Stock'!L457))+COUNTIFS('Master Stock'!$L$2:L457,'Master Stock'!L457,'Master Stock'!$D$2:D457,"&lt;&gt;",'Master Stock'!$H$2:H457,"OCCUPIED"),"")</f>
        <v/>
      </c>
      <c r="W457" s="149" t="n"/>
      <c r="X457" s="149" t="n"/>
      <c r="Y457" s="149" t="n"/>
      <c r="Z457" s="149" t="n"/>
    </row>
    <row r="458" ht="15.75" customHeight="1" s="236">
      <c r="A458" s="148" t="n"/>
      <c r="B458" s="148" t="n"/>
      <c r="C458" s="124" t="n"/>
      <c r="D458" s="148" t="n"/>
      <c r="E458" s="148" t="n"/>
      <c r="F458" s="148" t="n"/>
      <c r="G458" s="124" t="n"/>
      <c r="H458" s="148" t="n"/>
      <c r="I458" s="148" t="n"/>
      <c r="J458" s="148" t="n"/>
      <c r="K458" s="148" t="n"/>
      <c r="L458" s="148" t="n"/>
      <c r="M458" s="148" t="n"/>
      <c r="N458" s="148" t="n"/>
      <c r="O458" s="148" t="n"/>
      <c r="P458" s="148" t="n"/>
      <c r="Q458" s="148" t="n"/>
      <c r="R458" s="148" t="n"/>
      <c r="S458" s="148" t="n"/>
      <c r="T458" s="148" t="n"/>
      <c r="U458" s="149">
        <f>IF(AND('Master Stock'!D458&lt;&gt;"",'Master Stock'!H458="OCCUPIED",ISNUMBER('Master Stock'!J458),'Master Stock'!K458=""),SUMPRODUCT(--('Master Stock'!$D$2:$D$1000&lt;&gt;""),--('Master Stock'!$H$2:$H$1000="OCCUPIED"),--ISNUMBER('Master Stock'!$J$2:$J$1000),--('Master Stock'!$K$2:$K$1000=""),--('Master Stock'!$J$2:$J$1000&lt;'Master Stock'!J458))+COUNTIFS('Master Stock'!$J$2:J458,'Master Stock'!J458,'Master Stock'!$D$2:D458,"&lt;&gt;",'Master Stock'!$H$2:H458,"OCCUPIED",'Master Stock'!$K$2:K458,""),"")</f>
        <v/>
      </c>
      <c r="V458" s="149">
        <f>IF(AND('Master Stock'!D458&lt;&gt;"",'Master Stock'!H458="OCCUPIED",ISNUMBER('Master Stock'!L458),'Master Stock'!L458&lt;TODAY()-30),SUMPRODUCT(--('Master Stock'!$D$2:$D$1000&lt;&gt;""),--('Master Stock'!$H$2:$H$1000="OCCUPIED"),--ISNUMBER('Master Stock'!$L$2:$L$1000),--('Master Stock'!$L$2:$L$1000&lt;TODAY()-30),--('Master Stock'!$L$2:$L$1000&lt;'Master Stock'!L458))+COUNTIFS('Master Stock'!$L$2:L458,'Master Stock'!L458,'Master Stock'!$D$2:D458,"&lt;&gt;",'Master Stock'!$H$2:H458,"OCCUPIED"),"")</f>
        <v/>
      </c>
      <c r="W458" s="149" t="n"/>
      <c r="X458" s="149" t="n"/>
      <c r="Y458" s="149" t="n"/>
      <c r="Z458" s="149" t="n"/>
    </row>
    <row r="459" ht="15.75" customHeight="1" s="236">
      <c r="A459" s="148" t="n"/>
      <c r="B459" s="148" t="n"/>
      <c r="C459" s="124" t="n"/>
      <c r="D459" s="148" t="n"/>
      <c r="E459" s="148" t="n"/>
      <c r="F459" s="148" t="n"/>
      <c r="G459" s="124" t="n"/>
      <c r="H459" s="148" t="n"/>
      <c r="I459" s="148" t="n"/>
      <c r="J459" s="148" t="n"/>
      <c r="K459" s="148" t="n"/>
      <c r="L459" s="148" t="n"/>
      <c r="M459" s="148" t="n"/>
      <c r="N459" s="148" t="n"/>
      <c r="O459" s="148" t="n"/>
      <c r="P459" s="148" t="n"/>
      <c r="Q459" s="148" t="n"/>
      <c r="R459" s="148" t="n"/>
      <c r="S459" s="148" t="n"/>
      <c r="T459" s="148" t="n"/>
      <c r="U459" s="149">
        <f>IF(AND('Master Stock'!D459&lt;&gt;"",'Master Stock'!H459="OCCUPIED",ISNUMBER('Master Stock'!J459),'Master Stock'!K459=""),SUMPRODUCT(--('Master Stock'!$D$2:$D$1000&lt;&gt;""),--('Master Stock'!$H$2:$H$1000="OCCUPIED"),--ISNUMBER('Master Stock'!$J$2:$J$1000),--('Master Stock'!$K$2:$K$1000=""),--('Master Stock'!$J$2:$J$1000&lt;'Master Stock'!J459))+COUNTIFS('Master Stock'!$J$2:J459,'Master Stock'!J459,'Master Stock'!$D$2:D459,"&lt;&gt;",'Master Stock'!$H$2:H459,"OCCUPIED",'Master Stock'!$K$2:K459,""),"")</f>
        <v/>
      </c>
      <c r="V459" s="149">
        <f>IF(AND('Master Stock'!D459&lt;&gt;"",'Master Stock'!H459="OCCUPIED",ISNUMBER('Master Stock'!L459),'Master Stock'!L459&lt;TODAY()-30),SUMPRODUCT(--('Master Stock'!$D$2:$D$1000&lt;&gt;""),--('Master Stock'!$H$2:$H$1000="OCCUPIED"),--ISNUMBER('Master Stock'!$L$2:$L$1000),--('Master Stock'!$L$2:$L$1000&lt;TODAY()-30),--('Master Stock'!$L$2:$L$1000&lt;'Master Stock'!L459))+COUNTIFS('Master Stock'!$L$2:L459,'Master Stock'!L459,'Master Stock'!$D$2:D459,"&lt;&gt;",'Master Stock'!$H$2:H459,"OCCUPIED"),"")</f>
        <v/>
      </c>
      <c r="W459" s="149" t="n"/>
      <c r="X459" s="149" t="n"/>
      <c r="Y459" s="149" t="n"/>
      <c r="Z459" s="149" t="n"/>
    </row>
    <row r="460" ht="15.75" customHeight="1" s="236">
      <c r="A460" s="148" t="n"/>
      <c r="B460" s="148" t="n"/>
      <c r="C460" s="124" t="n"/>
      <c r="D460" s="148" t="n"/>
      <c r="E460" s="148" t="n"/>
      <c r="F460" s="148" t="n"/>
      <c r="G460" s="124" t="n"/>
      <c r="H460" s="148" t="n"/>
      <c r="I460" s="148" t="n"/>
      <c r="J460" s="148" t="n"/>
      <c r="K460" s="148" t="n"/>
      <c r="L460" s="148" t="n"/>
      <c r="M460" s="148" t="n"/>
      <c r="N460" s="148" t="n"/>
      <c r="O460" s="148" t="n"/>
      <c r="P460" s="148" t="n"/>
      <c r="Q460" s="148" t="n"/>
      <c r="R460" s="148" t="n"/>
      <c r="S460" s="148" t="n"/>
      <c r="T460" s="148" t="n"/>
      <c r="U460" s="149">
        <f>IF(AND('Master Stock'!D460&lt;&gt;"",'Master Stock'!H460="OCCUPIED",ISNUMBER('Master Stock'!J460),'Master Stock'!K460=""),SUMPRODUCT(--('Master Stock'!$D$2:$D$1000&lt;&gt;""),--('Master Stock'!$H$2:$H$1000="OCCUPIED"),--ISNUMBER('Master Stock'!$J$2:$J$1000),--('Master Stock'!$K$2:$K$1000=""),--('Master Stock'!$J$2:$J$1000&lt;'Master Stock'!J460))+COUNTIFS('Master Stock'!$J$2:J460,'Master Stock'!J460,'Master Stock'!$D$2:D460,"&lt;&gt;",'Master Stock'!$H$2:H460,"OCCUPIED",'Master Stock'!$K$2:K460,""),"")</f>
        <v/>
      </c>
      <c r="V460" s="149">
        <f>IF(AND('Master Stock'!D460&lt;&gt;"",'Master Stock'!H460="OCCUPIED",ISNUMBER('Master Stock'!L460),'Master Stock'!L460&lt;TODAY()-30),SUMPRODUCT(--('Master Stock'!$D$2:$D$1000&lt;&gt;""),--('Master Stock'!$H$2:$H$1000="OCCUPIED"),--ISNUMBER('Master Stock'!$L$2:$L$1000),--('Master Stock'!$L$2:$L$1000&lt;TODAY()-30),--('Master Stock'!$L$2:$L$1000&lt;'Master Stock'!L460))+COUNTIFS('Master Stock'!$L$2:L460,'Master Stock'!L460,'Master Stock'!$D$2:D460,"&lt;&gt;",'Master Stock'!$H$2:H460,"OCCUPIED"),"")</f>
        <v/>
      </c>
      <c r="W460" s="149" t="n"/>
      <c r="X460" s="149" t="n"/>
      <c r="Y460" s="149" t="n"/>
      <c r="Z460" s="149" t="n"/>
    </row>
    <row r="461" ht="15.75" customHeight="1" s="236">
      <c r="A461" s="148" t="n"/>
      <c r="B461" s="148" t="n"/>
      <c r="C461" s="124" t="n"/>
      <c r="D461" s="148" t="n"/>
      <c r="E461" s="148" t="n"/>
      <c r="F461" s="148" t="n"/>
      <c r="G461" s="124" t="n"/>
      <c r="H461" s="148" t="n"/>
      <c r="I461" s="148" t="n"/>
      <c r="J461" s="148" t="n"/>
      <c r="K461" s="148" t="n"/>
      <c r="L461" s="148" t="n"/>
      <c r="M461" s="148" t="n"/>
      <c r="N461" s="148" t="n"/>
      <c r="O461" s="148" t="n"/>
      <c r="P461" s="148" t="n"/>
      <c r="Q461" s="148" t="n"/>
      <c r="R461" s="148" t="n"/>
      <c r="S461" s="148" t="n"/>
      <c r="T461" s="148" t="n"/>
      <c r="U461" s="149">
        <f>IF(AND('Master Stock'!D461&lt;&gt;"",'Master Stock'!H461="OCCUPIED",ISNUMBER('Master Stock'!J461),'Master Stock'!K461=""),SUMPRODUCT(--('Master Stock'!$D$2:$D$1000&lt;&gt;""),--('Master Stock'!$H$2:$H$1000="OCCUPIED"),--ISNUMBER('Master Stock'!$J$2:$J$1000),--('Master Stock'!$K$2:$K$1000=""),--('Master Stock'!$J$2:$J$1000&lt;'Master Stock'!J461))+COUNTIFS('Master Stock'!$J$2:J461,'Master Stock'!J461,'Master Stock'!$D$2:D461,"&lt;&gt;",'Master Stock'!$H$2:H461,"OCCUPIED",'Master Stock'!$K$2:K461,""),"")</f>
        <v/>
      </c>
      <c r="V461" s="149">
        <f>IF(AND('Master Stock'!D461&lt;&gt;"",'Master Stock'!H461="OCCUPIED",ISNUMBER('Master Stock'!L461),'Master Stock'!L461&lt;TODAY()-30),SUMPRODUCT(--('Master Stock'!$D$2:$D$1000&lt;&gt;""),--('Master Stock'!$H$2:$H$1000="OCCUPIED"),--ISNUMBER('Master Stock'!$L$2:$L$1000),--('Master Stock'!$L$2:$L$1000&lt;TODAY()-30),--('Master Stock'!$L$2:$L$1000&lt;'Master Stock'!L461))+COUNTIFS('Master Stock'!$L$2:L461,'Master Stock'!L461,'Master Stock'!$D$2:D461,"&lt;&gt;",'Master Stock'!$H$2:H461,"OCCUPIED"),"")</f>
        <v/>
      </c>
      <c r="W461" s="149" t="n"/>
      <c r="X461" s="149" t="n"/>
      <c r="Y461" s="149" t="n"/>
      <c r="Z461" s="149" t="n"/>
    </row>
    <row r="462" ht="15.75" customHeight="1" s="236">
      <c r="A462" s="148" t="n"/>
      <c r="B462" s="148" t="n"/>
      <c r="C462" s="124" t="n"/>
      <c r="D462" s="148" t="n"/>
      <c r="E462" s="148" t="n"/>
      <c r="F462" s="148" t="n"/>
      <c r="G462" s="124" t="n"/>
      <c r="H462" s="148" t="n"/>
      <c r="I462" s="148" t="n"/>
      <c r="J462" s="148" t="n"/>
      <c r="K462" s="148" t="n"/>
      <c r="L462" s="148" t="n"/>
      <c r="M462" s="148" t="n"/>
      <c r="N462" s="148" t="n"/>
      <c r="O462" s="148" t="n"/>
      <c r="P462" s="148" t="n"/>
      <c r="Q462" s="148" t="n"/>
      <c r="R462" s="148" t="n"/>
      <c r="S462" s="148" t="n"/>
      <c r="T462" s="148" t="n"/>
      <c r="U462" s="149">
        <f>IF(AND('Master Stock'!D462&lt;&gt;"",'Master Stock'!H462="OCCUPIED",ISNUMBER('Master Stock'!J462),'Master Stock'!K462=""),SUMPRODUCT(--('Master Stock'!$D$2:$D$1000&lt;&gt;""),--('Master Stock'!$H$2:$H$1000="OCCUPIED"),--ISNUMBER('Master Stock'!$J$2:$J$1000),--('Master Stock'!$K$2:$K$1000=""),--('Master Stock'!$J$2:$J$1000&lt;'Master Stock'!J462))+COUNTIFS('Master Stock'!$J$2:J462,'Master Stock'!J462,'Master Stock'!$D$2:D462,"&lt;&gt;",'Master Stock'!$H$2:H462,"OCCUPIED",'Master Stock'!$K$2:K462,""),"")</f>
        <v/>
      </c>
      <c r="V462" s="149">
        <f>IF(AND('Master Stock'!D462&lt;&gt;"",'Master Stock'!H462="OCCUPIED",ISNUMBER('Master Stock'!L462),'Master Stock'!L462&lt;TODAY()-30),SUMPRODUCT(--('Master Stock'!$D$2:$D$1000&lt;&gt;""),--('Master Stock'!$H$2:$H$1000="OCCUPIED"),--ISNUMBER('Master Stock'!$L$2:$L$1000),--('Master Stock'!$L$2:$L$1000&lt;TODAY()-30),--('Master Stock'!$L$2:$L$1000&lt;'Master Stock'!L462))+COUNTIFS('Master Stock'!$L$2:L462,'Master Stock'!L462,'Master Stock'!$D$2:D462,"&lt;&gt;",'Master Stock'!$H$2:H462,"OCCUPIED"),"")</f>
        <v/>
      </c>
      <c r="W462" s="149" t="n"/>
      <c r="X462" s="149" t="n"/>
      <c r="Y462" s="149" t="n"/>
      <c r="Z462" s="149" t="n"/>
    </row>
    <row r="463" ht="15.75" customHeight="1" s="236">
      <c r="A463" s="148" t="n"/>
      <c r="B463" s="148" t="n"/>
      <c r="C463" s="124" t="n"/>
      <c r="D463" s="148" t="n"/>
      <c r="E463" s="148" t="n"/>
      <c r="F463" s="148" t="n"/>
      <c r="G463" s="124" t="n"/>
      <c r="H463" s="148" t="n"/>
      <c r="I463" s="148" t="n"/>
      <c r="J463" s="148" t="n"/>
      <c r="K463" s="148" t="n"/>
      <c r="L463" s="148" t="n"/>
      <c r="M463" s="148" t="n"/>
      <c r="N463" s="148" t="n"/>
      <c r="O463" s="148" t="n"/>
      <c r="P463" s="148" t="n"/>
      <c r="Q463" s="148" t="n"/>
      <c r="R463" s="148" t="n"/>
      <c r="S463" s="148" t="n"/>
      <c r="T463" s="148" t="n"/>
      <c r="U463" s="149">
        <f>IF(AND('Master Stock'!D463&lt;&gt;"",'Master Stock'!H463="OCCUPIED",ISNUMBER('Master Stock'!J463),'Master Stock'!K463=""),SUMPRODUCT(--('Master Stock'!$D$2:$D$1000&lt;&gt;""),--('Master Stock'!$H$2:$H$1000="OCCUPIED"),--ISNUMBER('Master Stock'!$J$2:$J$1000),--('Master Stock'!$K$2:$K$1000=""),--('Master Stock'!$J$2:$J$1000&lt;'Master Stock'!J463))+COUNTIFS('Master Stock'!$J$2:J463,'Master Stock'!J463,'Master Stock'!$D$2:D463,"&lt;&gt;",'Master Stock'!$H$2:H463,"OCCUPIED",'Master Stock'!$K$2:K463,""),"")</f>
        <v/>
      </c>
      <c r="V463" s="149">
        <f>IF(AND('Master Stock'!D463&lt;&gt;"",'Master Stock'!H463="OCCUPIED",ISNUMBER('Master Stock'!L463),'Master Stock'!L463&lt;TODAY()-30),SUMPRODUCT(--('Master Stock'!$D$2:$D$1000&lt;&gt;""),--('Master Stock'!$H$2:$H$1000="OCCUPIED"),--ISNUMBER('Master Stock'!$L$2:$L$1000),--('Master Stock'!$L$2:$L$1000&lt;TODAY()-30),--('Master Stock'!$L$2:$L$1000&lt;'Master Stock'!L463))+COUNTIFS('Master Stock'!$L$2:L463,'Master Stock'!L463,'Master Stock'!$D$2:D463,"&lt;&gt;",'Master Stock'!$H$2:H463,"OCCUPIED"),"")</f>
        <v/>
      </c>
      <c r="W463" s="149" t="n"/>
      <c r="X463" s="149" t="n"/>
      <c r="Y463" s="149" t="n"/>
      <c r="Z463" s="149" t="n"/>
    </row>
    <row r="464" ht="15.75" customHeight="1" s="236">
      <c r="A464" s="148" t="n"/>
      <c r="B464" s="148" t="n"/>
      <c r="C464" s="124" t="n"/>
      <c r="D464" s="148" t="n"/>
      <c r="E464" s="148" t="n"/>
      <c r="F464" s="148" t="n"/>
      <c r="G464" s="124" t="n"/>
      <c r="H464" s="148" t="n"/>
      <c r="I464" s="148" t="n"/>
      <c r="J464" s="148" t="n"/>
      <c r="K464" s="148" t="n"/>
      <c r="L464" s="148" t="n"/>
      <c r="M464" s="148" t="n"/>
      <c r="N464" s="148" t="n"/>
      <c r="O464" s="148" t="n"/>
      <c r="P464" s="148" t="n"/>
      <c r="Q464" s="148" t="n"/>
      <c r="R464" s="148" t="n"/>
      <c r="S464" s="148" t="n"/>
      <c r="T464" s="148" t="n"/>
      <c r="U464" s="149">
        <f>IF(AND('Master Stock'!D464&lt;&gt;"",'Master Stock'!H464="OCCUPIED",ISNUMBER('Master Stock'!J464),'Master Stock'!K464=""),SUMPRODUCT(--('Master Stock'!$D$2:$D$1000&lt;&gt;""),--('Master Stock'!$H$2:$H$1000="OCCUPIED"),--ISNUMBER('Master Stock'!$J$2:$J$1000),--('Master Stock'!$K$2:$K$1000=""),--('Master Stock'!$J$2:$J$1000&lt;'Master Stock'!J464))+COUNTIFS('Master Stock'!$J$2:J464,'Master Stock'!J464,'Master Stock'!$D$2:D464,"&lt;&gt;",'Master Stock'!$H$2:H464,"OCCUPIED",'Master Stock'!$K$2:K464,""),"")</f>
        <v/>
      </c>
      <c r="V464" s="149">
        <f>IF(AND('Master Stock'!D464&lt;&gt;"",'Master Stock'!H464="OCCUPIED",ISNUMBER('Master Stock'!L464),'Master Stock'!L464&lt;TODAY()-30),SUMPRODUCT(--('Master Stock'!$D$2:$D$1000&lt;&gt;""),--('Master Stock'!$H$2:$H$1000="OCCUPIED"),--ISNUMBER('Master Stock'!$L$2:$L$1000),--('Master Stock'!$L$2:$L$1000&lt;TODAY()-30),--('Master Stock'!$L$2:$L$1000&lt;'Master Stock'!L464))+COUNTIFS('Master Stock'!$L$2:L464,'Master Stock'!L464,'Master Stock'!$D$2:D464,"&lt;&gt;",'Master Stock'!$H$2:H464,"OCCUPIED"),"")</f>
        <v/>
      </c>
      <c r="W464" s="149" t="n"/>
      <c r="X464" s="149" t="n"/>
      <c r="Y464" s="149" t="n"/>
      <c r="Z464" s="149" t="n"/>
    </row>
    <row r="465" ht="15.75" customHeight="1" s="236">
      <c r="A465" s="148" t="n"/>
      <c r="B465" s="148" t="n"/>
      <c r="C465" s="124" t="n"/>
      <c r="D465" s="148" t="n"/>
      <c r="E465" s="148" t="n"/>
      <c r="F465" s="148" t="n"/>
      <c r="G465" s="124" t="n"/>
      <c r="H465" s="148" t="n"/>
      <c r="I465" s="148" t="n"/>
      <c r="J465" s="148" t="n"/>
      <c r="K465" s="148" t="n"/>
      <c r="L465" s="148" t="n"/>
      <c r="M465" s="148" t="n"/>
      <c r="N465" s="148" t="n"/>
      <c r="O465" s="148" t="n"/>
      <c r="P465" s="148" t="n"/>
      <c r="Q465" s="148" t="n"/>
      <c r="R465" s="148" t="n"/>
      <c r="S465" s="148" t="n"/>
      <c r="T465" s="148" t="n"/>
      <c r="U465" s="149">
        <f>IF(AND('Master Stock'!D465&lt;&gt;"",'Master Stock'!H465="OCCUPIED",ISNUMBER('Master Stock'!J465),'Master Stock'!K465=""),SUMPRODUCT(--('Master Stock'!$D$2:$D$1000&lt;&gt;""),--('Master Stock'!$H$2:$H$1000="OCCUPIED"),--ISNUMBER('Master Stock'!$J$2:$J$1000),--('Master Stock'!$K$2:$K$1000=""),--('Master Stock'!$J$2:$J$1000&lt;'Master Stock'!J465))+COUNTIFS('Master Stock'!$J$2:J465,'Master Stock'!J465,'Master Stock'!$D$2:D465,"&lt;&gt;",'Master Stock'!$H$2:H465,"OCCUPIED",'Master Stock'!$K$2:K465,""),"")</f>
        <v/>
      </c>
      <c r="V465" s="149">
        <f>IF(AND('Master Stock'!D465&lt;&gt;"",'Master Stock'!H465="OCCUPIED",ISNUMBER('Master Stock'!L465),'Master Stock'!L465&lt;TODAY()-30),SUMPRODUCT(--('Master Stock'!$D$2:$D$1000&lt;&gt;""),--('Master Stock'!$H$2:$H$1000="OCCUPIED"),--ISNUMBER('Master Stock'!$L$2:$L$1000),--('Master Stock'!$L$2:$L$1000&lt;TODAY()-30),--('Master Stock'!$L$2:$L$1000&lt;'Master Stock'!L465))+COUNTIFS('Master Stock'!$L$2:L465,'Master Stock'!L465,'Master Stock'!$D$2:D465,"&lt;&gt;",'Master Stock'!$H$2:H465,"OCCUPIED"),"")</f>
        <v/>
      </c>
      <c r="W465" s="149" t="n"/>
      <c r="X465" s="149" t="n"/>
      <c r="Y465" s="149" t="n"/>
      <c r="Z465" s="149" t="n"/>
    </row>
    <row r="466" ht="15.75" customHeight="1" s="236">
      <c r="A466" s="148" t="n"/>
      <c r="B466" s="148" t="n"/>
      <c r="C466" s="124" t="n"/>
      <c r="D466" s="148" t="n"/>
      <c r="E466" s="148" t="n"/>
      <c r="F466" s="148" t="n"/>
      <c r="G466" s="124" t="n"/>
      <c r="H466" s="148" t="n"/>
      <c r="I466" s="148" t="n"/>
      <c r="J466" s="148" t="n"/>
      <c r="K466" s="148" t="n"/>
      <c r="L466" s="148" t="n"/>
      <c r="M466" s="148" t="n"/>
      <c r="N466" s="148" t="n"/>
      <c r="O466" s="148" t="n"/>
      <c r="P466" s="148" t="n"/>
      <c r="Q466" s="148" t="n"/>
      <c r="R466" s="148" t="n"/>
      <c r="S466" s="148" t="n"/>
      <c r="T466" s="148" t="n"/>
      <c r="U466" s="149">
        <f>IF(AND('Master Stock'!D466&lt;&gt;"",'Master Stock'!H466="OCCUPIED",ISNUMBER('Master Stock'!J466),'Master Stock'!K466=""),SUMPRODUCT(--('Master Stock'!$D$2:$D$1000&lt;&gt;""),--('Master Stock'!$H$2:$H$1000="OCCUPIED"),--ISNUMBER('Master Stock'!$J$2:$J$1000),--('Master Stock'!$K$2:$K$1000=""),--('Master Stock'!$J$2:$J$1000&lt;'Master Stock'!J466))+COUNTIFS('Master Stock'!$J$2:J466,'Master Stock'!J466,'Master Stock'!$D$2:D466,"&lt;&gt;",'Master Stock'!$H$2:H466,"OCCUPIED",'Master Stock'!$K$2:K466,""),"")</f>
        <v/>
      </c>
      <c r="V466" s="149">
        <f>IF(AND('Master Stock'!D466&lt;&gt;"",'Master Stock'!H466="OCCUPIED",ISNUMBER('Master Stock'!L466),'Master Stock'!L466&lt;TODAY()-30),SUMPRODUCT(--('Master Stock'!$D$2:$D$1000&lt;&gt;""),--('Master Stock'!$H$2:$H$1000="OCCUPIED"),--ISNUMBER('Master Stock'!$L$2:$L$1000),--('Master Stock'!$L$2:$L$1000&lt;TODAY()-30),--('Master Stock'!$L$2:$L$1000&lt;'Master Stock'!L466))+COUNTIFS('Master Stock'!$L$2:L466,'Master Stock'!L466,'Master Stock'!$D$2:D466,"&lt;&gt;",'Master Stock'!$H$2:H466,"OCCUPIED"),"")</f>
        <v/>
      </c>
      <c r="W466" s="149" t="n"/>
      <c r="X466" s="149" t="n"/>
      <c r="Y466" s="149" t="n"/>
      <c r="Z466" s="149" t="n"/>
    </row>
    <row r="467" ht="15.75" customHeight="1" s="236">
      <c r="A467" s="148" t="n"/>
      <c r="B467" s="148" t="n"/>
      <c r="C467" s="124" t="n"/>
      <c r="D467" s="148" t="n"/>
      <c r="E467" s="148" t="n"/>
      <c r="F467" s="148" t="n"/>
      <c r="G467" s="124" t="n"/>
      <c r="H467" s="148" t="n"/>
      <c r="I467" s="148" t="n"/>
      <c r="J467" s="148" t="n"/>
      <c r="K467" s="148" t="n"/>
      <c r="L467" s="148" t="n"/>
      <c r="M467" s="148" t="n"/>
      <c r="N467" s="148" t="n"/>
      <c r="O467" s="148" t="n"/>
      <c r="P467" s="148" t="n"/>
      <c r="Q467" s="148" t="n"/>
      <c r="R467" s="148" t="n"/>
      <c r="S467" s="148" t="n"/>
      <c r="T467" s="148" t="n"/>
      <c r="U467" s="149">
        <f>IF(AND('Master Stock'!D467&lt;&gt;"",'Master Stock'!H467="OCCUPIED",ISNUMBER('Master Stock'!J467),'Master Stock'!K467=""),SUMPRODUCT(--('Master Stock'!$D$2:$D$1000&lt;&gt;""),--('Master Stock'!$H$2:$H$1000="OCCUPIED"),--ISNUMBER('Master Stock'!$J$2:$J$1000),--('Master Stock'!$K$2:$K$1000=""),--('Master Stock'!$J$2:$J$1000&lt;'Master Stock'!J467))+COUNTIFS('Master Stock'!$J$2:J467,'Master Stock'!J467,'Master Stock'!$D$2:D467,"&lt;&gt;",'Master Stock'!$H$2:H467,"OCCUPIED",'Master Stock'!$K$2:K467,""),"")</f>
        <v/>
      </c>
      <c r="V467" s="149">
        <f>IF(AND('Master Stock'!D467&lt;&gt;"",'Master Stock'!H467="OCCUPIED",ISNUMBER('Master Stock'!L467),'Master Stock'!L467&lt;TODAY()-30),SUMPRODUCT(--('Master Stock'!$D$2:$D$1000&lt;&gt;""),--('Master Stock'!$H$2:$H$1000="OCCUPIED"),--ISNUMBER('Master Stock'!$L$2:$L$1000),--('Master Stock'!$L$2:$L$1000&lt;TODAY()-30),--('Master Stock'!$L$2:$L$1000&lt;'Master Stock'!L467))+COUNTIFS('Master Stock'!$L$2:L467,'Master Stock'!L467,'Master Stock'!$D$2:D467,"&lt;&gt;",'Master Stock'!$H$2:H467,"OCCUPIED"),"")</f>
        <v/>
      </c>
      <c r="W467" s="149" t="n"/>
      <c r="X467" s="149" t="n"/>
      <c r="Y467" s="149" t="n"/>
      <c r="Z467" s="149" t="n"/>
    </row>
    <row r="468" ht="15.75" customHeight="1" s="236">
      <c r="A468" s="148" t="n"/>
      <c r="B468" s="148" t="n"/>
      <c r="C468" s="124" t="n"/>
      <c r="D468" s="148" t="n"/>
      <c r="E468" s="148" t="n"/>
      <c r="F468" s="148" t="n"/>
      <c r="G468" s="124" t="n"/>
      <c r="H468" s="148" t="n"/>
      <c r="I468" s="148" t="n"/>
      <c r="J468" s="148" t="n"/>
      <c r="K468" s="148" t="n"/>
      <c r="L468" s="148" t="n"/>
      <c r="M468" s="148" t="n"/>
      <c r="N468" s="148" t="n"/>
      <c r="O468" s="148" t="n"/>
      <c r="P468" s="148" t="n"/>
      <c r="Q468" s="148" t="n"/>
      <c r="R468" s="148" t="n"/>
      <c r="S468" s="148" t="n"/>
      <c r="T468" s="148" t="n"/>
      <c r="U468" s="149">
        <f>IF(AND('Master Stock'!D468&lt;&gt;"",'Master Stock'!H468="OCCUPIED",ISNUMBER('Master Stock'!J468),'Master Stock'!K468=""),SUMPRODUCT(--('Master Stock'!$D$2:$D$1000&lt;&gt;""),--('Master Stock'!$H$2:$H$1000="OCCUPIED"),--ISNUMBER('Master Stock'!$J$2:$J$1000),--('Master Stock'!$K$2:$K$1000=""),--('Master Stock'!$J$2:$J$1000&lt;'Master Stock'!J468))+COUNTIFS('Master Stock'!$J$2:J468,'Master Stock'!J468,'Master Stock'!$D$2:D468,"&lt;&gt;",'Master Stock'!$H$2:H468,"OCCUPIED",'Master Stock'!$K$2:K468,""),"")</f>
        <v/>
      </c>
      <c r="V468" s="149">
        <f>IF(AND('Master Stock'!D468&lt;&gt;"",'Master Stock'!H468="OCCUPIED",ISNUMBER('Master Stock'!L468),'Master Stock'!L468&lt;TODAY()-30),SUMPRODUCT(--('Master Stock'!$D$2:$D$1000&lt;&gt;""),--('Master Stock'!$H$2:$H$1000="OCCUPIED"),--ISNUMBER('Master Stock'!$L$2:$L$1000),--('Master Stock'!$L$2:$L$1000&lt;TODAY()-30),--('Master Stock'!$L$2:$L$1000&lt;'Master Stock'!L468))+COUNTIFS('Master Stock'!$L$2:L468,'Master Stock'!L468,'Master Stock'!$D$2:D468,"&lt;&gt;",'Master Stock'!$H$2:H468,"OCCUPIED"),"")</f>
        <v/>
      </c>
      <c r="W468" s="149" t="n"/>
      <c r="X468" s="149" t="n"/>
      <c r="Y468" s="149" t="n"/>
      <c r="Z468" s="149" t="n"/>
    </row>
    <row r="469" ht="15.75" customHeight="1" s="236">
      <c r="A469" s="148" t="n"/>
      <c r="B469" s="148" t="n"/>
      <c r="C469" s="124" t="n"/>
      <c r="D469" s="148" t="n"/>
      <c r="E469" s="148" t="n"/>
      <c r="F469" s="148" t="n"/>
      <c r="G469" s="124" t="n"/>
      <c r="H469" s="148" t="n"/>
      <c r="I469" s="148" t="n"/>
      <c r="J469" s="148" t="n"/>
      <c r="K469" s="148" t="n"/>
      <c r="L469" s="148" t="n"/>
      <c r="M469" s="148" t="n"/>
      <c r="N469" s="148" t="n"/>
      <c r="O469" s="148" t="n"/>
      <c r="P469" s="148" t="n"/>
      <c r="Q469" s="148" t="n"/>
      <c r="R469" s="148" t="n"/>
      <c r="S469" s="148" t="n"/>
      <c r="T469" s="148" t="n"/>
      <c r="U469" s="149">
        <f>IF(AND('Master Stock'!D469&lt;&gt;"",'Master Stock'!H469="OCCUPIED",ISNUMBER('Master Stock'!J469),'Master Stock'!K469=""),SUMPRODUCT(--('Master Stock'!$D$2:$D$1000&lt;&gt;""),--('Master Stock'!$H$2:$H$1000="OCCUPIED"),--ISNUMBER('Master Stock'!$J$2:$J$1000),--('Master Stock'!$K$2:$K$1000=""),--('Master Stock'!$J$2:$J$1000&lt;'Master Stock'!J469))+COUNTIFS('Master Stock'!$J$2:J469,'Master Stock'!J469,'Master Stock'!$D$2:D469,"&lt;&gt;",'Master Stock'!$H$2:H469,"OCCUPIED",'Master Stock'!$K$2:K469,""),"")</f>
        <v/>
      </c>
      <c r="V469" s="149">
        <f>IF(AND('Master Stock'!D469&lt;&gt;"",'Master Stock'!H469="OCCUPIED",ISNUMBER('Master Stock'!L469),'Master Stock'!L469&lt;TODAY()-30),SUMPRODUCT(--('Master Stock'!$D$2:$D$1000&lt;&gt;""),--('Master Stock'!$H$2:$H$1000="OCCUPIED"),--ISNUMBER('Master Stock'!$L$2:$L$1000),--('Master Stock'!$L$2:$L$1000&lt;TODAY()-30),--('Master Stock'!$L$2:$L$1000&lt;'Master Stock'!L469))+COUNTIFS('Master Stock'!$L$2:L469,'Master Stock'!L469,'Master Stock'!$D$2:D469,"&lt;&gt;",'Master Stock'!$H$2:H469,"OCCUPIED"),"")</f>
        <v/>
      </c>
      <c r="W469" s="149" t="n"/>
      <c r="X469" s="149" t="n"/>
      <c r="Y469" s="149" t="n"/>
      <c r="Z469" s="149" t="n"/>
    </row>
    <row r="470" ht="15.75" customHeight="1" s="236">
      <c r="A470" s="148" t="n"/>
      <c r="B470" s="148" t="n"/>
      <c r="C470" s="124" t="n"/>
      <c r="D470" s="148" t="n"/>
      <c r="E470" s="148" t="n"/>
      <c r="F470" s="148" t="n"/>
      <c r="G470" s="124" t="n"/>
      <c r="H470" s="148" t="n"/>
      <c r="I470" s="148" t="n"/>
      <c r="J470" s="148" t="n"/>
      <c r="K470" s="148" t="n"/>
      <c r="L470" s="148" t="n"/>
      <c r="M470" s="148" t="n"/>
      <c r="N470" s="148" t="n"/>
      <c r="O470" s="148" t="n"/>
      <c r="P470" s="148" t="n"/>
      <c r="Q470" s="148" t="n"/>
      <c r="R470" s="148" t="n"/>
      <c r="S470" s="148" t="n"/>
      <c r="T470" s="148" t="n"/>
      <c r="U470" s="149">
        <f>IF(AND('Master Stock'!D470&lt;&gt;"",'Master Stock'!H470="OCCUPIED",ISNUMBER('Master Stock'!J470),'Master Stock'!K470=""),SUMPRODUCT(--('Master Stock'!$D$2:$D$1000&lt;&gt;""),--('Master Stock'!$H$2:$H$1000="OCCUPIED"),--ISNUMBER('Master Stock'!$J$2:$J$1000),--('Master Stock'!$K$2:$K$1000=""),--('Master Stock'!$J$2:$J$1000&lt;'Master Stock'!J470))+COUNTIFS('Master Stock'!$J$2:J470,'Master Stock'!J470,'Master Stock'!$D$2:D470,"&lt;&gt;",'Master Stock'!$H$2:H470,"OCCUPIED",'Master Stock'!$K$2:K470,""),"")</f>
        <v/>
      </c>
      <c r="V470" s="149">
        <f>IF(AND('Master Stock'!D470&lt;&gt;"",'Master Stock'!H470="OCCUPIED",ISNUMBER('Master Stock'!L470),'Master Stock'!L470&lt;TODAY()-30),SUMPRODUCT(--('Master Stock'!$D$2:$D$1000&lt;&gt;""),--('Master Stock'!$H$2:$H$1000="OCCUPIED"),--ISNUMBER('Master Stock'!$L$2:$L$1000),--('Master Stock'!$L$2:$L$1000&lt;TODAY()-30),--('Master Stock'!$L$2:$L$1000&lt;'Master Stock'!L470))+COUNTIFS('Master Stock'!$L$2:L470,'Master Stock'!L470,'Master Stock'!$D$2:D470,"&lt;&gt;",'Master Stock'!$H$2:H470,"OCCUPIED"),"")</f>
        <v/>
      </c>
      <c r="W470" s="149" t="n"/>
      <c r="X470" s="149" t="n"/>
      <c r="Y470" s="149" t="n"/>
      <c r="Z470" s="149" t="n"/>
    </row>
    <row r="471" ht="15.75" customHeight="1" s="236">
      <c r="A471" s="148" t="n"/>
      <c r="B471" s="148" t="n"/>
      <c r="C471" s="124" t="n"/>
      <c r="D471" s="148" t="n"/>
      <c r="E471" s="148" t="n"/>
      <c r="F471" s="148" t="n"/>
      <c r="G471" s="124" t="n"/>
      <c r="H471" s="148" t="n"/>
      <c r="I471" s="148" t="n"/>
      <c r="J471" s="148" t="n"/>
      <c r="K471" s="148" t="n"/>
      <c r="L471" s="148" t="n"/>
      <c r="M471" s="148" t="n"/>
      <c r="N471" s="148" t="n"/>
      <c r="O471" s="148" t="n"/>
      <c r="P471" s="148" t="n"/>
      <c r="Q471" s="148" t="n"/>
      <c r="R471" s="148" t="n"/>
      <c r="S471" s="148" t="n"/>
      <c r="T471" s="148" t="n"/>
      <c r="U471" s="149">
        <f>IF(AND('Master Stock'!D471&lt;&gt;"",'Master Stock'!H471="OCCUPIED",ISNUMBER('Master Stock'!J471),'Master Stock'!K471=""),SUMPRODUCT(--('Master Stock'!$D$2:$D$1000&lt;&gt;""),--('Master Stock'!$H$2:$H$1000="OCCUPIED"),--ISNUMBER('Master Stock'!$J$2:$J$1000),--('Master Stock'!$K$2:$K$1000=""),--('Master Stock'!$J$2:$J$1000&lt;'Master Stock'!J471))+COUNTIFS('Master Stock'!$J$2:J471,'Master Stock'!J471,'Master Stock'!$D$2:D471,"&lt;&gt;",'Master Stock'!$H$2:H471,"OCCUPIED",'Master Stock'!$K$2:K471,""),"")</f>
        <v/>
      </c>
      <c r="V471" s="149">
        <f>IF(AND('Master Stock'!D471&lt;&gt;"",'Master Stock'!H471="OCCUPIED",ISNUMBER('Master Stock'!L471),'Master Stock'!L471&lt;TODAY()-30),SUMPRODUCT(--('Master Stock'!$D$2:$D$1000&lt;&gt;""),--('Master Stock'!$H$2:$H$1000="OCCUPIED"),--ISNUMBER('Master Stock'!$L$2:$L$1000),--('Master Stock'!$L$2:$L$1000&lt;TODAY()-30),--('Master Stock'!$L$2:$L$1000&lt;'Master Stock'!L471))+COUNTIFS('Master Stock'!$L$2:L471,'Master Stock'!L471,'Master Stock'!$D$2:D471,"&lt;&gt;",'Master Stock'!$H$2:H471,"OCCUPIED"),"")</f>
        <v/>
      </c>
      <c r="W471" s="149" t="n"/>
      <c r="X471" s="149" t="n"/>
      <c r="Y471" s="149" t="n"/>
      <c r="Z471" s="149" t="n"/>
    </row>
    <row r="472" ht="15.75" customHeight="1" s="236">
      <c r="A472" s="148" t="n"/>
      <c r="B472" s="148" t="n"/>
      <c r="C472" s="124" t="n"/>
      <c r="D472" s="148" t="n"/>
      <c r="E472" s="148" t="n"/>
      <c r="F472" s="148" t="n"/>
      <c r="G472" s="124" t="n"/>
      <c r="H472" s="148" t="n"/>
      <c r="I472" s="148" t="n"/>
      <c r="J472" s="148" t="n"/>
      <c r="K472" s="148" t="n"/>
      <c r="L472" s="148" t="n"/>
      <c r="M472" s="148" t="n"/>
      <c r="N472" s="148" t="n"/>
      <c r="O472" s="148" t="n"/>
      <c r="P472" s="148" t="n"/>
      <c r="Q472" s="148" t="n"/>
      <c r="R472" s="148" t="n"/>
      <c r="S472" s="148" t="n"/>
      <c r="T472" s="148" t="n"/>
      <c r="U472" s="149">
        <f>IF(AND('Master Stock'!D472&lt;&gt;"",'Master Stock'!H472="OCCUPIED",ISNUMBER('Master Stock'!J472),'Master Stock'!K472=""),SUMPRODUCT(--('Master Stock'!$D$2:$D$1000&lt;&gt;""),--('Master Stock'!$H$2:$H$1000="OCCUPIED"),--ISNUMBER('Master Stock'!$J$2:$J$1000),--('Master Stock'!$K$2:$K$1000=""),--('Master Stock'!$J$2:$J$1000&lt;'Master Stock'!J472))+COUNTIFS('Master Stock'!$J$2:J472,'Master Stock'!J472,'Master Stock'!$D$2:D472,"&lt;&gt;",'Master Stock'!$H$2:H472,"OCCUPIED",'Master Stock'!$K$2:K472,""),"")</f>
        <v/>
      </c>
      <c r="V472" s="149">
        <f>IF(AND('Master Stock'!D472&lt;&gt;"",'Master Stock'!H472="OCCUPIED",ISNUMBER('Master Stock'!L472),'Master Stock'!L472&lt;TODAY()-30),SUMPRODUCT(--('Master Stock'!$D$2:$D$1000&lt;&gt;""),--('Master Stock'!$H$2:$H$1000="OCCUPIED"),--ISNUMBER('Master Stock'!$L$2:$L$1000),--('Master Stock'!$L$2:$L$1000&lt;TODAY()-30),--('Master Stock'!$L$2:$L$1000&lt;'Master Stock'!L472))+COUNTIFS('Master Stock'!$L$2:L472,'Master Stock'!L472,'Master Stock'!$D$2:D472,"&lt;&gt;",'Master Stock'!$H$2:H472,"OCCUPIED"),"")</f>
        <v/>
      </c>
      <c r="W472" s="149" t="n"/>
      <c r="X472" s="149" t="n"/>
      <c r="Y472" s="149" t="n"/>
      <c r="Z472" s="149" t="n"/>
    </row>
    <row r="473" ht="15.75" customHeight="1" s="236">
      <c r="A473" s="148" t="n"/>
      <c r="B473" s="148" t="n"/>
      <c r="C473" s="124" t="n"/>
      <c r="D473" s="148" t="n"/>
      <c r="E473" s="148" t="n"/>
      <c r="F473" s="148" t="n"/>
      <c r="G473" s="124" t="n"/>
      <c r="H473" s="148" t="n"/>
      <c r="I473" s="148" t="n"/>
      <c r="J473" s="148" t="n"/>
      <c r="K473" s="148" t="n"/>
      <c r="L473" s="148" t="n"/>
      <c r="M473" s="148" t="n"/>
      <c r="N473" s="148" t="n"/>
      <c r="O473" s="148" t="n"/>
      <c r="P473" s="148" t="n"/>
      <c r="Q473" s="148" t="n"/>
      <c r="R473" s="148" t="n"/>
      <c r="S473" s="148" t="n"/>
      <c r="T473" s="148" t="n"/>
      <c r="U473" s="149">
        <f>IF(AND('Master Stock'!D473&lt;&gt;"",'Master Stock'!H473="OCCUPIED",ISNUMBER('Master Stock'!J473),'Master Stock'!K473=""),SUMPRODUCT(--('Master Stock'!$D$2:$D$1000&lt;&gt;""),--('Master Stock'!$H$2:$H$1000="OCCUPIED"),--ISNUMBER('Master Stock'!$J$2:$J$1000),--('Master Stock'!$K$2:$K$1000=""),--('Master Stock'!$J$2:$J$1000&lt;'Master Stock'!J473))+COUNTIFS('Master Stock'!$J$2:J473,'Master Stock'!J473,'Master Stock'!$D$2:D473,"&lt;&gt;",'Master Stock'!$H$2:H473,"OCCUPIED",'Master Stock'!$K$2:K473,""),"")</f>
        <v/>
      </c>
      <c r="V473" s="149">
        <f>IF(AND('Master Stock'!D473&lt;&gt;"",'Master Stock'!H473="OCCUPIED",ISNUMBER('Master Stock'!L473),'Master Stock'!L473&lt;TODAY()-30),SUMPRODUCT(--('Master Stock'!$D$2:$D$1000&lt;&gt;""),--('Master Stock'!$H$2:$H$1000="OCCUPIED"),--ISNUMBER('Master Stock'!$L$2:$L$1000),--('Master Stock'!$L$2:$L$1000&lt;TODAY()-30),--('Master Stock'!$L$2:$L$1000&lt;'Master Stock'!L473))+COUNTIFS('Master Stock'!$L$2:L473,'Master Stock'!L473,'Master Stock'!$D$2:D473,"&lt;&gt;",'Master Stock'!$H$2:H473,"OCCUPIED"),"")</f>
        <v/>
      </c>
      <c r="W473" s="149" t="n"/>
      <c r="X473" s="149" t="n"/>
      <c r="Y473" s="149" t="n"/>
      <c r="Z473" s="149" t="n"/>
    </row>
    <row r="474" ht="15.75" customHeight="1" s="236">
      <c r="A474" s="148" t="n"/>
      <c r="B474" s="148" t="n"/>
      <c r="C474" s="124" t="n"/>
      <c r="D474" s="148" t="n"/>
      <c r="E474" s="148" t="n"/>
      <c r="F474" s="148" t="n"/>
      <c r="G474" s="124" t="n"/>
      <c r="H474" s="148" t="n"/>
      <c r="I474" s="148" t="n"/>
      <c r="J474" s="148" t="n"/>
      <c r="K474" s="148" t="n"/>
      <c r="L474" s="148" t="n"/>
      <c r="M474" s="148" t="n"/>
      <c r="N474" s="148" t="n"/>
      <c r="O474" s="148" t="n"/>
      <c r="P474" s="148" t="n"/>
      <c r="Q474" s="148" t="n"/>
      <c r="R474" s="148" t="n"/>
      <c r="S474" s="148" t="n"/>
      <c r="T474" s="148" t="n"/>
      <c r="U474" s="149">
        <f>IF(AND('Master Stock'!D474&lt;&gt;"",'Master Stock'!H474="OCCUPIED",ISNUMBER('Master Stock'!J474),'Master Stock'!K474=""),SUMPRODUCT(--('Master Stock'!$D$2:$D$1000&lt;&gt;""),--('Master Stock'!$H$2:$H$1000="OCCUPIED"),--ISNUMBER('Master Stock'!$J$2:$J$1000),--('Master Stock'!$K$2:$K$1000=""),--('Master Stock'!$J$2:$J$1000&lt;'Master Stock'!J474))+COUNTIFS('Master Stock'!$J$2:J474,'Master Stock'!J474,'Master Stock'!$D$2:D474,"&lt;&gt;",'Master Stock'!$H$2:H474,"OCCUPIED",'Master Stock'!$K$2:K474,""),"")</f>
        <v/>
      </c>
      <c r="V474" s="149">
        <f>IF(AND('Master Stock'!D474&lt;&gt;"",'Master Stock'!H474="OCCUPIED",ISNUMBER('Master Stock'!L474),'Master Stock'!L474&lt;TODAY()-30),SUMPRODUCT(--('Master Stock'!$D$2:$D$1000&lt;&gt;""),--('Master Stock'!$H$2:$H$1000="OCCUPIED"),--ISNUMBER('Master Stock'!$L$2:$L$1000),--('Master Stock'!$L$2:$L$1000&lt;TODAY()-30),--('Master Stock'!$L$2:$L$1000&lt;'Master Stock'!L474))+COUNTIFS('Master Stock'!$L$2:L474,'Master Stock'!L474,'Master Stock'!$D$2:D474,"&lt;&gt;",'Master Stock'!$H$2:H474,"OCCUPIED"),"")</f>
        <v/>
      </c>
      <c r="W474" s="149" t="n"/>
      <c r="X474" s="149" t="n"/>
      <c r="Y474" s="149" t="n"/>
      <c r="Z474" s="149" t="n"/>
    </row>
    <row r="475" ht="15.75" customHeight="1" s="236">
      <c r="A475" s="148" t="n"/>
      <c r="B475" s="148" t="n"/>
      <c r="C475" s="124" t="n"/>
      <c r="D475" s="148" t="n"/>
      <c r="E475" s="148" t="n"/>
      <c r="F475" s="148" t="n"/>
      <c r="G475" s="124" t="n"/>
      <c r="H475" s="148" t="n"/>
      <c r="I475" s="148" t="n"/>
      <c r="J475" s="148" t="n"/>
      <c r="K475" s="148" t="n"/>
      <c r="L475" s="148" t="n"/>
      <c r="M475" s="148" t="n"/>
      <c r="N475" s="148" t="n"/>
      <c r="O475" s="148" t="n"/>
      <c r="P475" s="148" t="n"/>
      <c r="Q475" s="148" t="n"/>
      <c r="R475" s="148" t="n"/>
      <c r="S475" s="148" t="n"/>
      <c r="T475" s="148" t="n"/>
      <c r="U475" s="149">
        <f>IF(AND('Master Stock'!D475&lt;&gt;"",'Master Stock'!H475="OCCUPIED",ISNUMBER('Master Stock'!J475),'Master Stock'!K475=""),SUMPRODUCT(--('Master Stock'!$D$2:$D$1000&lt;&gt;""),--('Master Stock'!$H$2:$H$1000="OCCUPIED"),--ISNUMBER('Master Stock'!$J$2:$J$1000),--('Master Stock'!$K$2:$K$1000=""),--('Master Stock'!$J$2:$J$1000&lt;'Master Stock'!J475))+COUNTIFS('Master Stock'!$J$2:J475,'Master Stock'!J475,'Master Stock'!$D$2:D475,"&lt;&gt;",'Master Stock'!$H$2:H475,"OCCUPIED",'Master Stock'!$K$2:K475,""),"")</f>
        <v/>
      </c>
      <c r="V475" s="149">
        <f>IF(AND('Master Stock'!D475&lt;&gt;"",'Master Stock'!H475="OCCUPIED",ISNUMBER('Master Stock'!L475),'Master Stock'!L475&lt;TODAY()-30),SUMPRODUCT(--('Master Stock'!$D$2:$D$1000&lt;&gt;""),--('Master Stock'!$H$2:$H$1000="OCCUPIED"),--ISNUMBER('Master Stock'!$L$2:$L$1000),--('Master Stock'!$L$2:$L$1000&lt;TODAY()-30),--('Master Stock'!$L$2:$L$1000&lt;'Master Stock'!L475))+COUNTIFS('Master Stock'!$L$2:L475,'Master Stock'!L475,'Master Stock'!$D$2:D475,"&lt;&gt;",'Master Stock'!$H$2:H475,"OCCUPIED"),"")</f>
        <v/>
      </c>
      <c r="W475" s="149" t="n"/>
      <c r="X475" s="149" t="n"/>
      <c r="Y475" s="149" t="n"/>
      <c r="Z475" s="149" t="n"/>
    </row>
    <row r="476" ht="15.75" customHeight="1" s="236">
      <c r="A476" s="148" t="n"/>
      <c r="B476" s="148" t="n"/>
      <c r="C476" s="124" t="n"/>
      <c r="D476" s="148" t="n"/>
      <c r="E476" s="148" t="n"/>
      <c r="F476" s="148" t="n"/>
      <c r="G476" s="124" t="n"/>
      <c r="H476" s="148" t="n"/>
      <c r="I476" s="148" t="n"/>
      <c r="J476" s="148" t="n"/>
      <c r="K476" s="148" t="n"/>
      <c r="L476" s="148" t="n"/>
      <c r="M476" s="148" t="n"/>
      <c r="N476" s="148" t="n"/>
      <c r="O476" s="148" t="n"/>
      <c r="P476" s="148" t="n"/>
      <c r="Q476" s="148" t="n"/>
      <c r="R476" s="148" t="n"/>
      <c r="S476" s="148" t="n"/>
      <c r="T476" s="148" t="n"/>
      <c r="U476" s="149">
        <f>IF(AND('Master Stock'!D476&lt;&gt;"",'Master Stock'!H476="OCCUPIED",ISNUMBER('Master Stock'!J476),'Master Stock'!K476=""),SUMPRODUCT(--('Master Stock'!$D$2:$D$1000&lt;&gt;""),--('Master Stock'!$H$2:$H$1000="OCCUPIED"),--ISNUMBER('Master Stock'!$J$2:$J$1000),--('Master Stock'!$K$2:$K$1000=""),--('Master Stock'!$J$2:$J$1000&lt;'Master Stock'!J476))+COUNTIFS('Master Stock'!$J$2:J476,'Master Stock'!J476,'Master Stock'!$D$2:D476,"&lt;&gt;",'Master Stock'!$H$2:H476,"OCCUPIED",'Master Stock'!$K$2:K476,""),"")</f>
        <v/>
      </c>
      <c r="V476" s="149">
        <f>IF(AND('Master Stock'!D476&lt;&gt;"",'Master Stock'!H476="OCCUPIED",ISNUMBER('Master Stock'!L476),'Master Stock'!L476&lt;TODAY()-30),SUMPRODUCT(--('Master Stock'!$D$2:$D$1000&lt;&gt;""),--('Master Stock'!$H$2:$H$1000="OCCUPIED"),--ISNUMBER('Master Stock'!$L$2:$L$1000),--('Master Stock'!$L$2:$L$1000&lt;TODAY()-30),--('Master Stock'!$L$2:$L$1000&lt;'Master Stock'!L476))+COUNTIFS('Master Stock'!$L$2:L476,'Master Stock'!L476,'Master Stock'!$D$2:D476,"&lt;&gt;",'Master Stock'!$H$2:H476,"OCCUPIED"),"")</f>
        <v/>
      </c>
      <c r="W476" s="149" t="n"/>
      <c r="X476" s="149" t="n"/>
      <c r="Y476" s="149" t="n"/>
      <c r="Z476" s="149" t="n"/>
    </row>
    <row r="477" ht="15.75" customHeight="1" s="236">
      <c r="A477" s="148" t="n"/>
      <c r="B477" s="148" t="n"/>
      <c r="C477" s="124" t="n"/>
      <c r="D477" s="148" t="n"/>
      <c r="E477" s="148" t="n"/>
      <c r="F477" s="148" t="n"/>
      <c r="G477" s="124" t="n"/>
      <c r="H477" s="148" t="n"/>
      <c r="I477" s="148" t="n"/>
      <c r="J477" s="148" t="n"/>
      <c r="K477" s="148" t="n"/>
      <c r="L477" s="148" t="n"/>
      <c r="M477" s="148" t="n"/>
      <c r="N477" s="148" t="n"/>
      <c r="O477" s="148" t="n"/>
      <c r="P477" s="148" t="n"/>
      <c r="Q477" s="148" t="n"/>
      <c r="R477" s="148" t="n"/>
      <c r="S477" s="148" t="n"/>
      <c r="T477" s="148" t="n"/>
      <c r="U477" s="149">
        <f>IF(AND('Master Stock'!D477&lt;&gt;"",'Master Stock'!H477="OCCUPIED",ISNUMBER('Master Stock'!J477),'Master Stock'!K477=""),SUMPRODUCT(--('Master Stock'!$D$2:$D$1000&lt;&gt;""),--('Master Stock'!$H$2:$H$1000="OCCUPIED"),--ISNUMBER('Master Stock'!$J$2:$J$1000),--('Master Stock'!$K$2:$K$1000=""),--('Master Stock'!$J$2:$J$1000&lt;'Master Stock'!J477))+COUNTIFS('Master Stock'!$J$2:J477,'Master Stock'!J477,'Master Stock'!$D$2:D477,"&lt;&gt;",'Master Stock'!$H$2:H477,"OCCUPIED",'Master Stock'!$K$2:K477,""),"")</f>
        <v/>
      </c>
      <c r="V477" s="149">
        <f>IF(AND('Master Stock'!D477&lt;&gt;"",'Master Stock'!H477="OCCUPIED",ISNUMBER('Master Stock'!L477),'Master Stock'!L477&lt;TODAY()-30),SUMPRODUCT(--('Master Stock'!$D$2:$D$1000&lt;&gt;""),--('Master Stock'!$H$2:$H$1000="OCCUPIED"),--ISNUMBER('Master Stock'!$L$2:$L$1000),--('Master Stock'!$L$2:$L$1000&lt;TODAY()-30),--('Master Stock'!$L$2:$L$1000&lt;'Master Stock'!L477))+COUNTIFS('Master Stock'!$L$2:L477,'Master Stock'!L477,'Master Stock'!$D$2:D477,"&lt;&gt;",'Master Stock'!$H$2:H477,"OCCUPIED"),"")</f>
        <v/>
      </c>
      <c r="W477" s="149" t="n"/>
      <c r="X477" s="149" t="n"/>
      <c r="Y477" s="149" t="n"/>
      <c r="Z477" s="149" t="n"/>
    </row>
    <row r="478" ht="15.75" customHeight="1" s="236">
      <c r="A478" s="148" t="n"/>
      <c r="B478" s="148" t="n"/>
      <c r="C478" s="124" t="n"/>
      <c r="D478" s="148" t="n"/>
      <c r="E478" s="148" t="n"/>
      <c r="F478" s="148" t="n"/>
      <c r="G478" s="124" t="n"/>
      <c r="H478" s="148" t="n"/>
      <c r="I478" s="148" t="n"/>
      <c r="J478" s="148" t="n"/>
      <c r="K478" s="148" t="n"/>
      <c r="L478" s="148" t="n"/>
      <c r="M478" s="148" t="n"/>
      <c r="N478" s="148" t="n"/>
      <c r="O478" s="148" t="n"/>
      <c r="P478" s="148" t="n"/>
      <c r="Q478" s="148" t="n"/>
      <c r="R478" s="148" t="n"/>
      <c r="S478" s="148" t="n"/>
      <c r="T478" s="148" t="n"/>
      <c r="U478" s="149">
        <f>IF(AND('Master Stock'!D478&lt;&gt;"",'Master Stock'!H478="OCCUPIED",ISNUMBER('Master Stock'!J478),'Master Stock'!K478=""),SUMPRODUCT(--('Master Stock'!$D$2:$D$1000&lt;&gt;""),--('Master Stock'!$H$2:$H$1000="OCCUPIED"),--ISNUMBER('Master Stock'!$J$2:$J$1000),--('Master Stock'!$K$2:$K$1000=""),--('Master Stock'!$J$2:$J$1000&lt;'Master Stock'!J478))+COUNTIFS('Master Stock'!$J$2:J478,'Master Stock'!J478,'Master Stock'!$D$2:D478,"&lt;&gt;",'Master Stock'!$H$2:H478,"OCCUPIED",'Master Stock'!$K$2:K478,""),"")</f>
        <v/>
      </c>
      <c r="V478" s="149">
        <f>IF(AND('Master Stock'!D478&lt;&gt;"",'Master Stock'!H478="OCCUPIED",ISNUMBER('Master Stock'!L478),'Master Stock'!L478&lt;TODAY()-30),SUMPRODUCT(--('Master Stock'!$D$2:$D$1000&lt;&gt;""),--('Master Stock'!$H$2:$H$1000="OCCUPIED"),--ISNUMBER('Master Stock'!$L$2:$L$1000),--('Master Stock'!$L$2:$L$1000&lt;TODAY()-30),--('Master Stock'!$L$2:$L$1000&lt;'Master Stock'!L478))+COUNTIFS('Master Stock'!$L$2:L478,'Master Stock'!L478,'Master Stock'!$D$2:D478,"&lt;&gt;",'Master Stock'!$H$2:H478,"OCCUPIED"),"")</f>
        <v/>
      </c>
      <c r="W478" s="149" t="n"/>
      <c r="X478" s="149" t="n"/>
      <c r="Y478" s="149" t="n"/>
      <c r="Z478" s="149" t="n"/>
    </row>
    <row r="479" ht="15.75" customHeight="1" s="236">
      <c r="A479" s="148" t="n"/>
      <c r="B479" s="148" t="n"/>
      <c r="C479" s="124" t="n"/>
      <c r="D479" s="148" t="n"/>
      <c r="E479" s="148" t="n"/>
      <c r="F479" s="148" t="n"/>
      <c r="G479" s="124" t="n"/>
      <c r="H479" s="148" t="n"/>
      <c r="I479" s="148" t="n"/>
      <c r="J479" s="148" t="n"/>
      <c r="K479" s="148" t="n"/>
      <c r="L479" s="148" t="n"/>
      <c r="M479" s="148" t="n"/>
      <c r="N479" s="148" t="n"/>
      <c r="O479" s="148" t="n"/>
      <c r="P479" s="148" t="n"/>
      <c r="Q479" s="148" t="n"/>
      <c r="R479" s="148" t="n"/>
      <c r="S479" s="148" t="n"/>
      <c r="T479" s="148" t="n"/>
      <c r="U479" s="149">
        <f>IF(AND('Master Stock'!D479&lt;&gt;"",'Master Stock'!H479="OCCUPIED",ISNUMBER('Master Stock'!J479),'Master Stock'!K479=""),SUMPRODUCT(--('Master Stock'!$D$2:$D$1000&lt;&gt;""),--('Master Stock'!$H$2:$H$1000="OCCUPIED"),--ISNUMBER('Master Stock'!$J$2:$J$1000),--('Master Stock'!$K$2:$K$1000=""),--('Master Stock'!$J$2:$J$1000&lt;'Master Stock'!J479))+COUNTIFS('Master Stock'!$J$2:J479,'Master Stock'!J479,'Master Stock'!$D$2:D479,"&lt;&gt;",'Master Stock'!$H$2:H479,"OCCUPIED",'Master Stock'!$K$2:K479,""),"")</f>
        <v/>
      </c>
      <c r="V479" s="149">
        <f>IF(AND('Master Stock'!D479&lt;&gt;"",'Master Stock'!H479="OCCUPIED",ISNUMBER('Master Stock'!L479),'Master Stock'!L479&lt;TODAY()-30),SUMPRODUCT(--('Master Stock'!$D$2:$D$1000&lt;&gt;""),--('Master Stock'!$H$2:$H$1000="OCCUPIED"),--ISNUMBER('Master Stock'!$L$2:$L$1000),--('Master Stock'!$L$2:$L$1000&lt;TODAY()-30),--('Master Stock'!$L$2:$L$1000&lt;'Master Stock'!L479))+COUNTIFS('Master Stock'!$L$2:L479,'Master Stock'!L479,'Master Stock'!$D$2:D479,"&lt;&gt;",'Master Stock'!$H$2:H479,"OCCUPIED"),"")</f>
        <v/>
      </c>
      <c r="W479" s="149" t="n"/>
      <c r="X479" s="149" t="n"/>
      <c r="Y479" s="149" t="n"/>
      <c r="Z479" s="149" t="n"/>
    </row>
    <row r="480" ht="15.75" customHeight="1" s="236">
      <c r="A480" s="148" t="n"/>
      <c r="B480" s="148" t="n"/>
      <c r="C480" s="124" t="n"/>
      <c r="D480" s="148" t="n"/>
      <c r="E480" s="148" t="n"/>
      <c r="F480" s="148" t="n"/>
      <c r="G480" s="124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9">
        <f>IF(AND('Master Stock'!D480&lt;&gt;"",'Master Stock'!H480="OCCUPIED",ISNUMBER('Master Stock'!J480),'Master Stock'!K480=""),SUMPRODUCT(--('Master Stock'!$D$2:$D$1000&lt;&gt;""),--('Master Stock'!$H$2:$H$1000="OCCUPIED"),--ISNUMBER('Master Stock'!$J$2:$J$1000),--('Master Stock'!$K$2:$K$1000=""),--('Master Stock'!$J$2:$J$1000&lt;'Master Stock'!J480))+COUNTIFS('Master Stock'!$J$2:J480,'Master Stock'!J480,'Master Stock'!$D$2:D480,"&lt;&gt;",'Master Stock'!$H$2:H480,"OCCUPIED",'Master Stock'!$K$2:K480,""),"")</f>
        <v/>
      </c>
      <c r="V480" s="149">
        <f>IF(AND('Master Stock'!D480&lt;&gt;"",'Master Stock'!H480="OCCUPIED",ISNUMBER('Master Stock'!L480),'Master Stock'!L480&lt;TODAY()-30),SUMPRODUCT(--('Master Stock'!$D$2:$D$1000&lt;&gt;""),--('Master Stock'!$H$2:$H$1000="OCCUPIED"),--ISNUMBER('Master Stock'!$L$2:$L$1000),--('Master Stock'!$L$2:$L$1000&lt;TODAY()-30),--('Master Stock'!$L$2:$L$1000&lt;'Master Stock'!L480))+COUNTIFS('Master Stock'!$L$2:L480,'Master Stock'!L480,'Master Stock'!$D$2:D480,"&lt;&gt;",'Master Stock'!$H$2:H480,"OCCUPIED"),"")</f>
        <v/>
      </c>
      <c r="W480" s="149" t="n"/>
      <c r="X480" s="149" t="n"/>
      <c r="Y480" s="149" t="n"/>
      <c r="Z480" s="149" t="n"/>
    </row>
    <row r="481" ht="15.75" customHeight="1" s="236">
      <c r="A481" s="148" t="n"/>
      <c r="B481" s="148" t="n"/>
      <c r="C481" s="124" t="n"/>
      <c r="D481" s="148" t="n"/>
      <c r="E481" s="148" t="n"/>
      <c r="F481" s="148" t="n"/>
      <c r="G481" s="124" t="n"/>
      <c r="H481" s="148" t="n"/>
      <c r="I481" s="148" t="n"/>
      <c r="J481" s="148" t="n"/>
      <c r="K481" s="148" t="n"/>
      <c r="L481" s="148" t="n"/>
      <c r="M481" s="148" t="n"/>
      <c r="N481" s="148" t="n"/>
      <c r="O481" s="148" t="n"/>
      <c r="P481" s="148" t="n"/>
      <c r="Q481" s="148" t="n"/>
      <c r="R481" s="148" t="n"/>
      <c r="S481" s="148" t="n"/>
      <c r="T481" s="148" t="n"/>
      <c r="U481" s="149">
        <f>IF(AND('Master Stock'!D481&lt;&gt;"",'Master Stock'!H481="OCCUPIED",ISNUMBER('Master Stock'!J481),'Master Stock'!K481=""),SUMPRODUCT(--('Master Stock'!$D$2:$D$1000&lt;&gt;""),--('Master Stock'!$H$2:$H$1000="OCCUPIED"),--ISNUMBER('Master Stock'!$J$2:$J$1000),--('Master Stock'!$K$2:$K$1000=""),--('Master Stock'!$J$2:$J$1000&lt;'Master Stock'!J481))+COUNTIFS('Master Stock'!$J$2:J481,'Master Stock'!J481,'Master Stock'!$D$2:D481,"&lt;&gt;",'Master Stock'!$H$2:H481,"OCCUPIED",'Master Stock'!$K$2:K481,""),"")</f>
        <v/>
      </c>
      <c r="V481" s="149">
        <f>IF(AND('Master Stock'!D481&lt;&gt;"",'Master Stock'!H481="OCCUPIED",ISNUMBER('Master Stock'!L481),'Master Stock'!L481&lt;TODAY()-30),SUMPRODUCT(--('Master Stock'!$D$2:$D$1000&lt;&gt;""),--('Master Stock'!$H$2:$H$1000="OCCUPIED"),--ISNUMBER('Master Stock'!$L$2:$L$1000),--('Master Stock'!$L$2:$L$1000&lt;TODAY()-30),--('Master Stock'!$L$2:$L$1000&lt;'Master Stock'!L481))+COUNTIFS('Master Stock'!$L$2:L481,'Master Stock'!L481,'Master Stock'!$D$2:D481,"&lt;&gt;",'Master Stock'!$H$2:H481,"OCCUPIED"),"")</f>
        <v/>
      </c>
      <c r="W481" s="149" t="n"/>
      <c r="X481" s="149" t="n"/>
      <c r="Y481" s="149" t="n"/>
      <c r="Z481" s="149" t="n"/>
    </row>
    <row r="482" ht="15.75" customHeight="1" s="236">
      <c r="A482" s="148" t="n"/>
      <c r="B482" s="148" t="n"/>
      <c r="C482" s="124" t="n"/>
      <c r="D482" s="148" t="n"/>
      <c r="E482" s="148" t="n"/>
      <c r="F482" s="148" t="n"/>
      <c r="G482" s="124" t="n"/>
      <c r="H482" s="148" t="n"/>
      <c r="I482" s="148" t="n"/>
      <c r="J482" s="148" t="n"/>
      <c r="K482" s="148" t="n"/>
      <c r="L482" s="148" t="n"/>
      <c r="M482" s="148" t="n"/>
      <c r="N482" s="148" t="n"/>
      <c r="O482" s="148" t="n"/>
      <c r="P482" s="148" t="n"/>
      <c r="Q482" s="148" t="n"/>
      <c r="R482" s="148" t="n"/>
      <c r="S482" s="148" t="n"/>
      <c r="T482" s="148" t="n"/>
      <c r="U482" s="149">
        <f>IF(AND('Master Stock'!D482&lt;&gt;"",'Master Stock'!H482="OCCUPIED",ISNUMBER('Master Stock'!J482),'Master Stock'!K482=""),SUMPRODUCT(--('Master Stock'!$D$2:$D$1000&lt;&gt;""),--('Master Stock'!$H$2:$H$1000="OCCUPIED"),--ISNUMBER('Master Stock'!$J$2:$J$1000),--('Master Stock'!$K$2:$K$1000=""),--('Master Stock'!$J$2:$J$1000&lt;'Master Stock'!J482))+COUNTIFS('Master Stock'!$J$2:J482,'Master Stock'!J482,'Master Stock'!$D$2:D482,"&lt;&gt;",'Master Stock'!$H$2:H482,"OCCUPIED",'Master Stock'!$K$2:K482,""),"")</f>
        <v/>
      </c>
      <c r="V482" s="149">
        <f>IF(AND('Master Stock'!D482&lt;&gt;"",'Master Stock'!H482="OCCUPIED",ISNUMBER('Master Stock'!L482),'Master Stock'!L482&lt;TODAY()-30),SUMPRODUCT(--('Master Stock'!$D$2:$D$1000&lt;&gt;""),--('Master Stock'!$H$2:$H$1000="OCCUPIED"),--ISNUMBER('Master Stock'!$L$2:$L$1000),--('Master Stock'!$L$2:$L$1000&lt;TODAY()-30),--('Master Stock'!$L$2:$L$1000&lt;'Master Stock'!L482))+COUNTIFS('Master Stock'!$L$2:L482,'Master Stock'!L482,'Master Stock'!$D$2:D482,"&lt;&gt;",'Master Stock'!$H$2:H482,"OCCUPIED"),"")</f>
        <v/>
      </c>
      <c r="W482" s="149" t="n"/>
      <c r="X482" s="149" t="n"/>
      <c r="Y482" s="149" t="n"/>
      <c r="Z482" s="149" t="n"/>
    </row>
    <row r="483" ht="15.75" customHeight="1" s="236">
      <c r="A483" s="148" t="n"/>
      <c r="B483" s="148" t="n"/>
      <c r="C483" s="124" t="n"/>
      <c r="D483" s="148" t="n"/>
      <c r="E483" s="148" t="n"/>
      <c r="F483" s="148" t="n"/>
      <c r="G483" s="124" t="n"/>
      <c r="H483" s="148" t="n"/>
      <c r="I483" s="148" t="n"/>
      <c r="J483" s="148" t="n"/>
      <c r="K483" s="148" t="n"/>
      <c r="L483" s="148" t="n"/>
      <c r="M483" s="148" t="n"/>
      <c r="N483" s="148" t="n"/>
      <c r="O483" s="148" t="n"/>
      <c r="P483" s="148" t="n"/>
      <c r="Q483" s="148" t="n"/>
      <c r="R483" s="148" t="n"/>
      <c r="S483" s="148" t="n"/>
      <c r="T483" s="148" t="n"/>
      <c r="U483" s="149">
        <f>IF(AND('Master Stock'!D483&lt;&gt;"",'Master Stock'!H483="OCCUPIED",ISNUMBER('Master Stock'!J483),'Master Stock'!K483=""),SUMPRODUCT(--('Master Stock'!$D$2:$D$1000&lt;&gt;""),--('Master Stock'!$H$2:$H$1000="OCCUPIED"),--ISNUMBER('Master Stock'!$J$2:$J$1000),--('Master Stock'!$K$2:$K$1000=""),--('Master Stock'!$J$2:$J$1000&lt;'Master Stock'!J483))+COUNTIFS('Master Stock'!$J$2:J483,'Master Stock'!J483,'Master Stock'!$D$2:D483,"&lt;&gt;",'Master Stock'!$H$2:H483,"OCCUPIED",'Master Stock'!$K$2:K483,""),"")</f>
        <v/>
      </c>
      <c r="V483" s="149">
        <f>IF(AND('Master Stock'!D483&lt;&gt;"",'Master Stock'!H483="OCCUPIED",ISNUMBER('Master Stock'!L483),'Master Stock'!L483&lt;TODAY()-30),SUMPRODUCT(--('Master Stock'!$D$2:$D$1000&lt;&gt;""),--('Master Stock'!$H$2:$H$1000="OCCUPIED"),--ISNUMBER('Master Stock'!$L$2:$L$1000),--('Master Stock'!$L$2:$L$1000&lt;TODAY()-30),--('Master Stock'!$L$2:$L$1000&lt;'Master Stock'!L483))+COUNTIFS('Master Stock'!$L$2:L483,'Master Stock'!L483,'Master Stock'!$D$2:D483,"&lt;&gt;",'Master Stock'!$H$2:H483,"OCCUPIED"),"")</f>
        <v/>
      </c>
      <c r="W483" s="149" t="n"/>
      <c r="X483" s="149" t="n"/>
      <c r="Y483" s="149" t="n"/>
      <c r="Z483" s="149" t="n"/>
    </row>
    <row r="484" ht="15.75" customHeight="1" s="236">
      <c r="A484" s="148" t="n"/>
      <c r="B484" s="148" t="n"/>
      <c r="C484" s="124" t="n"/>
      <c r="D484" s="148" t="n"/>
      <c r="E484" s="148" t="n"/>
      <c r="F484" s="148" t="n"/>
      <c r="G484" s="124" t="n"/>
      <c r="H484" s="148" t="n"/>
      <c r="I484" s="148" t="n"/>
      <c r="J484" s="148" t="n"/>
      <c r="K484" s="148" t="n"/>
      <c r="L484" s="148" t="n"/>
      <c r="M484" s="148" t="n"/>
      <c r="N484" s="148" t="n"/>
      <c r="O484" s="148" t="n"/>
      <c r="P484" s="148" t="n"/>
      <c r="Q484" s="148" t="n"/>
      <c r="R484" s="148" t="n"/>
      <c r="S484" s="148" t="n"/>
      <c r="T484" s="148" t="n"/>
      <c r="U484" s="149">
        <f>IF(AND('Master Stock'!D484&lt;&gt;"",'Master Stock'!H484="OCCUPIED",ISNUMBER('Master Stock'!J484),'Master Stock'!K484=""),SUMPRODUCT(--('Master Stock'!$D$2:$D$1000&lt;&gt;""),--('Master Stock'!$H$2:$H$1000="OCCUPIED"),--ISNUMBER('Master Stock'!$J$2:$J$1000),--('Master Stock'!$K$2:$K$1000=""),--('Master Stock'!$J$2:$J$1000&lt;'Master Stock'!J484))+COUNTIFS('Master Stock'!$J$2:J484,'Master Stock'!J484,'Master Stock'!$D$2:D484,"&lt;&gt;",'Master Stock'!$H$2:H484,"OCCUPIED",'Master Stock'!$K$2:K484,""),"")</f>
        <v/>
      </c>
      <c r="V484" s="149">
        <f>IF(AND('Master Stock'!D484&lt;&gt;"",'Master Stock'!H484="OCCUPIED",ISNUMBER('Master Stock'!L484),'Master Stock'!L484&lt;TODAY()-30),SUMPRODUCT(--('Master Stock'!$D$2:$D$1000&lt;&gt;""),--('Master Stock'!$H$2:$H$1000="OCCUPIED"),--ISNUMBER('Master Stock'!$L$2:$L$1000),--('Master Stock'!$L$2:$L$1000&lt;TODAY()-30),--('Master Stock'!$L$2:$L$1000&lt;'Master Stock'!L484))+COUNTIFS('Master Stock'!$L$2:L484,'Master Stock'!L484,'Master Stock'!$D$2:D484,"&lt;&gt;",'Master Stock'!$H$2:H484,"OCCUPIED"),"")</f>
        <v/>
      </c>
      <c r="W484" s="149" t="n"/>
      <c r="X484" s="149" t="n"/>
      <c r="Y484" s="149" t="n"/>
      <c r="Z484" s="149" t="n"/>
    </row>
    <row r="485" ht="15.75" customHeight="1" s="236">
      <c r="A485" s="148" t="n"/>
      <c r="B485" s="148" t="n"/>
      <c r="C485" s="124" t="n"/>
      <c r="D485" s="148" t="n"/>
      <c r="E485" s="148" t="n"/>
      <c r="F485" s="148" t="n"/>
      <c r="G485" s="124" t="n"/>
      <c r="H485" s="148" t="n"/>
      <c r="I485" s="148" t="n"/>
      <c r="J485" s="148" t="n"/>
      <c r="K485" s="148" t="n"/>
      <c r="L485" s="148" t="n"/>
      <c r="M485" s="148" t="n"/>
      <c r="N485" s="148" t="n"/>
      <c r="O485" s="148" t="n"/>
      <c r="P485" s="148" t="n"/>
      <c r="Q485" s="148" t="n"/>
      <c r="R485" s="148" t="n"/>
      <c r="S485" s="148" t="n"/>
      <c r="T485" s="148" t="n"/>
      <c r="U485" s="149">
        <f>IF(AND('Master Stock'!D485&lt;&gt;"",'Master Stock'!H485="OCCUPIED",ISNUMBER('Master Stock'!J485),'Master Stock'!K485=""),SUMPRODUCT(--('Master Stock'!$D$2:$D$1000&lt;&gt;""),--('Master Stock'!$H$2:$H$1000="OCCUPIED"),--ISNUMBER('Master Stock'!$J$2:$J$1000),--('Master Stock'!$K$2:$K$1000=""),--('Master Stock'!$J$2:$J$1000&lt;'Master Stock'!J485))+COUNTIFS('Master Stock'!$J$2:J485,'Master Stock'!J485,'Master Stock'!$D$2:D485,"&lt;&gt;",'Master Stock'!$H$2:H485,"OCCUPIED",'Master Stock'!$K$2:K485,""),"")</f>
        <v/>
      </c>
      <c r="V485" s="149">
        <f>IF(AND('Master Stock'!D485&lt;&gt;"",'Master Stock'!H485="OCCUPIED",ISNUMBER('Master Stock'!L485),'Master Stock'!L485&lt;TODAY()-30),SUMPRODUCT(--('Master Stock'!$D$2:$D$1000&lt;&gt;""),--('Master Stock'!$H$2:$H$1000="OCCUPIED"),--ISNUMBER('Master Stock'!$L$2:$L$1000),--('Master Stock'!$L$2:$L$1000&lt;TODAY()-30),--('Master Stock'!$L$2:$L$1000&lt;'Master Stock'!L485))+COUNTIFS('Master Stock'!$L$2:L485,'Master Stock'!L485,'Master Stock'!$D$2:D485,"&lt;&gt;",'Master Stock'!$H$2:H485,"OCCUPIED"),"")</f>
        <v/>
      </c>
      <c r="W485" s="149" t="n"/>
      <c r="X485" s="149" t="n"/>
      <c r="Y485" s="149" t="n"/>
      <c r="Z485" s="149" t="n"/>
    </row>
    <row r="486" ht="15.75" customHeight="1" s="236">
      <c r="A486" s="148" t="n"/>
      <c r="B486" s="148" t="n"/>
      <c r="C486" s="124" t="n"/>
      <c r="D486" s="148" t="n"/>
      <c r="E486" s="148" t="n"/>
      <c r="F486" s="148" t="n"/>
      <c r="G486" s="124" t="n"/>
      <c r="H486" s="148" t="n"/>
      <c r="I486" s="148" t="n"/>
      <c r="J486" s="148" t="n"/>
      <c r="K486" s="148" t="n"/>
      <c r="L486" s="148" t="n"/>
      <c r="M486" s="148" t="n"/>
      <c r="N486" s="148" t="n"/>
      <c r="O486" s="148" t="n"/>
      <c r="P486" s="148" t="n"/>
      <c r="Q486" s="148" t="n"/>
      <c r="R486" s="148" t="n"/>
      <c r="S486" s="148" t="n"/>
      <c r="T486" s="148" t="n"/>
      <c r="U486" s="149">
        <f>IF(AND('Master Stock'!D486&lt;&gt;"",'Master Stock'!H486="OCCUPIED",ISNUMBER('Master Stock'!J486),'Master Stock'!K486=""),SUMPRODUCT(--('Master Stock'!$D$2:$D$1000&lt;&gt;""),--('Master Stock'!$H$2:$H$1000="OCCUPIED"),--ISNUMBER('Master Stock'!$J$2:$J$1000),--('Master Stock'!$K$2:$K$1000=""),--('Master Stock'!$J$2:$J$1000&lt;'Master Stock'!J486))+COUNTIFS('Master Stock'!$J$2:J486,'Master Stock'!J486,'Master Stock'!$D$2:D486,"&lt;&gt;",'Master Stock'!$H$2:H486,"OCCUPIED",'Master Stock'!$K$2:K486,""),"")</f>
        <v/>
      </c>
      <c r="V486" s="149">
        <f>IF(AND('Master Stock'!D486&lt;&gt;"",'Master Stock'!H486="OCCUPIED",ISNUMBER('Master Stock'!L486),'Master Stock'!L486&lt;TODAY()-30),SUMPRODUCT(--('Master Stock'!$D$2:$D$1000&lt;&gt;""),--('Master Stock'!$H$2:$H$1000="OCCUPIED"),--ISNUMBER('Master Stock'!$L$2:$L$1000),--('Master Stock'!$L$2:$L$1000&lt;TODAY()-30),--('Master Stock'!$L$2:$L$1000&lt;'Master Stock'!L486))+COUNTIFS('Master Stock'!$L$2:L486,'Master Stock'!L486,'Master Stock'!$D$2:D486,"&lt;&gt;",'Master Stock'!$H$2:H486,"OCCUPIED"),"")</f>
        <v/>
      </c>
      <c r="W486" s="149" t="n"/>
      <c r="X486" s="149" t="n"/>
      <c r="Y486" s="149" t="n"/>
      <c r="Z486" s="149" t="n"/>
    </row>
    <row r="487" ht="15.75" customHeight="1" s="236">
      <c r="A487" s="148" t="n"/>
      <c r="B487" s="148" t="n"/>
      <c r="C487" s="124" t="n"/>
      <c r="D487" s="148" t="n"/>
      <c r="E487" s="148" t="n"/>
      <c r="F487" s="148" t="n"/>
      <c r="G487" s="124" t="n"/>
      <c r="H487" s="148" t="n"/>
      <c r="I487" s="148" t="n"/>
      <c r="J487" s="148" t="n"/>
      <c r="K487" s="148" t="n"/>
      <c r="L487" s="148" t="n"/>
      <c r="M487" s="148" t="n"/>
      <c r="N487" s="148" t="n"/>
      <c r="O487" s="148" t="n"/>
      <c r="P487" s="148" t="n"/>
      <c r="Q487" s="148" t="n"/>
      <c r="R487" s="148" t="n"/>
      <c r="S487" s="148" t="n"/>
      <c r="T487" s="148" t="n"/>
      <c r="U487" s="149">
        <f>IF(AND('Master Stock'!D487&lt;&gt;"",'Master Stock'!H487="OCCUPIED",ISNUMBER('Master Stock'!J487),'Master Stock'!K487=""),SUMPRODUCT(--('Master Stock'!$D$2:$D$1000&lt;&gt;""),--('Master Stock'!$H$2:$H$1000="OCCUPIED"),--ISNUMBER('Master Stock'!$J$2:$J$1000),--('Master Stock'!$K$2:$K$1000=""),--('Master Stock'!$J$2:$J$1000&lt;'Master Stock'!J487))+COUNTIFS('Master Stock'!$J$2:J487,'Master Stock'!J487,'Master Stock'!$D$2:D487,"&lt;&gt;",'Master Stock'!$H$2:H487,"OCCUPIED",'Master Stock'!$K$2:K487,""),"")</f>
        <v/>
      </c>
      <c r="V487" s="149">
        <f>IF(AND('Master Stock'!D487&lt;&gt;"",'Master Stock'!H487="OCCUPIED",ISNUMBER('Master Stock'!L487),'Master Stock'!L487&lt;TODAY()-30),SUMPRODUCT(--('Master Stock'!$D$2:$D$1000&lt;&gt;""),--('Master Stock'!$H$2:$H$1000="OCCUPIED"),--ISNUMBER('Master Stock'!$L$2:$L$1000),--('Master Stock'!$L$2:$L$1000&lt;TODAY()-30),--('Master Stock'!$L$2:$L$1000&lt;'Master Stock'!L487))+COUNTIFS('Master Stock'!$L$2:L487,'Master Stock'!L487,'Master Stock'!$D$2:D487,"&lt;&gt;",'Master Stock'!$H$2:H487,"OCCUPIED"),"")</f>
        <v/>
      </c>
      <c r="W487" s="149" t="n"/>
      <c r="X487" s="149" t="n"/>
      <c r="Y487" s="149" t="n"/>
      <c r="Z487" s="149" t="n"/>
    </row>
    <row r="488" ht="15.75" customHeight="1" s="236">
      <c r="A488" s="148" t="n"/>
      <c r="B488" s="148" t="n"/>
      <c r="C488" s="124" t="n"/>
      <c r="D488" s="148" t="n"/>
      <c r="E488" s="148" t="n"/>
      <c r="F488" s="148" t="n"/>
      <c r="G488" s="124" t="n"/>
      <c r="H488" s="148" t="n"/>
      <c r="I488" s="148" t="n"/>
      <c r="J488" s="148" t="n"/>
      <c r="K488" s="148" t="n"/>
      <c r="L488" s="148" t="n"/>
      <c r="M488" s="148" t="n"/>
      <c r="N488" s="148" t="n"/>
      <c r="O488" s="148" t="n"/>
      <c r="P488" s="148" t="n"/>
      <c r="Q488" s="148" t="n"/>
      <c r="R488" s="148" t="n"/>
      <c r="S488" s="148" t="n"/>
      <c r="T488" s="148" t="n"/>
      <c r="U488" s="149">
        <f>IF(AND('Master Stock'!D488&lt;&gt;"",'Master Stock'!H488="OCCUPIED",ISNUMBER('Master Stock'!J488),'Master Stock'!K488=""),SUMPRODUCT(--('Master Stock'!$D$2:$D$1000&lt;&gt;""),--('Master Stock'!$H$2:$H$1000="OCCUPIED"),--ISNUMBER('Master Stock'!$J$2:$J$1000),--('Master Stock'!$K$2:$K$1000=""),--('Master Stock'!$J$2:$J$1000&lt;'Master Stock'!J488))+COUNTIFS('Master Stock'!$J$2:J488,'Master Stock'!J488,'Master Stock'!$D$2:D488,"&lt;&gt;",'Master Stock'!$H$2:H488,"OCCUPIED",'Master Stock'!$K$2:K488,""),"")</f>
        <v/>
      </c>
      <c r="V488" s="149">
        <f>IF(AND('Master Stock'!D488&lt;&gt;"",'Master Stock'!H488="OCCUPIED",ISNUMBER('Master Stock'!L488),'Master Stock'!L488&lt;TODAY()-30),SUMPRODUCT(--('Master Stock'!$D$2:$D$1000&lt;&gt;""),--('Master Stock'!$H$2:$H$1000="OCCUPIED"),--ISNUMBER('Master Stock'!$L$2:$L$1000),--('Master Stock'!$L$2:$L$1000&lt;TODAY()-30),--('Master Stock'!$L$2:$L$1000&lt;'Master Stock'!L488))+COUNTIFS('Master Stock'!$L$2:L488,'Master Stock'!L488,'Master Stock'!$D$2:D488,"&lt;&gt;",'Master Stock'!$H$2:H488,"OCCUPIED"),"")</f>
        <v/>
      </c>
      <c r="W488" s="149" t="n"/>
      <c r="X488" s="149" t="n"/>
      <c r="Y488" s="149" t="n"/>
      <c r="Z488" s="149" t="n"/>
    </row>
    <row r="489" ht="15.75" customHeight="1" s="236">
      <c r="A489" s="148" t="n"/>
      <c r="B489" s="148" t="n"/>
      <c r="C489" s="124" t="n"/>
      <c r="D489" s="148" t="n"/>
      <c r="E489" s="148" t="n"/>
      <c r="F489" s="148" t="n"/>
      <c r="G489" s="124" t="n"/>
      <c r="H489" s="148" t="n"/>
      <c r="I489" s="148" t="n"/>
      <c r="J489" s="148" t="n"/>
      <c r="K489" s="148" t="n"/>
      <c r="L489" s="148" t="n"/>
      <c r="M489" s="148" t="n"/>
      <c r="N489" s="148" t="n"/>
      <c r="O489" s="148" t="n"/>
      <c r="P489" s="148" t="n"/>
      <c r="Q489" s="148" t="n"/>
      <c r="R489" s="148" t="n"/>
      <c r="S489" s="148" t="n"/>
      <c r="T489" s="148" t="n"/>
      <c r="U489" s="149">
        <f>IF(AND('Master Stock'!D489&lt;&gt;"",'Master Stock'!H489="OCCUPIED",ISNUMBER('Master Stock'!J489),'Master Stock'!K489=""),SUMPRODUCT(--('Master Stock'!$D$2:$D$1000&lt;&gt;""),--('Master Stock'!$H$2:$H$1000="OCCUPIED"),--ISNUMBER('Master Stock'!$J$2:$J$1000),--('Master Stock'!$K$2:$K$1000=""),--('Master Stock'!$J$2:$J$1000&lt;'Master Stock'!J489))+COUNTIFS('Master Stock'!$J$2:J489,'Master Stock'!J489,'Master Stock'!$D$2:D489,"&lt;&gt;",'Master Stock'!$H$2:H489,"OCCUPIED",'Master Stock'!$K$2:K489,""),"")</f>
        <v/>
      </c>
      <c r="V489" s="149">
        <f>IF(AND('Master Stock'!D489&lt;&gt;"",'Master Stock'!H489="OCCUPIED",ISNUMBER('Master Stock'!L489),'Master Stock'!L489&lt;TODAY()-30),SUMPRODUCT(--('Master Stock'!$D$2:$D$1000&lt;&gt;""),--('Master Stock'!$H$2:$H$1000="OCCUPIED"),--ISNUMBER('Master Stock'!$L$2:$L$1000),--('Master Stock'!$L$2:$L$1000&lt;TODAY()-30),--('Master Stock'!$L$2:$L$1000&lt;'Master Stock'!L489))+COUNTIFS('Master Stock'!$L$2:L489,'Master Stock'!L489,'Master Stock'!$D$2:D489,"&lt;&gt;",'Master Stock'!$H$2:H489,"OCCUPIED"),"")</f>
        <v/>
      </c>
      <c r="W489" s="149" t="n"/>
      <c r="X489" s="149" t="n"/>
      <c r="Y489" s="149" t="n"/>
      <c r="Z489" s="149" t="n"/>
    </row>
    <row r="490" ht="15.75" customHeight="1" s="236">
      <c r="A490" s="148" t="n"/>
      <c r="B490" s="148" t="n"/>
      <c r="C490" s="124" t="n"/>
      <c r="D490" s="148" t="n"/>
      <c r="E490" s="148" t="n"/>
      <c r="F490" s="148" t="n"/>
      <c r="G490" s="124" t="n"/>
      <c r="H490" s="148" t="n"/>
      <c r="I490" s="148" t="n"/>
      <c r="J490" s="148" t="n"/>
      <c r="K490" s="148" t="n"/>
      <c r="L490" s="148" t="n"/>
      <c r="M490" s="148" t="n"/>
      <c r="N490" s="148" t="n"/>
      <c r="O490" s="148" t="n"/>
      <c r="P490" s="148" t="n"/>
      <c r="Q490" s="148" t="n"/>
      <c r="R490" s="148" t="n"/>
      <c r="S490" s="148" t="n"/>
      <c r="T490" s="148" t="n"/>
      <c r="U490" s="149">
        <f>IF(AND('Master Stock'!D490&lt;&gt;"",'Master Stock'!H490="OCCUPIED",ISNUMBER('Master Stock'!J490),'Master Stock'!K490=""),SUMPRODUCT(--('Master Stock'!$D$2:$D$1000&lt;&gt;""),--('Master Stock'!$H$2:$H$1000="OCCUPIED"),--ISNUMBER('Master Stock'!$J$2:$J$1000),--('Master Stock'!$K$2:$K$1000=""),--('Master Stock'!$J$2:$J$1000&lt;'Master Stock'!J490))+COUNTIFS('Master Stock'!$J$2:J490,'Master Stock'!J490,'Master Stock'!$D$2:D490,"&lt;&gt;",'Master Stock'!$H$2:H490,"OCCUPIED",'Master Stock'!$K$2:K490,""),"")</f>
        <v/>
      </c>
      <c r="V490" s="149">
        <f>IF(AND('Master Stock'!D490&lt;&gt;"",'Master Stock'!H490="OCCUPIED",ISNUMBER('Master Stock'!L490),'Master Stock'!L490&lt;TODAY()-30),SUMPRODUCT(--('Master Stock'!$D$2:$D$1000&lt;&gt;""),--('Master Stock'!$H$2:$H$1000="OCCUPIED"),--ISNUMBER('Master Stock'!$L$2:$L$1000),--('Master Stock'!$L$2:$L$1000&lt;TODAY()-30),--('Master Stock'!$L$2:$L$1000&lt;'Master Stock'!L490))+COUNTIFS('Master Stock'!$L$2:L490,'Master Stock'!L490,'Master Stock'!$D$2:D490,"&lt;&gt;",'Master Stock'!$H$2:H490,"OCCUPIED"),"")</f>
        <v/>
      </c>
      <c r="W490" s="149" t="n"/>
      <c r="X490" s="149" t="n"/>
      <c r="Y490" s="149" t="n"/>
      <c r="Z490" s="149" t="n"/>
    </row>
    <row r="491" ht="15.75" customHeight="1" s="236">
      <c r="A491" s="148" t="n"/>
      <c r="B491" s="148" t="n"/>
      <c r="C491" s="124" t="n"/>
      <c r="D491" s="148" t="n"/>
      <c r="E491" s="148" t="n"/>
      <c r="F491" s="148" t="n"/>
      <c r="G491" s="124" t="n"/>
      <c r="H491" s="148" t="n"/>
      <c r="I491" s="148" t="n"/>
      <c r="J491" s="148" t="n"/>
      <c r="K491" s="148" t="n"/>
      <c r="L491" s="148" t="n"/>
      <c r="M491" s="148" t="n"/>
      <c r="N491" s="148" t="n"/>
      <c r="O491" s="148" t="n"/>
      <c r="P491" s="148" t="n"/>
      <c r="Q491" s="148" t="n"/>
      <c r="R491" s="148" t="n"/>
      <c r="S491" s="148" t="n"/>
      <c r="T491" s="148" t="n"/>
      <c r="U491" s="149">
        <f>IF(AND('Master Stock'!D491&lt;&gt;"",'Master Stock'!H491="OCCUPIED",ISNUMBER('Master Stock'!J491),'Master Stock'!K491=""),SUMPRODUCT(--('Master Stock'!$D$2:$D$1000&lt;&gt;""),--('Master Stock'!$H$2:$H$1000="OCCUPIED"),--ISNUMBER('Master Stock'!$J$2:$J$1000),--('Master Stock'!$K$2:$K$1000=""),--('Master Stock'!$J$2:$J$1000&lt;'Master Stock'!J491))+COUNTIFS('Master Stock'!$J$2:J491,'Master Stock'!J491,'Master Stock'!$D$2:D491,"&lt;&gt;",'Master Stock'!$H$2:H491,"OCCUPIED",'Master Stock'!$K$2:K491,""),"")</f>
        <v/>
      </c>
      <c r="V491" s="149">
        <f>IF(AND('Master Stock'!D491&lt;&gt;"",'Master Stock'!H491="OCCUPIED",ISNUMBER('Master Stock'!L491),'Master Stock'!L491&lt;TODAY()-30),SUMPRODUCT(--('Master Stock'!$D$2:$D$1000&lt;&gt;""),--('Master Stock'!$H$2:$H$1000="OCCUPIED"),--ISNUMBER('Master Stock'!$L$2:$L$1000),--('Master Stock'!$L$2:$L$1000&lt;TODAY()-30),--('Master Stock'!$L$2:$L$1000&lt;'Master Stock'!L491))+COUNTIFS('Master Stock'!$L$2:L491,'Master Stock'!L491,'Master Stock'!$D$2:D491,"&lt;&gt;",'Master Stock'!$H$2:H491,"OCCUPIED"),"")</f>
        <v/>
      </c>
      <c r="W491" s="149" t="n"/>
      <c r="X491" s="149" t="n"/>
      <c r="Y491" s="149" t="n"/>
      <c r="Z491" s="149" t="n"/>
    </row>
    <row r="492" ht="15.75" customHeight="1" s="236">
      <c r="A492" s="148" t="n"/>
      <c r="B492" s="148" t="n"/>
      <c r="C492" s="124" t="n"/>
      <c r="D492" s="148" t="n"/>
      <c r="E492" s="148" t="n"/>
      <c r="F492" s="148" t="n"/>
      <c r="G492" s="124" t="n"/>
      <c r="H492" s="148" t="n"/>
      <c r="I492" s="148" t="n"/>
      <c r="J492" s="148" t="n"/>
      <c r="K492" s="148" t="n"/>
      <c r="L492" s="148" t="n"/>
      <c r="M492" s="148" t="n"/>
      <c r="N492" s="148" t="n"/>
      <c r="O492" s="148" t="n"/>
      <c r="P492" s="148" t="n"/>
      <c r="Q492" s="148" t="n"/>
      <c r="R492" s="148" t="n"/>
      <c r="S492" s="148" t="n"/>
      <c r="T492" s="148" t="n"/>
      <c r="U492" s="149">
        <f>IF(AND('Master Stock'!D492&lt;&gt;"",'Master Stock'!H492="OCCUPIED",ISNUMBER('Master Stock'!J492),'Master Stock'!K492=""),SUMPRODUCT(--('Master Stock'!$D$2:$D$1000&lt;&gt;""),--('Master Stock'!$H$2:$H$1000="OCCUPIED"),--ISNUMBER('Master Stock'!$J$2:$J$1000),--('Master Stock'!$K$2:$K$1000=""),--('Master Stock'!$J$2:$J$1000&lt;'Master Stock'!J492))+COUNTIFS('Master Stock'!$J$2:J492,'Master Stock'!J492,'Master Stock'!$D$2:D492,"&lt;&gt;",'Master Stock'!$H$2:H492,"OCCUPIED",'Master Stock'!$K$2:K492,""),"")</f>
        <v/>
      </c>
      <c r="V492" s="149">
        <f>IF(AND('Master Stock'!D492&lt;&gt;"",'Master Stock'!H492="OCCUPIED",ISNUMBER('Master Stock'!L492),'Master Stock'!L492&lt;TODAY()-30),SUMPRODUCT(--('Master Stock'!$D$2:$D$1000&lt;&gt;""),--('Master Stock'!$H$2:$H$1000="OCCUPIED"),--ISNUMBER('Master Stock'!$L$2:$L$1000),--('Master Stock'!$L$2:$L$1000&lt;TODAY()-30),--('Master Stock'!$L$2:$L$1000&lt;'Master Stock'!L492))+COUNTIFS('Master Stock'!$L$2:L492,'Master Stock'!L492,'Master Stock'!$D$2:D492,"&lt;&gt;",'Master Stock'!$H$2:H492,"OCCUPIED"),"")</f>
        <v/>
      </c>
      <c r="W492" s="149" t="n"/>
      <c r="X492" s="149" t="n"/>
      <c r="Y492" s="149" t="n"/>
      <c r="Z492" s="149" t="n"/>
    </row>
    <row r="493" ht="15.75" customHeight="1" s="236">
      <c r="A493" s="148" t="n"/>
      <c r="B493" s="148" t="n"/>
      <c r="C493" s="124" t="n"/>
      <c r="D493" s="148" t="n"/>
      <c r="E493" s="148" t="n"/>
      <c r="F493" s="148" t="n"/>
      <c r="G493" s="124" t="n"/>
      <c r="H493" s="148" t="n"/>
      <c r="I493" s="148" t="n"/>
      <c r="J493" s="148" t="n"/>
      <c r="K493" s="148" t="n"/>
      <c r="L493" s="148" t="n"/>
      <c r="M493" s="148" t="n"/>
      <c r="N493" s="148" t="n"/>
      <c r="O493" s="148" t="n"/>
      <c r="P493" s="148" t="n"/>
      <c r="Q493" s="148" t="n"/>
      <c r="R493" s="148" t="n"/>
      <c r="S493" s="148" t="n"/>
      <c r="T493" s="148" t="n"/>
      <c r="U493" s="149">
        <f>IF(AND('Master Stock'!D493&lt;&gt;"",'Master Stock'!H493="OCCUPIED",ISNUMBER('Master Stock'!J493),'Master Stock'!K493=""),SUMPRODUCT(--('Master Stock'!$D$2:$D$1000&lt;&gt;""),--('Master Stock'!$H$2:$H$1000="OCCUPIED"),--ISNUMBER('Master Stock'!$J$2:$J$1000),--('Master Stock'!$K$2:$K$1000=""),--('Master Stock'!$J$2:$J$1000&lt;'Master Stock'!J493))+COUNTIFS('Master Stock'!$J$2:J493,'Master Stock'!J493,'Master Stock'!$D$2:D493,"&lt;&gt;",'Master Stock'!$H$2:H493,"OCCUPIED",'Master Stock'!$K$2:K493,""),"")</f>
        <v/>
      </c>
      <c r="V493" s="149">
        <f>IF(AND('Master Stock'!D493&lt;&gt;"",'Master Stock'!H493="OCCUPIED",ISNUMBER('Master Stock'!L493),'Master Stock'!L493&lt;TODAY()-30),SUMPRODUCT(--('Master Stock'!$D$2:$D$1000&lt;&gt;""),--('Master Stock'!$H$2:$H$1000="OCCUPIED"),--ISNUMBER('Master Stock'!$L$2:$L$1000),--('Master Stock'!$L$2:$L$1000&lt;TODAY()-30),--('Master Stock'!$L$2:$L$1000&lt;'Master Stock'!L493))+COUNTIFS('Master Stock'!$L$2:L493,'Master Stock'!L493,'Master Stock'!$D$2:D493,"&lt;&gt;",'Master Stock'!$H$2:H493,"OCCUPIED"),"")</f>
        <v/>
      </c>
      <c r="W493" s="149" t="n"/>
      <c r="X493" s="149" t="n"/>
      <c r="Y493" s="149" t="n"/>
      <c r="Z493" s="149" t="n"/>
    </row>
    <row r="494" ht="15.75" customHeight="1" s="236">
      <c r="A494" s="148" t="n"/>
      <c r="B494" s="148" t="n"/>
      <c r="C494" s="124" t="n"/>
      <c r="D494" s="148" t="n"/>
      <c r="E494" s="148" t="n"/>
      <c r="F494" s="148" t="n"/>
      <c r="G494" s="124" t="n"/>
      <c r="H494" s="148" t="n"/>
      <c r="I494" s="148" t="n"/>
      <c r="J494" s="148" t="n"/>
      <c r="K494" s="148" t="n"/>
      <c r="L494" s="148" t="n"/>
      <c r="M494" s="148" t="n"/>
      <c r="N494" s="148" t="n"/>
      <c r="O494" s="148" t="n"/>
      <c r="P494" s="148" t="n"/>
      <c r="Q494" s="148" t="n"/>
      <c r="R494" s="148" t="n"/>
      <c r="S494" s="148" t="n"/>
      <c r="T494" s="148" t="n"/>
      <c r="U494" s="149">
        <f>IF(AND('Master Stock'!D494&lt;&gt;"",'Master Stock'!H494="OCCUPIED",ISNUMBER('Master Stock'!J494),'Master Stock'!K494=""),SUMPRODUCT(--('Master Stock'!$D$2:$D$1000&lt;&gt;""),--('Master Stock'!$H$2:$H$1000="OCCUPIED"),--ISNUMBER('Master Stock'!$J$2:$J$1000),--('Master Stock'!$K$2:$K$1000=""),--('Master Stock'!$J$2:$J$1000&lt;'Master Stock'!J494))+COUNTIFS('Master Stock'!$J$2:J494,'Master Stock'!J494,'Master Stock'!$D$2:D494,"&lt;&gt;",'Master Stock'!$H$2:H494,"OCCUPIED",'Master Stock'!$K$2:K494,""),"")</f>
        <v/>
      </c>
      <c r="V494" s="149">
        <f>IF(AND('Master Stock'!D494&lt;&gt;"",'Master Stock'!H494="OCCUPIED",ISNUMBER('Master Stock'!L494),'Master Stock'!L494&lt;TODAY()-30),SUMPRODUCT(--('Master Stock'!$D$2:$D$1000&lt;&gt;""),--('Master Stock'!$H$2:$H$1000="OCCUPIED"),--ISNUMBER('Master Stock'!$L$2:$L$1000),--('Master Stock'!$L$2:$L$1000&lt;TODAY()-30),--('Master Stock'!$L$2:$L$1000&lt;'Master Stock'!L494))+COUNTIFS('Master Stock'!$L$2:L494,'Master Stock'!L494,'Master Stock'!$D$2:D494,"&lt;&gt;",'Master Stock'!$H$2:H494,"OCCUPIED"),"")</f>
        <v/>
      </c>
      <c r="W494" s="149" t="n"/>
      <c r="X494" s="149" t="n"/>
      <c r="Y494" s="149" t="n"/>
      <c r="Z494" s="149" t="n"/>
    </row>
    <row r="495" ht="15.75" customHeight="1" s="236">
      <c r="A495" s="148" t="n"/>
      <c r="B495" s="148" t="n"/>
      <c r="C495" s="124" t="n"/>
      <c r="D495" s="148" t="n"/>
      <c r="E495" s="148" t="n"/>
      <c r="F495" s="148" t="n"/>
      <c r="G495" s="124" t="n"/>
      <c r="H495" s="148" t="n"/>
      <c r="I495" s="148" t="n"/>
      <c r="J495" s="148" t="n"/>
      <c r="K495" s="148" t="n"/>
      <c r="L495" s="148" t="n"/>
      <c r="M495" s="148" t="n"/>
      <c r="N495" s="148" t="n"/>
      <c r="O495" s="148" t="n"/>
      <c r="P495" s="148" t="n"/>
      <c r="Q495" s="148" t="n"/>
      <c r="R495" s="148" t="n"/>
      <c r="S495" s="148" t="n"/>
      <c r="T495" s="148" t="n"/>
      <c r="U495" s="149">
        <f>IF(AND('Master Stock'!D495&lt;&gt;"",'Master Stock'!H495="OCCUPIED",ISNUMBER('Master Stock'!J495),'Master Stock'!K495=""),SUMPRODUCT(--('Master Stock'!$D$2:$D$1000&lt;&gt;""),--('Master Stock'!$H$2:$H$1000="OCCUPIED"),--ISNUMBER('Master Stock'!$J$2:$J$1000),--('Master Stock'!$K$2:$K$1000=""),--('Master Stock'!$J$2:$J$1000&lt;'Master Stock'!J495))+COUNTIFS('Master Stock'!$J$2:J495,'Master Stock'!J495,'Master Stock'!$D$2:D495,"&lt;&gt;",'Master Stock'!$H$2:H495,"OCCUPIED",'Master Stock'!$K$2:K495,""),"")</f>
        <v/>
      </c>
      <c r="V495" s="149">
        <f>IF(AND('Master Stock'!D495&lt;&gt;"",'Master Stock'!H495="OCCUPIED",ISNUMBER('Master Stock'!L495),'Master Stock'!L495&lt;TODAY()-30),SUMPRODUCT(--('Master Stock'!$D$2:$D$1000&lt;&gt;""),--('Master Stock'!$H$2:$H$1000="OCCUPIED"),--ISNUMBER('Master Stock'!$L$2:$L$1000),--('Master Stock'!$L$2:$L$1000&lt;TODAY()-30),--('Master Stock'!$L$2:$L$1000&lt;'Master Stock'!L495))+COUNTIFS('Master Stock'!$L$2:L495,'Master Stock'!L495,'Master Stock'!$D$2:D495,"&lt;&gt;",'Master Stock'!$H$2:H495,"OCCUPIED"),"")</f>
        <v/>
      </c>
      <c r="W495" s="149" t="n"/>
      <c r="X495" s="149" t="n"/>
      <c r="Y495" s="149" t="n"/>
      <c r="Z495" s="149" t="n"/>
    </row>
    <row r="496" ht="15.75" customHeight="1" s="236">
      <c r="A496" s="148" t="n"/>
      <c r="B496" s="148" t="n"/>
      <c r="C496" s="124" t="n"/>
      <c r="D496" s="148" t="n"/>
      <c r="E496" s="148" t="n"/>
      <c r="F496" s="148" t="n"/>
      <c r="G496" s="124" t="n"/>
      <c r="H496" s="148" t="n"/>
      <c r="I496" s="148" t="n"/>
      <c r="J496" s="148" t="n"/>
      <c r="K496" s="148" t="n"/>
      <c r="L496" s="148" t="n"/>
      <c r="M496" s="148" t="n"/>
      <c r="N496" s="148" t="n"/>
      <c r="O496" s="148" t="n"/>
      <c r="P496" s="148" t="n"/>
      <c r="Q496" s="148" t="n"/>
      <c r="R496" s="148" t="n"/>
      <c r="S496" s="148" t="n"/>
      <c r="T496" s="148" t="n"/>
      <c r="U496" s="149">
        <f>IF(AND('Master Stock'!D496&lt;&gt;"",'Master Stock'!H496="OCCUPIED",ISNUMBER('Master Stock'!J496),'Master Stock'!K496=""),SUMPRODUCT(--('Master Stock'!$D$2:$D$1000&lt;&gt;""),--('Master Stock'!$H$2:$H$1000="OCCUPIED"),--ISNUMBER('Master Stock'!$J$2:$J$1000),--('Master Stock'!$K$2:$K$1000=""),--('Master Stock'!$J$2:$J$1000&lt;'Master Stock'!J496))+COUNTIFS('Master Stock'!$J$2:J496,'Master Stock'!J496,'Master Stock'!$D$2:D496,"&lt;&gt;",'Master Stock'!$H$2:H496,"OCCUPIED",'Master Stock'!$K$2:K496,""),"")</f>
        <v/>
      </c>
      <c r="V496" s="149">
        <f>IF(AND('Master Stock'!D496&lt;&gt;"",'Master Stock'!H496="OCCUPIED",ISNUMBER('Master Stock'!L496),'Master Stock'!L496&lt;TODAY()-30),SUMPRODUCT(--('Master Stock'!$D$2:$D$1000&lt;&gt;""),--('Master Stock'!$H$2:$H$1000="OCCUPIED"),--ISNUMBER('Master Stock'!$L$2:$L$1000),--('Master Stock'!$L$2:$L$1000&lt;TODAY()-30),--('Master Stock'!$L$2:$L$1000&lt;'Master Stock'!L496))+COUNTIFS('Master Stock'!$L$2:L496,'Master Stock'!L496,'Master Stock'!$D$2:D496,"&lt;&gt;",'Master Stock'!$H$2:H496,"OCCUPIED"),"")</f>
        <v/>
      </c>
      <c r="W496" s="149" t="n"/>
      <c r="X496" s="149" t="n"/>
      <c r="Y496" s="149" t="n"/>
      <c r="Z496" s="149" t="n"/>
    </row>
    <row r="497" ht="15.75" customHeight="1" s="236">
      <c r="A497" s="148" t="n"/>
      <c r="B497" s="148" t="n"/>
      <c r="C497" s="124" t="n"/>
      <c r="D497" s="148" t="n"/>
      <c r="E497" s="148" t="n"/>
      <c r="F497" s="148" t="n"/>
      <c r="G497" s="124" t="n"/>
      <c r="H497" s="148" t="n"/>
      <c r="I497" s="148" t="n"/>
      <c r="J497" s="148" t="n"/>
      <c r="K497" s="148" t="n"/>
      <c r="L497" s="148" t="n"/>
      <c r="M497" s="148" t="n"/>
      <c r="N497" s="148" t="n"/>
      <c r="O497" s="148" t="n"/>
      <c r="P497" s="148" t="n"/>
      <c r="Q497" s="148" t="n"/>
      <c r="R497" s="148" t="n"/>
      <c r="S497" s="148" t="n"/>
      <c r="T497" s="148" t="n"/>
      <c r="U497" s="149">
        <f>IF(AND('Master Stock'!D497&lt;&gt;"",'Master Stock'!H497="OCCUPIED",ISNUMBER('Master Stock'!J497),'Master Stock'!K497=""),SUMPRODUCT(--('Master Stock'!$D$2:$D$1000&lt;&gt;""),--('Master Stock'!$H$2:$H$1000="OCCUPIED"),--ISNUMBER('Master Stock'!$J$2:$J$1000),--('Master Stock'!$K$2:$K$1000=""),--('Master Stock'!$J$2:$J$1000&lt;'Master Stock'!J497))+COUNTIFS('Master Stock'!$J$2:J497,'Master Stock'!J497,'Master Stock'!$D$2:D497,"&lt;&gt;",'Master Stock'!$H$2:H497,"OCCUPIED",'Master Stock'!$K$2:K497,""),"")</f>
        <v/>
      </c>
      <c r="V497" s="149">
        <f>IF(AND('Master Stock'!D497&lt;&gt;"",'Master Stock'!H497="OCCUPIED",ISNUMBER('Master Stock'!L497),'Master Stock'!L497&lt;TODAY()-30),SUMPRODUCT(--('Master Stock'!$D$2:$D$1000&lt;&gt;""),--('Master Stock'!$H$2:$H$1000="OCCUPIED"),--ISNUMBER('Master Stock'!$L$2:$L$1000),--('Master Stock'!$L$2:$L$1000&lt;TODAY()-30),--('Master Stock'!$L$2:$L$1000&lt;'Master Stock'!L497))+COUNTIFS('Master Stock'!$L$2:L497,'Master Stock'!L497,'Master Stock'!$D$2:D497,"&lt;&gt;",'Master Stock'!$H$2:H497,"OCCUPIED"),"")</f>
        <v/>
      </c>
      <c r="W497" s="149" t="n"/>
      <c r="X497" s="149" t="n"/>
      <c r="Y497" s="149" t="n"/>
      <c r="Z497" s="149" t="n"/>
    </row>
    <row r="498" ht="15.75" customHeight="1" s="236">
      <c r="A498" s="148" t="n"/>
      <c r="B498" s="148" t="n"/>
      <c r="C498" s="124" t="n"/>
      <c r="D498" s="148" t="n"/>
      <c r="E498" s="148" t="n"/>
      <c r="F498" s="148" t="n"/>
      <c r="G498" s="124" t="n"/>
      <c r="H498" s="148" t="n"/>
      <c r="I498" s="148" t="n"/>
      <c r="J498" s="148" t="n"/>
      <c r="K498" s="148" t="n"/>
      <c r="L498" s="148" t="n"/>
      <c r="M498" s="148" t="n"/>
      <c r="N498" s="148" t="n"/>
      <c r="O498" s="148" t="n"/>
      <c r="P498" s="148" t="n"/>
      <c r="Q498" s="148" t="n"/>
      <c r="R498" s="148" t="n"/>
      <c r="S498" s="148" t="n"/>
      <c r="T498" s="148" t="n"/>
      <c r="U498" s="149">
        <f>IF(AND('Master Stock'!D498&lt;&gt;"",'Master Stock'!H498="OCCUPIED",ISNUMBER('Master Stock'!J498),'Master Stock'!K498=""),SUMPRODUCT(--('Master Stock'!$D$2:$D$1000&lt;&gt;""),--('Master Stock'!$H$2:$H$1000="OCCUPIED"),--ISNUMBER('Master Stock'!$J$2:$J$1000),--('Master Stock'!$K$2:$K$1000=""),--('Master Stock'!$J$2:$J$1000&lt;'Master Stock'!J498))+COUNTIFS('Master Stock'!$J$2:J498,'Master Stock'!J498,'Master Stock'!$D$2:D498,"&lt;&gt;",'Master Stock'!$H$2:H498,"OCCUPIED",'Master Stock'!$K$2:K498,""),"")</f>
        <v/>
      </c>
      <c r="V498" s="149">
        <f>IF(AND('Master Stock'!D498&lt;&gt;"",'Master Stock'!H498="OCCUPIED",ISNUMBER('Master Stock'!L498),'Master Stock'!L498&lt;TODAY()-30),SUMPRODUCT(--('Master Stock'!$D$2:$D$1000&lt;&gt;""),--('Master Stock'!$H$2:$H$1000="OCCUPIED"),--ISNUMBER('Master Stock'!$L$2:$L$1000),--('Master Stock'!$L$2:$L$1000&lt;TODAY()-30),--('Master Stock'!$L$2:$L$1000&lt;'Master Stock'!L498))+COUNTIFS('Master Stock'!$L$2:L498,'Master Stock'!L498,'Master Stock'!$D$2:D498,"&lt;&gt;",'Master Stock'!$H$2:H498,"OCCUPIED"),"")</f>
        <v/>
      </c>
      <c r="W498" s="149" t="n"/>
      <c r="X498" s="149" t="n"/>
      <c r="Y498" s="149" t="n"/>
      <c r="Z498" s="149" t="n"/>
    </row>
    <row r="499" ht="15.75" customHeight="1" s="236">
      <c r="A499" s="148" t="n"/>
      <c r="B499" s="148" t="n"/>
      <c r="C499" s="124" t="n"/>
      <c r="D499" s="148" t="n"/>
      <c r="E499" s="148" t="n"/>
      <c r="F499" s="148" t="n"/>
      <c r="G499" s="124" t="n"/>
      <c r="H499" s="148" t="n"/>
      <c r="I499" s="148" t="n"/>
      <c r="J499" s="148" t="n"/>
      <c r="K499" s="148" t="n"/>
      <c r="L499" s="148" t="n"/>
      <c r="M499" s="148" t="n"/>
      <c r="N499" s="148" t="n"/>
      <c r="O499" s="148" t="n"/>
      <c r="P499" s="148" t="n"/>
      <c r="Q499" s="148" t="n"/>
      <c r="R499" s="148" t="n"/>
      <c r="S499" s="148" t="n"/>
      <c r="T499" s="148" t="n"/>
      <c r="U499" s="149">
        <f>IF(AND('Master Stock'!D499&lt;&gt;"",'Master Stock'!H499="OCCUPIED",ISNUMBER('Master Stock'!J499),'Master Stock'!K499=""),SUMPRODUCT(--('Master Stock'!$D$2:$D$1000&lt;&gt;""),--('Master Stock'!$H$2:$H$1000="OCCUPIED"),--ISNUMBER('Master Stock'!$J$2:$J$1000),--('Master Stock'!$K$2:$K$1000=""),--('Master Stock'!$J$2:$J$1000&lt;'Master Stock'!J499))+COUNTIFS('Master Stock'!$J$2:J499,'Master Stock'!J499,'Master Stock'!$D$2:D499,"&lt;&gt;",'Master Stock'!$H$2:H499,"OCCUPIED",'Master Stock'!$K$2:K499,""),"")</f>
        <v/>
      </c>
      <c r="V499" s="149">
        <f>IF(AND('Master Stock'!D499&lt;&gt;"",'Master Stock'!H499="OCCUPIED",ISNUMBER('Master Stock'!L499),'Master Stock'!L499&lt;TODAY()-30),SUMPRODUCT(--('Master Stock'!$D$2:$D$1000&lt;&gt;""),--('Master Stock'!$H$2:$H$1000="OCCUPIED"),--ISNUMBER('Master Stock'!$L$2:$L$1000),--('Master Stock'!$L$2:$L$1000&lt;TODAY()-30),--('Master Stock'!$L$2:$L$1000&lt;'Master Stock'!L499))+COUNTIFS('Master Stock'!$L$2:L499,'Master Stock'!L499,'Master Stock'!$D$2:D499,"&lt;&gt;",'Master Stock'!$H$2:H499,"OCCUPIED"),"")</f>
        <v/>
      </c>
      <c r="W499" s="149" t="n"/>
      <c r="X499" s="149" t="n"/>
      <c r="Y499" s="149" t="n"/>
      <c r="Z499" s="149" t="n"/>
    </row>
    <row r="500" ht="15.75" customHeight="1" s="236">
      <c r="A500" s="148" t="n"/>
      <c r="B500" s="148" t="n"/>
      <c r="C500" s="124" t="n"/>
      <c r="D500" s="148" t="n"/>
      <c r="E500" s="148" t="n"/>
      <c r="F500" s="148" t="n"/>
      <c r="G500" s="124" t="n"/>
      <c r="H500" s="148" t="n"/>
      <c r="I500" s="148" t="n"/>
      <c r="J500" s="148" t="n"/>
      <c r="K500" s="148" t="n"/>
      <c r="L500" s="148" t="n"/>
      <c r="M500" s="148" t="n"/>
      <c r="N500" s="148" t="n"/>
      <c r="O500" s="148" t="n"/>
      <c r="P500" s="148" t="n"/>
      <c r="Q500" s="148" t="n"/>
      <c r="R500" s="148" t="n"/>
      <c r="S500" s="148" t="n"/>
      <c r="T500" s="148" t="n"/>
      <c r="U500" s="149">
        <f>IF(AND('Master Stock'!D500&lt;&gt;"",'Master Stock'!H500="OCCUPIED",ISNUMBER('Master Stock'!J500),'Master Stock'!K500=""),SUMPRODUCT(--('Master Stock'!$D$2:$D$1000&lt;&gt;""),--('Master Stock'!$H$2:$H$1000="OCCUPIED"),--ISNUMBER('Master Stock'!$J$2:$J$1000),--('Master Stock'!$K$2:$K$1000=""),--('Master Stock'!$J$2:$J$1000&lt;'Master Stock'!J500))+COUNTIFS('Master Stock'!$J$2:J500,'Master Stock'!J500,'Master Stock'!$D$2:D500,"&lt;&gt;",'Master Stock'!$H$2:H500,"OCCUPIED",'Master Stock'!$K$2:K500,""),"")</f>
        <v/>
      </c>
      <c r="V500" s="149">
        <f>IF(AND('Master Stock'!D500&lt;&gt;"",'Master Stock'!H500="OCCUPIED",ISNUMBER('Master Stock'!L500),'Master Stock'!L500&lt;TODAY()-30),SUMPRODUCT(--('Master Stock'!$D$2:$D$1000&lt;&gt;""),--('Master Stock'!$H$2:$H$1000="OCCUPIED"),--ISNUMBER('Master Stock'!$L$2:$L$1000),--('Master Stock'!$L$2:$L$1000&lt;TODAY()-30),--('Master Stock'!$L$2:$L$1000&lt;'Master Stock'!L500))+COUNTIFS('Master Stock'!$L$2:L500,'Master Stock'!L500,'Master Stock'!$D$2:D500,"&lt;&gt;",'Master Stock'!$H$2:H500,"OCCUPIED"),"")</f>
        <v/>
      </c>
      <c r="W500" s="149" t="n"/>
      <c r="X500" s="149" t="n"/>
      <c r="Y500" s="149" t="n"/>
      <c r="Z500" s="149" t="n"/>
    </row>
    <row r="501" ht="15.75" customHeight="1" s="236">
      <c r="A501" s="148" t="n"/>
      <c r="B501" s="148" t="n"/>
      <c r="C501" s="124" t="n"/>
      <c r="D501" s="148" t="n"/>
      <c r="E501" s="148" t="n"/>
      <c r="F501" s="148" t="n"/>
      <c r="G501" s="124" t="n"/>
      <c r="H501" s="148" t="n"/>
      <c r="I501" s="148" t="n"/>
      <c r="J501" s="148" t="n"/>
      <c r="K501" s="148" t="n"/>
      <c r="L501" s="148" t="n"/>
      <c r="M501" s="148" t="n"/>
      <c r="N501" s="148" t="n"/>
      <c r="O501" s="148" t="n"/>
      <c r="P501" s="148" t="n"/>
      <c r="Q501" s="148" t="n"/>
      <c r="R501" s="148" t="n"/>
      <c r="S501" s="148" t="n"/>
      <c r="T501" s="148" t="n"/>
      <c r="U501" s="149">
        <f>IF(AND('Master Stock'!D501&lt;&gt;"",'Master Stock'!H501="OCCUPIED",ISNUMBER('Master Stock'!J501),'Master Stock'!K501=""),SUMPRODUCT(--('Master Stock'!$D$2:$D$1000&lt;&gt;""),--('Master Stock'!$H$2:$H$1000="OCCUPIED"),--ISNUMBER('Master Stock'!$J$2:$J$1000),--('Master Stock'!$K$2:$K$1000=""),--('Master Stock'!$J$2:$J$1000&lt;'Master Stock'!J501))+COUNTIFS('Master Stock'!$J$2:J501,'Master Stock'!J501,'Master Stock'!$D$2:D501,"&lt;&gt;",'Master Stock'!$H$2:H501,"OCCUPIED",'Master Stock'!$K$2:K501,""),"")</f>
        <v/>
      </c>
      <c r="V501" s="149">
        <f>IF(AND('Master Stock'!D501&lt;&gt;"",'Master Stock'!H501="OCCUPIED",ISNUMBER('Master Stock'!L501),'Master Stock'!L501&lt;TODAY()-30),SUMPRODUCT(--('Master Stock'!$D$2:$D$1000&lt;&gt;""),--('Master Stock'!$H$2:$H$1000="OCCUPIED"),--ISNUMBER('Master Stock'!$L$2:$L$1000),--('Master Stock'!$L$2:$L$1000&lt;TODAY()-30),--('Master Stock'!$L$2:$L$1000&lt;'Master Stock'!L501))+COUNTIFS('Master Stock'!$L$2:L501,'Master Stock'!L501,'Master Stock'!$D$2:D501,"&lt;&gt;",'Master Stock'!$H$2:H501,"OCCUPIED"),"")</f>
        <v/>
      </c>
      <c r="W501" s="149" t="n"/>
      <c r="X501" s="149" t="n"/>
      <c r="Y501" s="149" t="n"/>
      <c r="Z501" s="149" t="n"/>
    </row>
    <row r="502" ht="15.75" customHeight="1" s="236">
      <c r="A502" s="148" t="n"/>
      <c r="B502" s="148" t="n"/>
      <c r="C502" s="124" t="n"/>
      <c r="D502" s="148" t="n"/>
      <c r="E502" s="148" t="n"/>
      <c r="F502" s="148" t="n"/>
      <c r="G502" s="124" t="n"/>
      <c r="H502" s="148" t="n"/>
      <c r="I502" s="148" t="n"/>
      <c r="J502" s="148" t="n"/>
      <c r="K502" s="148" t="n"/>
      <c r="L502" s="148" t="n"/>
      <c r="M502" s="148" t="n"/>
      <c r="N502" s="148" t="n"/>
      <c r="O502" s="148" t="n"/>
      <c r="P502" s="148" t="n"/>
      <c r="Q502" s="148" t="n"/>
      <c r="R502" s="148" t="n"/>
      <c r="S502" s="148" t="n"/>
      <c r="T502" s="148" t="n"/>
      <c r="U502" s="149">
        <f>IF(AND('Master Stock'!D502&lt;&gt;"",'Master Stock'!H502="OCCUPIED",ISNUMBER('Master Stock'!J502),'Master Stock'!K502=""),SUMPRODUCT(--('Master Stock'!$D$2:$D$1000&lt;&gt;""),--('Master Stock'!$H$2:$H$1000="OCCUPIED"),--ISNUMBER('Master Stock'!$J$2:$J$1000),--('Master Stock'!$K$2:$K$1000=""),--('Master Stock'!$J$2:$J$1000&lt;'Master Stock'!J502))+COUNTIFS('Master Stock'!$J$2:J502,'Master Stock'!J502,'Master Stock'!$D$2:D502,"&lt;&gt;",'Master Stock'!$H$2:H502,"OCCUPIED",'Master Stock'!$K$2:K502,""),"")</f>
        <v/>
      </c>
      <c r="V502" s="149">
        <f>IF(AND('Master Stock'!D502&lt;&gt;"",'Master Stock'!H502="OCCUPIED",ISNUMBER('Master Stock'!L502),'Master Stock'!L502&lt;TODAY()-30),SUMPRODUCT(--('Master Stock'!$D$2:$D$1000&lt;&gt;""),--('Master Stock'!$H$2:$H$1000="OCCUPIED"),--ISNUMBER('Master Stock'!$L$2:$L$1000),--('Master Stock'!$L$2:$L$1000&lt;TODAY()-30),--('Master Stock'!$L$2:$L$1000&lt;'Master Stock'!L502))+COUNTIFS('Master Stock'!$L$2:L502,'Master Stock'!L502,'Master Stock'!$D$2:D502,"&lt;&gt;",'Master Stock'!$H$2:H502,"OCCUPIED"),"")</f>
        <v/>
      </c>
      <c r="W502" s="149" t="n"/>
      <c r="X502" s="149" t="n"/>
      <c r="Y502" s="149" t="n"/>
      <c r="Z502" s="149" t="n"/>
    </row>
    <row r="503" ht="15.75" customHeight="1" s="236">
      <c r="A503" s="148" t="n"/>
      <c r="B503" s="148" t="n"/>
      <c r="C503" s="124" t="n"/>
      <c r="D503" s="148" t="n"/>
      <c r="E503" s="148" t="n"/>
      <c r="F503" s="148" t="n"/>
      <c r="G503" s="124" t="n"/>
      <c r="H503" s="148" t="n"/>
      <c r="I503" s="148" t="n"/>
      <c r="J503" s="148" t="n"/>
      <c r="K503" s="148" t="n"/>
      <c r="L503" s="148" t="n"/>
      <c r="M503" s="148" t="n"/>
      <c r="N503" s="148" t="n"/>
      <c r="O503" s="148" t="n"/>
      <c r="P503" s="148" t="n"/>
      <c r="Q503" s="148" t="n"/>
      <c r="R503" s="148" t="n"/>
      <c r="S503" s="148" t="n"/>
      <c r="T503" s="148" t="n"/>
      <c r="U503" s="149">
        <f>IF(AND('Master Stock'!D503&lt;&gt;"",'Master Stock'!H503="OCCUPIED",ISNUMBER('Master Stock'!J503),'Master Stock'!K503=""),SUMPRODUCT(--('Master Stock'!$D$2:$D$1000&lt;&gt;""),--('Master Stock'!$H$2:$H$1000="OCCUPIED"),--ISNUMBER('Master Stock'!$J$2:$J$1000),--('Master Stock'!$K$2:$K$1000=""),--('Master Stock'!$J$2:$J$1000&lt;'Master Stock'!J503))+COUNTIFS('Master Stock'!$J$2:J503,'Master Stock'!J503,'Master Stock'!$D$2:D503,"&lt;&gt;",'Master Stock'!$H$2:H503,"OCCUPIED",'Master Stock'!$K$2:K503,""),"")</f>
        <v/>
      </c>
      <c r="V503" s="149">
        <f>IF(AND('Master Stock'!D503&lt;&gt;"",'Master Stock'!H503="OCCUPIED",ISNUMBER('Master Stock'!L503),'Master Stock'!L503&lt;TODAY()-30),SUMPRODUCT(--('Master Stock'!$D$2:$D$1000&lt;&gt;""),--('Master Stock'!$H$2:$H$1000="OCCUPIED"),--ISNUMBER('Master Stock'!$L$2:$L$1000),--('Master Stock'!$L$2:$L$1000&lt;TODAY()-30),--('Master Stock'!$L$2:$L$1000&lt;'Master Stock'!L503))+COUNTIFS('Master Stock'!$L$2:L503,'Master Stock'!L503,'Master Stock'!$D$2:D503,"&lt;&gt;",'Master Stock'!$H$2:H503,"OCCUPIED"),"")</f>
        <v/>
      </c>
      <c r="W503" s="149" t="n"/>
      <c r="X503" s="149" t="n"/>
      <c r="Y503" s="149" t="n"/>
      <c r="Z503" s="149" t="n"/>
    </row>
    <row r="504" ht="15.75" customHeight="1" s="236">
      <c r="A504" s="148" t="n"/>
      <c r="B504" s="148" t="n"/>
      <c r="C504" s="124" t="n"/>
      <c r="D504" s="148" t="n"/>
      <c r="E504" s="148" t="n"/>
      <c r="F504" s="148" t="n"/>
      <c r="G504" s="124" t="n"/>
      <c r="H504" s="148" t="n"/>
      <c r="I504" s="148" t="n"/>
      <c r="J504" s="148" t="n"/>
      <c r="K504" s="148" t="n"/>
      <c r="L504" s="148" t="n"/>
      <c r="M504" s="148" t="n"/>
      <c r="N504" s="148" t="n"/>
      <c r="O504" s="148" t="n"/>
      <c r="P504" s="148" t="n"/>
      <c r="Q504" s="148" t="n"/>
      <c r="R504" s="148" t="n"/>
      <c r="S504" s="148" t="n"/>
      <c r="T504" s="148" t="n"/>
      <c r="U504" s="149">
        <f>IF(AND('Master Stock'!D504&lt;&gt;"",'Master Stock'!H504="OCCUPIED",ISNUMBER('Master Stock'!J504),'Master Stock'!K504=""),SUMPRODUCT(--('Master Stock'!$D$2:$D$1000&lt;&gt;""),--('Master Stock'!$H$2:$H$1000="OCCUPIED"),--ISNUMBER('Master Stock'!$J$2:$J$1000),--('Master Stock'!$K$2:$K$1000=""),--('Master Stock'!$J$2:$J$1000&lt;'Master Stock'!J504))+COUNTIFS('Master Stock'!$J$2:J504,'Master Stock'!J504,'Master Stock'!$D$2:D504,"&lt;&gt;",'Master Stock'!$H$2:H504,"OCCUPIED",'Master Stock'!$K$2:K504,""),"")</f>
        <v/>
      </c>
      <c r="V504" s="149">
        <f>IF(AND('Master Stock'!D504&lt;&gt;"",'Master Stock'!H504="OCCUPIED",ISNUMBER('Master Stock'!L504),'Master Stock'!L504&lt;TODAY()-30),SUMPRODUCT(--('Master Stock'!$D$2:$D$1000&lt;&gt;""),--('Master Stock'!$H$2:$H$1000="OCCUPIED"),--ISNUMBER('Master Stock'!$L$2:$L$1000),--('Master Stock'!$L$2:$L$1000&lt;TODAY()-30),--('Master Stock'!$L$2:$L$1000&lt;'Master Stock'!L504))+COUNTIFS('Master Stock'!$L$2:L504,'Master Stock'!L504,'Master Stock'!$D$2:D504,"&lt;&gt;",'Master Stock'!$H$2:H504,"OCCUPIED"),"")</f>
        <v/>
      </c>
      <c r="W504" s="149" t="n"/>
      <c r="X504" s="149" t="n"/>
      <c r="Y504" s="149" t="n"/>
      <c r="Z504" s="149" t="n"/>
    </row>
    <row r="505" ht="15.75" customHeight="1" s="236">
      <c r="A505" s="148" t="n"/>
      <c r="B505" s="148" t="n"/>
      <c r="C505" s="124" t="n"/>
      <c r="D505" s="148" t="n"/>
      <c r="E505" s="148" t="n"/>
      <c r="F505" s="148" t="n"/>
      <c r="G505" s="124" t="n"/>
      <c r="H505" s="148" t="n"/>
      <c r="I505" s="148" t="n"/>
      <c r="J505" s="148" t="n"/>
      <c r="K505" s="148" t="n"/>
      <c r="L505" s="148" t="n"/>
      <c r="M505" s="148" t="n"/>
      <c r="N505" s="148" t="n"/>
      <c r="O505" s="148" t="n"/>
      <c r="P505" s="148" t="n"/>
      <c r="Q505" s="148" t="n"/>
      <c r="R505" s="148" t="n"/>
      <c r="S505" s="148" t="n"/>
      <c r="T505" s="148" t="n"/>
      <c r="U505" s="149">
        <f>IF(AND('Master Stock'!D505&lt;&gt;"",'Master Stock'!H505="OCCUPIED",ISNUMBER('Master Stock'!J505),'Master Stock'!K505=""),SUMPRODUCT(--('Master Stock'!$D$2:$D$1000&lt;&gt;""),--('Master Stock'!$H$2:$H$1000="OCCUPIED"),--ISNUMBER('Master Stock'!$J$2:$J$1000),--('Master Stock'!$K$2:$K$1000=""),--('Master Stock'!$J$2:$J$1000&lt;'Master Stock'!J505))+COUNTIFS('Master Stock'!$J$2:J505,'Master Stock'!J505,'Master Stock'!$D$2:D505,"&lt;&gt;",'Master Stock'!$H$2:H505,"OCCUPIED",'Master Stock'!$K$2:K505,""),"")</f>
        <v/>
      </c>
      <c r="V505" s="149">
        <f>IF(AND('Master Stock'!D505&lt;&gt;"",'Master Stock'!H505="OCCUPIED",ISNUMBER('Master Stock'!L505),'Master Stock'!L505&lt;TODAY()-30),SUMPRODUCT(--('Master Stock'!$D$2:$D$1000&lt;&gt;""),--('Master Stock'!$H$2:$H$1000="OCCUPIED"),--ISNUMBER('Master Stock'!$L$2:$L$1000),--('Master Stock'!$L$2:$L$1000&lt;TODAY()-30),--('Master Stock'!$L$2:$L$1000&lt;'Master Stock'!L505))+COUNTIFS('Master Stock'!$L$2:L505,'Master Stock'!L505,'Master Stock'!$D$2:D505,"&lt;&gt;",'Master Stock'!$H$2:H505,"OCCUPIED"),"")</f>
        <v/>
      </c>
      <c r="W505" s="149" t="n"/>
      <c r="X505" s="149" t="n"/>
      <c r="Y505" s="149" t="n"/>
      <c r="Z505" s="149" t="n"/>
    </row>
    <row r="506" ht="15.75" customHeight="1" s="236">
      <c r="A506" s="148" t="n"/>
      <c r="B506" s="148" t="n"/>
      <c r="C506" s="124" t="n"/>
      <c r="D506" s="148" t="n"/>
      <c r="E506" s="148" t="n"/>
      <c r="F506" s="148" t="n"/>
      <c r="G506" s="124" t="n"/>
      <c r="H506" s="148" t="n"/>
      <c r="I506" s="148" t="n"/>
      <c r="J506" s="148" t="n"/>
      <c r="K506" s="148" t="n"/>
      <c r="L506" s="148" t="n"/>
      <c r="M506" s="148" t="n"/>
      <c r="N506" s="148" t="n"/>
      <c r="O506" s="148" t="n"/>
      <c r="P506" s="148" t="n"/>
      <c r="Q506" s="148" t="n"/>
      <c r="R506" s="148" t="n"/>
      <c r="S506" s="148" t="n"/>
      <c r="T506" s="148" t="n"/>
      <c r="U506" s="149">
        <f>IF(AND('Master Stock'!D506&lt;&gt;"",'Master Stock'!H506="OCCUPIED",ISNUMBER('Master Stock'!J506),'Master Stock'!K506=""),SUMPRODUCT(--('Master Stock'!$D$2:$D$1000&lt;&gt;""),--('Master Stock'!$H$2:$H$1000="OCCUPIED"),--ISNUMBER('Master Stock'!$J$2:$J$1000),--('Master Stock'!$K$2:$K$1000=""),--('Master Stock'!$J$2:$J$1000&lt;'Master Stock'!J506))+COUNTIFS('Master Stock'!$J$2:J506,'Master Stock'!J506,'Master Stock'!$D$2:D506,"&lt;&gt;",'Master Stock'!$H$2:H506,"OCCUPIED",'Master Stock'!$K$2:K506,""),"")</f>
        <v/>
      </c>
      <c r="V506" s="149">
        <f>IF(AND('Master Stock'!D506&lt;&gt;"",'Master Stock'!H506="OCCUPIED",ISNUMBER('Master Stock'!L506),'Master Stock'!L506&lt;TODAY()-30),SUMPRODUCT(--('Master Stock'!$D$2:$D$1000&lt;&gt;""),--('Master Stock'!$H$2:$H$1000="OCCUPIED"),--ISNUMBER('Master Stock'!$L$2:$L$1000),--('Master Stock'!$L$2:$L$1000&lt;TODAY()-30),--('Master Stock'!$L$2:$L$1000&lt;'Master Stock'!L506))+COUNTIFS('Master Stock'!$L$2:L506,'Master Stock'!L506,'Master Stock'!$D$2:D506,"&lt;&gt;",'Master Stock'!$H$2:H506,"OCCUPIED"),"")</f>
        <v/>
      </c>
      <c r="W506" s="149" t="n"/>
      <c r="X506" s="149" t="n"/>
      <c r="Y506" s="149" t="n"/>
      <c r="Z506" s="149" t="n"/>
    </row>
    <row r="507" ht="15.75" customHeight="1" s="236">
      <c r="A507" s="148" t="n"/>
      <c r="B507" s="148" t="n"/>
      <c r="C507" s="124" t="n"/>
      <c r="D507" s="148" t="n"/>
      <c r="E507" s="148" t="n"/>
      <c r="F507" s="148" t="n"/>
      <c r="G507" s="124" t="n"/>
      <c r="H507" s="148" t="n"/>
      <c r="I507" s="148" t="n"/>
      <c r="J507" s="148" t="n"/>
      <c r="K507" s="148" t="n"/>
      <c r="L507" s="148" t="n"/>
      <c r="M507" s="148" t="n"/>
      <c r="N507" s="148" t="n"/>
      <c r="O507" s="148" t="n"/>
      <c r="P507" s="148" t="n"/>
      <c r="Q507" s="148" t="n"/>
      <c r="R507" s="148" t="n"/>
      <c r="S507" s="148" t="n"/>
      <c r="T507" s="148" t="n"/>
      <c r="U507" s="149">
        <f>IF(AND('Master Stock'!D507&lt;&gt;"",'Master Stock'!H507="OCCUPIED",ISNUMBER('Master Stock'!J507),'Master Stock'!K507=""),SUMPRODUCT(--('Master Stock'!$D$2:$D$1000&lt;&gt;""),--('Master Stock'!$H$2:$H$1000="OCCUPIED"),--ISNUMBER('Master Stock'!$J$2:$J$1000),--('Master Stock'!$K$2:$K$1000=""),--('Master Stock'!$J$2:$J$1000&lt;'Master Stock'!J507))+COUNTIFS('Master Stock'!$J$2:J507,'Master Stock'!J507,'Master Stock'!$D$2:D507,"&lt;&gt;",'Master Stock'!$H$2:H507,"OCCUPIED",'Master Stock'!$K$2:K507,""),"")</f>
        <v/>
      </c>
      <c r="V507" s="149">
        <f>IF(AND('Master Stock'!D507&lt;&gt;"",'Master Stock'!H507="OCCUPIED",ISNUMBER('Master Stock'!L507),'Master Stock'!L507&lt;TODAY()-30),SUMPRODUCT(--('Master Stock'!$D$2:$D$1000&lt;&gt;""),--('Master Stock'!$H$2:$H$1000="OCCUPIED"),--ISNUMBER('Master Stock'!$L$2:$L$1000),--('Master Stock'!$L$2:$L$1000&lt;TODAY()-30),--('Master Stock'!$L$2:$L$1000&lt;'Master Stock'!L507))+COUNTIFS('Master Stock'!$L$2:L507,'Master Stock'!L507,'Master Stock'!$D$2:D507,"&lt;&gt;",'Master Stock'!$H$2:H507,"OCCUPIED"),"")</f>
        <v/>
      </c>
      <c r="W507" s="149" t="n"/>
      <c r="X507" s="149" t="n"/>
      <c r="Y507" s="149" t="n"/>
      <c r="Z507" s="149" t="n"/>
    </row>
    <row r="508" ht="15.75" customHeight="1" s="236">
      <c r="A508" s="148" t="n"/>
      <c r="B508" s="148" t="n"/>
      <c r="C508" s="124" t="n"/>
      <c r="D508" s="148" t="n"/>
      <c r="E508" s="148" t="n"/>
      <c r="F508" s="148" t="n"/>
      <c r="G508" s="124" t="n"/>
      <c r="H508" s="148" t="n"/>
      <c r="I508" s="148" t="n"/>
      <c r="J508" s="148" t="n"/>
      <c r="K508" s="148" t="n"/>
      <c r="L508" s="148" t="n"/>
      <c r="M508" s="148" t="n"/>
      <c r="N508" s="148" t="n"/>
      <c r="O508" s="148" t="n"/>
      <c r="P508" s="148" t="n"/>
      <c r="Q508" s="148" t="n"/>
      <c r="R508" s="148" t="n"/>
      <c r="S508" s="148" t="n"/>
      <c r="T508" s="148" t="n"/>
      <c r="U508" s="149">
        <f>IF(AND('Master Stock'!D508&lt;&gt;"",'Master Stock'!H508="OCCUPIED",ISNUMBER('Master Stock'!J508),'Master Stock'!K508=""),SUMPRODUCT(--('Master Stock'!$D$2:$D$1000&lt;&gt;""),--('Master Stock'!$H$2:$H$1000="OCCUPIED"),--ISNUMBER('Master Stock'!$J$2:$J$1000),--('Master Stock'!$K$2:$K$1000=""),--('Master Stock'!$J$2:$J$1000&lt;'Master Stock'!J508))+COUNTIFS('Master Stock'!$J$2:J508,'Master Stock'!J508,'Master Stock'!$D$2:D508,"&lt;&gt;",'Master Stock'!$H$2:H508,"OCCUPIED",'Master Stock'!$K$2:K508,""),"")</f>
        <v/>
      </c>
      <c r="V508" s="149">
        <f>IF(AND('Master Stock'!D508&lt;&gt;"",'Master Stock'!H508="OCCUPIED",ISNUMBER('Master Stock'!L508),'Master Stock'!L508&lt;TODAY()-30),SUMPRODUCT(--('Master Stock'!$D$2:$D$1000&lt;&gt;""),--('Master Stock'!$H$2:$H$1000="OCCUPIED"),--ISNUMBER('Master Stock'!$L$2:$L$1000),--('Master Stock'!$L$2:$L$1000&lt;TODAY()-30),--('Master Stock'!$L$2:$L$1000&lt;'Master Stock'!L508))+COUNTIFS('Master Stock'!$L$2:L508,'Master Stock'!L508,'Master Stock'!$D$2:D508,"&lt;&gt;",'Master Stock'!$H$2:H508,"OCCUPIED"),"")</f>
        <v/>
      </c>
      <c r="W508" s="149" t="n"/>
      <c r="X508" s="149" t="n"/>
      <c r="Y508" s="149" t="n"/>
      <c r="Z508" s="149" t="n"/>
    </row>
    <row r="509" ht="15.75" customHeight="1" s="236">
      <c r="A509" s="148" t="n"/>
      <c r="B509" s="148" t="n"/>
      <c r="C509" s="124" t="n"/>
      <c r="D509" s="148" t="n"/>
      <c r="E509" s="148" t="n"/>
      <c r="F509" s="148" t="n"/>
      <c r="G509" s="124" t="n"/>
      <c r="H509" s="148" t="n"/>
      <c r="I509" s="148" t="n"/>
      <c r="J509" s="148" t="n"/>
      <c r="K509" s="148" t="n"/>
      <c r="L509" s="148" t="n"/>
      <c r="M509" s="148" t="n"/>
      <c r="N509" s="148" t="n"/>
      <c r="O509" s="148" t="n"/>
      <c r="P509" s="148" t="n"/>
      <c r="Q509" s="148" t="n"/>
      <c r="R509" s="148" t="n"/>
      <c r="S509" s="148" t="n"/>
      <c r="T509" s="148" t="n"/>
      <c r="U509" s="149">
        <f>IF(AND('Master Stock'!D509&lt;&gt;"",'Master Stock'!H509="OCCUPIED",ISNUMBER('Master Stock'!J509),'Master Stock'!K509=""),SUMPRODUCT(--('Master Stock'!$D$2:$D$1000&lt;&gt;""),--('Master Stock'!$H$2:$H$1000="OCCUPIED"),--ISNUMBER('Master Stock'!$J$2:$J$1000),--('Master Stock'!$K$2:$K$1000=""),--('Master Stock'!$J$2:$J$1000&lt;'Master Stock'!J509))+COUNTIFS('Master Stock'!$J$2:J509,'Master Stock'!J509,'Master Stock'!$D$2:D509,"&lt;&gt;",'Master Stock'!$H$2:H509,"OCCUPIED",'Master Stock'!$K$2:K509,""),"")</f>
        <v/>
      </c>
      <c r="V509" s="149">
        <f>IF(AND('Master Stock'!D509&lt;&gt;"",'Master Stock'!H509="OCCUPIED",ISNUMBER('Master Stock'!L509),'Master Stock'!L509&lt;TODAY()-30),SUMPRODUCT(--('Master Stock'!$D$2:$D$1000&lt;&gt;""),--('Master Stock'!$H$2:$H$1000="OCCUPIED"),--ISNUMBER('Master Stock'!$L$2:$L$1000),--('Master Stock'!$L$2:$L$1000&lt;TODAY()-30),--('Master Stock'!$L$2:$L$1000&lt;'Master Stock'!L509))+COUNTIFS('Master Stock'!$L$2:L509,'Master Stock'!L509,'Master Stock'!$D$2:D509,"&lt;&gt;",'Master Stock'!$H$2:H509,"OCCUPIED"),"")</f>
        <v/>
      </c>
      <c r="W509" s="149" t="n"/>
      <c r="X509" s="149" t="n"/>
      <c r="Y509" s="149" t="n"/>
      <c r="Z509" s="149" t="n"/>
    </row>
    <row r="510" ht="15.75" customHeight="1" s="236">
      <c r="A510" s="148" t="n"/>
      <c r="B510" s="148" t="n"/>
      <c r="C510" s="124" t="n"/>
      <c r="D510" s="148" t="n"/>
      <c r="E510" s="148" t="n"/>
      <c r="F510" s="148" t="n"/>
      <c r="G510" s="124" t="n"/>
      <c r="H510" s="148" t="n"/>
      <c r="I510" s="148" t="n"/>
      <c r="J510" s="148" t="n"/>
      <c r="K510" s="148" t="n"/>
      <c r="L510" s="148" t="n"/>
      <c r="M510" s="148" t="n"/>
      <c r="N510" s="148" t="n"/>
      <c r="O510" s="148" t="n"/>
      <c r="P510" s="148" t="n"/>
      <c r="Q510" s="148" t="n"/>
      <c r="R510" s="148" t="n"/>
      <c r="S510" s="148" t="n"/>
      <c r="T510" s="148" t="n"/>
      <c r="U510" s="149">
        <f>IF(AND('Master Stock'!D510&lt;&gt;"",'Master Stock'!H510="OCCUPIED",ISNUMBER('Master Stock'!J510),'Master Stock'!K510=""),SUMPRODUCT(--('Master Stock'!$D$2:$D$1000&lt;&gt;""),--('Master Stock'!$H$2:$H$1000="OCCUPIED"),--ISNUMBER('Master Stock'!$J$2:$J$1000),--('Master Stock'!$K$2:$K$1000=""),--('Master Stock'!$J$2:$J$1000&lt;'Master Stock'!J510))+COUNTIFS('Master Stock'!$J$2:J510,'Master Stock'!J510,'Master Stock'!$D$2:D510,"&lt;&gt;",'Master Stock'!$H$2:H510,"OCCUPIED",'Master Stock'!$K$2:K510,""),"")</f>
        <v/>
      </c>
      <c r="V510" s="149">
        <f>IF(AND('Master Stock'!D510&lt;&gt;"",'Master Stock'!H510="OCCUPIED",ISNUMBER('Master Stock'!L510),'Master Stock'!L510&lt;TODAY()-30),SUMPRODUCT(--('Master Stock'!$D$2:$D$1000&lt;&gt;""),--('Master Stock'!$H$2:$H$1000="OCCUPIED"),--ISNUMBER('Master Stock'!$L$2:$L$1000),--('Master Stock'!$L$2:$L$1000&lt;TODAY()-30),--('Master Stock'!$L$2:$L$1000&lt;'Master Stock'!L510))+COUNTIFS('Master Stock'!$L$2:L510,'Master Stock'!L510,'Master Stock'!$D$2:D510,"&lt;&gt;",'Master Stock'!$H$2:H510,"OCCUPIED"),"")</f>
        <v/>
      </c>
      <c r="W510" s="149" t="n"/>
      <c r="X510" s="149" t="n"/>
      <c r="Y510" s="149" t="n"/>
      <c r="Z510" s="149" t="n"/>
    </row>
    <row r="511" ht="15.75" customHeight="1" s="236">
      <c r="A511" s="148" t="n"/>
      <c r="B511" s="148" t="n"/>
      <c r="C511" s="124" t="n"/>
      <c r="D511" s="148" t="n"/>
      <c r="E511" s="148" t="n"/>
      <c r="F511" s="148" t="n"/>
      <c r="G511" s="124" t="n"/>
      <c r="H511" s="148" t="n"/>
      <c r="I511" s="148" t="n"/>
      <c r="J511" s="148" t="n"/>
      <c r="K511" s="148" t="n"/>
      <c r="L511" s="148" t="n"/>
      <c r="M511" s="148" t="n"/>
      <c r="N511" s="148" t="n"/>
      <c r="O511" s="148" t="n"/>
      <c r="P511" s="148" t="n"/>
      <c r="Q511" s="148" t="n"/>
      <c r="R511" s="148" t="n"/>
      <c r="S511" s="148" t="n"/>
      <c r="T511" s="148" t="n"/>
      <c r="U511" s="149">
        <f>IF(AND('Master Stock'!D511&lt;&gt;"",'Master Stock'!H511="OCCUPIED",ISNUMBER('Master Stock'!J511),'Master Stock'!K511=""),SUMPRODUCT(--('Master Stock'!$D$2:$D$1000&lt;&gt;""),--('Master Stock'!$H$2:$H$1000="OCCUPIED"),--ISNUMBER('Master Stock'!$J$2:$J$1000),--('Master Stock'!$K$2:$K$1000=""),--('Master Stock'!$J$2:$J$1000&lt;'Master Stock'!J511))+COUNTIFS('Master Stock'!$J$2:J511,'Master Stock'!J511,'Master Stock'!$D$2:D511,"&lt;&gt;",'Master Stock'!$H$2:H511,"OCCUPIED",'Master Stock'!$K$2:K511,""),"")</f>
        <v/>
      </c>
      <c r="V511" s="149">
        <f>IF(AND('Master Stock'!D511&lt;&gt;"",'Master Stock'!H511="OCCUPIED",ISNUMBER('Master Stock'!L511),'Master Stock'!L511&lt;TODAY()-30),SUMPRODUCT(--('Master Stock'!$D$2:$D$1000&lt;&gt;""),--('Master Stock'!$H$2:$H$1000="OCCUPIED"),--ISNUMBER('Master Stock'!$L$2:$L$1000),--('Master Stock'!$L$2:$L$1000&lt;TODAY()-30),--('Master Stock'!$L$2:$L$1000&lt;'Master Stock'!L511))+COUNTIFS('Master Stock'!$L$2:L511,'Master Stock'!L511,'Master Stock'!$D$2:D511,"&lt;&gt;",'Master Stock'!$H$2:H511,"OCCUPIED"),"")</f>
        <v/>
      </c>
      <c r="W511" s="149" t="n"/>
      <c r="X511" s="149" t="n"/>
      <c r="Y511" s="149" t="n"/>
      <c r="Z511" s="149" t="n"/>
    </row>
    <row r="512" ht="15.75" customHeight="1" s="236">
      <c r="A512" s="148" t="n"/>
      <c r="B512" s="148" t="n"/>
      <c r="C512" s="124" t="n"/>
      <c r="D512" s="148" t="n"/>
      <c r="E512" s="148" t="n"/>
      <c r="F512" s="148" t="n"/>
      <c r="G512" s="124" t="n"/>
      <c r="H512" s="148" t="n"/>
      <c r="I512" s="148" t="n"/>
      <c r="J512" s="148" t="n"/>
      <c r="K512" s="148" t="n"/>
      <c r="L512" s="148" t="n"/>
      <c r="M512" s="148" t="n"/>
      <c r="N512" s="148" t="n"/>
      <c r="O512" s="148" t="n"/>
      <c r="P512" s="148" t="n"/>
      <c r="Q512" s="148" t="n"/>
      <c r="R512" s="148" t="n"/>
      <c r="S512" s="148" t="n"/>
      <c r="T512" s="148" t="n"/>
      <c r="U512" s="149">
        <f>IF(AND('Master Stock'!D512&lt;&gt;"",'Master Stock'!H512="OCCUPIED",ISNUMBER('Master Stock'!J512),'Master Stock'!K512=""),SUMPRODUCT(--('Master Stock'!$D$2:$D$1000&lt;&gt;""),--('Master Stock'!$H$2:$H$1000="OCCUPIED"),--ISNUMBER('Master Stock'!$J$2:$J$1000),--('Master Stock'!$K$2:$K$1000=""),--('Master Stock'!$J$2:$J$1000&lt;'Master Stock'!J512))+COUNTIFS('Master Stock'!$J$2:J512,'Master Stock'!J512,'Master Stock'!$D$2:D512,"&lt;&gt;",'Master Stock'!$H$2:H512,"OCCUPIED",'Master Stock'!$K$2:K512,""),"")</f>
        <v/>
      </c>
      <c r="V512" s="149">
        <f>IF(AND('Master Stock'!D512&lt;&gt;"",'Master Stock'!H512="OCCUPIED",ISNUMBER('Master Stock'!L512),'Master Stock'!L512&lt;TODAY()-30),SUMPRODUCT(--('Master Stock'!$D$2:$D$1000&lt;&gt;""),--('Master Stock'!$H$2:$H$1000="OCCUPIED"),--ISNUMBER('Master Stock'!$L$2:$L$1000),--('Master Stock'!$L$2:$L$1000&lt;TODAY()-30),--('Master Stock'!$L$2:$L$1000&lt;'Master Stock'!L512))+COUNTIFS('Master Stock'!$L$2:L512,'Master Stock'!L512,'Master Stock'!$D$2:D512,"&lt;&gt;",'Master Stock'!$H$2:H512,"OCCUPIED"),"")</f>
        <v/>
      </c>
      <c r="W512" s="149" t="n"/>
      <c r="X512" s="149" t="n"/>
      <c r="Y512" s="149" t="n"/>
      <c r="Z512" s="149" t="n"/>
    </row>
    <row r="513" ht="15.75" customHeight="1" s="236">
      <c r="A513" s="148" t="n"/>
      <c r="B513" s="148" t="n"/>
      <c r="C513" s="124" t="n"/>
      <c r="D513" s="148" t="n"/>
      <c r="E513" s="148" t="n"/>
      <c r="F513" s="148" t="n"/>
      <c r="G513" s="124" t="n"/>
      <c r="H513" s="148" t="n"/>
      <c r="I513" s="148" t="n"/>
      <c r="J513" s="148" t="n"/>
      <c r="K513" s="148" t="n"/>
      <c r="L513" s="148" t="n"/>
      <c r="M513" s="148" t="n"/>
      <c r="N513" s="148" t="n"/>
      <c r="O513" s="148" t="n"/>
      <c r="P513" s="148" t="n"/>
      <c r="Q513" s="148" t="n"/>
      <c r="R513" s="148" t="n"/>
      <c r="S513" s="148" t="n"/>
      <c r="T513" s="148" t="n"/>
      <c r="U513" s="149">
        <f>IF(AND('Master Stock'!D513&lt;&gt;"",'Master Stock'!H513="OCCUPIED",ISNUMBER('Master Stock'!J513),'Master Stock'!K513=""),SUMPRODUCT(--('Master Stock'!$D$2:$D$1000&lt;&gt;""),--('Master Stock'!$H$2:$H$1000="OCCUPIED"),--ISNUMBER('Master Stock'!$J$2:$J$1000),--('Master Stock'!$K$2:$K$1000=""),--('Master Stock'!$J$2:$J$1000&lt;'Master Stock'!J513))+COUNTIFS('Master Stock'!$J$2:J513,'Master Stock'!J513,'Master Stock'!$D$2:D513,"&lt;&gt;",'Master Stock'!$H$2:H513,"OCCUPIED",'Master Stock'!$K$2:K513,""),"")</f>
        <v/>
      </c>
      <c r="V513" s="149">
        <f>IF(AND('Master Stock'!D513&lt;&gt;"",'Master Stock'!H513="OCCUPIED",ISNUMBER('Master Stock'!L513),'Master Stock'!L513&lt;TODAY()-30),SUMPRODUCT(--('Master Stock'!$D$2:$D$1000&lt;&gt;""),--('Master Stock'!$H$2:$H$1000="OCCUPIED"),--ISNUMBER('Master Stock'!$L$2:$L$1000),--('Master Stock'!$L$2:$L$1000&lt;TODAY()-30),--('Master Stock'!$L$2:$L$1000&lt;'Master Stock'!L513))+COUNTIFS('Master Stock'!$L$2:L513,'Master Stock'!L513,'Master Stock'!$D$2:D513,"&lt;&gt;",'Master Stock'!$H$2:H513,"OCCUPIED"),"")</f>
        <v/>
      </c>
      <c r="W513" s="149" t="n"/>
      <c r="X513" s="149" t="n"/>
      <c r="Y513" s="149" t="n"/>
      <c r="Z513" s="149" t="n"/>
    </row>
    <row r="514" ht="15.75" customHeight="1" s="236">
      <c r="A514" s="148" t="n"/>
      <c r="B514" s="148" t="n"/>
      <c r="C514" s="124" t="n"/>
      <c r="D514" s="148" t="n"/>
      <c r="E514" s="148" t="n"/>
      <c r="F514" s="148" t="n"/>
      <c r="G514" s="124" t="n"/>
      <c r="H514" s="148" t="n"/>
      <c r="I514" s="148" t="n"/>
      <c r="J514" s="148" t="n"/>
      <c r="K514" s="148" t="n"/>
      <c r="L514" s="148" t="n"/>
      <c r="M514" s="148" t="n"/>
      <c r="N514" s="148" t="n"/>
      <c r="O514" s="148" t="n"/>
      <c r="P514" s="148" t="n"/>
      <c r="Q514" s="148" t="n"/>
      <c r="R514" s="148" t="n"/>
      <c r="S514" s="148" t="n"/>
      <c r="T514" s="148" t="n"/>
      <c r="U514" s="149">
        <f>IF(AND('Master Stock'!D514&lt;&gt;"",'Master Stock'!H514="OCCUPIED",ISNUMBER('Master Stock'!J514),'Master Stock'!K514=""),SUMPRODUCT(--('Master Stock'!$D$2:$D$1000&lt;&gt;""),--('Master Stock'!$H$2:$H$1000="OCCUPIED"),--ISNUMBER('Master Stock'!$J$2:$J$1000),--('Master Stock'!$K$2:$K$1000=""),--('Master Stock'!$J$2:$J$1000&lt;'Master Stock'!J514))+COUNTIFS('Master Stock'!$J$2:J514,'Master Stock'!J514,'Master Stock'!$D$2:D514,"&lt;&gt;",'Master Stock'!$H$2:H514,"OCCUPIED",'Master Stock'!$K$2:K514,""),"")</f>
        <v/>
      </c>
      <c r="V514" s="149">
        <f>IF(AND('Master Stock'!D514&lt;&gt;"",'Master Stock'!H514="OCCUPIED",ISNUMBER('Master Stock'!L514),'Master Stock'!L514&lt;TODAY()-30),SUMPRODUCT(--('Master Stock'!$D$2:$D$1000&lt;&gt;""),--('Master Stock'!$H$2:$H$1000="OCCUPIED"),--ISNUMBER('Master Stock'!$L$2:$L$1000),--('Master Stock'!$L$2:$L$1000&lt;TODAY()-30),--('Master Stock'!$L$2:$L$1000&lt;'Master Stock'!L514))+COUNTIFS('Master Stock'!$L$2:L514,'Master Stock'!L514,'Master Stock'!$D$2:D514,"&lt;&gt;",'Master Stock'!$H$2:H514,"OCCUPIED"),"")</f>
        <v/>
      </c>
      <c r="W514" s="149" t="n"/>
      <c r="X514" s="149" t="n"/>
      <c r="Y514" s="149" t="n"/>
      <c r="Z514" s="149" t="n"/>
    </row>
    <row r="515" ht="15.75" customHeight="1" s="236">
      <c r="A515" s="148" t="n"/>
      <c r="B515" s="148" t="n"/>
      <c r="C515" s="124" t="n"/>
      <c r="D515" s="148" t="n"/>
      <c r="E515" s="148" t="n"/>
      <c r="F515" s="148" t="n"/>
      <c r="G515" s="124" t="n"/>
      <c r="H515" s="148" t="n"/>
      <c r="I515" s="148" t="n"/>
      <c r="J515" s="148" t="n"/>
      <c r="K515" s="148" t="n"/>
      <c r="L515" s="148" t="n"/>
      <c r="M515" s="148" t="n"/>
      <c r="N515" s="148" t="n"/>
      <c r="O515" s="148" t="n"/>
      <c r="P515" s="148" t="n"/>
      <c r="Q515" s="148" t="n"/>
      <c r="R515" s="148" t="n"/>
      <c r="S515" s="148" t="n"/>
      <c r="T515" s="148" t="n"/>
      <c r="U515" s="149">
        <f>IF(AND('Master Stock'!D515&lt;&gt;"",'Master Stock'!H515="OCCUPIED",ISNUMBER('Master Stock'!J515),'Master Stock'!K515=""),SUMPRODUCT(--('Master Stock'!$D$2:$D$1000&lt;&gt;""),--('Master Stock'!$H$2:$H$1000="OCCUPIED"),--ISNUMBER('Master Stock'!$J$2:$J$1000),--('Master Stock'!$K$2:$K$1000=""),--('Master Stock'!$J$2:$J$1000&lt;'Master Stock'!J515))+COUNTIFS('Master Stock'!$J$2:J515,'Master Stock'!J515,'Master Stock'!$D$2:D515,"&lt;&gt;",'Master Stock'!$H$2:H515,"OCCUPIED",'Master Stock'!$K$2:K515,""),"")</f>
        <v/>
      </c>
      <c r="V515" s="149">
        <f>IF(AND('Master Stock'!D515&lt;&gt;"",'Master Stock'!H515="OCCUPIED",ISNUMBER('Master Stock'!L515),'Master Stock'!L515&lt;TODAY()-30),SUMPRODUCT(--('Master Stock'!$D$2:$D$1000&lt;&gt;""),--('Master Stock'!$H$2:$H$1000="OCCUPIED"),--ISNUMBER('Master Stock'!$L$2:$L$1000),--('Master Stock'!$L$2:$L$1000&lt;TODAY()-30),--('Master Stock'!$L$2:$L$1000&lt;'Master Stock'!L515))+COUNTIFS('Master Stock'!$L$2:L515,'Master Stock'!L515,'Master Stock'!$D$2:D515,"&lt;&gt;",'Master Stock'!$H$2:H515,"OCCUPIED"),"")</f>
        <v/>
      </c>
      <c r="W515" s="149" t="n"/>
      <c r="X515" s="149" t="n"/>
      <c r="Y515" s="149" t="n"/>
      <c r="Z515" s="149" t="n"/>
    </row>
    <row r="516" ht="15.75" customHeight="1" s="236">
      <c r="A516" s="148" t="n"/>
      <c r="B516" s="148" t="n"/>
      <c r="C516" s="124" t="n"/>
      <c r="D516" s="148" t="n"/>
      <c r="E516" s="148" t="n"/>
      <c r="F516" s="148" t="n"/>
      <c r="G516" s="124" t="n"/>
      <c r="H516" s="148" t="n"/>
      <c r="I516" s="148" t="n"/>
      <c r="J516" s="148" t="n"/>
      <c r="K516" s="148" t="n"/>
      <c r="L516" s="148" t="n"/>
      <c r="M516" s="148" t="n"/>
      <c r="N516" s="148" t="n"/>
      <c r="O516" s="148" t="n"/>
      <c r="P516" s="148" t="n"/>
      <c r="Q516" s="148" t="n"/>
      <c r="R516" s="148" t="n"/>
      <c r="S516" s="148" t="n"/>
      <c r="T516" s="148" t="n"/>
      <c r="U516" s="149">
        <f>IF(AND('Master Stock'!D516&lt;&gt;"",'Master Stock'!H516="OCCUPIED",ISNUMBER('Master Stock'!J516),'Master Stock'!K516=""),SUMPRODUCT(--('Master Stock'!$D$2:$D$1000&lt;&gt;""),--('Master Stock'!$H$2:$H$1000="OCCUPIED"),--ISNUMBER('Master Stock'!$J$2:$J$1000),--('Master Stock'!$K$2:$K$1000=""),--('Master Stock'!$J$2:$J$1000&lt;'Master Stock'!J516))+COUNTIFS('Master Stock'!$J$2:J516,'Master Stock'!J516,'Master Stock'!$D$2:D516,"&lt;&gt;",'Master Stock'!$H$2:H516,"OCCUPIED",'Master Stock'!$K$2:K516,""),"")</f>
        <v/>
      </c>
      <c r="V516" s="149">
        <f>IF(AND('Master Stock'!D516&lt;&gt;"",'Master Stock'!H516="OCCUPIED",ISNUMBER('Master Stock'!L516),'Master Stock'!L516&lt;TODAY()-30),SUMPRODUCT(--('Master Stock'!$D$2:$D$1000&lt;&gt;""),--('Master Stock'!$H$2:$H$1000="OCCUPIED"),--ISNUMBER('Master Stock'!$L$2:$L$1000),--('Master Stock'!$L$2:$L$1000&lt;TODAY()-30),--('Master Stock'!$L$2:$L$1000&lt;'Master Stock'!L516))+COUNTIFS('Master Stock'!$L$2:L516,'Master Stock'!L516,'Master Stock'!$D$2:D516,"&lt;&gt;",'Master Stock'!$H$2:H516,"OCCUPIED"),"")</f>
        <v/>
      </c>
      <c r="W516" s="149" t="n"/>
      <c r="X516" s="149" t="n"/>
      <c r="Y516" s="149" t="n"/>
      <c r="Z516" s="149" t="n"/>
    </row>
    <row r="517" ht="15.75" customHeight="1" s="236">
      <c r="A517" s="148" t="n"/>
      <c r="B517" s="148" t="n"/>
      <c r="C517" s="124" t="n"/>
      <c r="D517" s="148" t="n"/>
      <c r="E517" s="148" t="n"/>
      <c r="F517" s="148" t="n"/>
      <c r="G517" s="124" t="n"/>
      <c r="H517" s="148" t="n"/>
      <c r="I517" s="148" t="n"/>
      <c r="J517" s="148" t="n"/>
      <c r="K517" s="148" t="n"/>
      <c r="L517" s="148" t="n"/>
      <c r="M517" s="148" t="n"/>
      <c r="N517" s="148" t="n"/>
      <c r="O517" s="148" t="n"/>
      <c r="P517" s="148" t="n"/>
      <c r="Q517" s="148" t="n"/>
      <c r="R517" s="148" t="n"/>
      <c r="S517" s="148" t="n"/>
      <c r="T517" s="148" t="n"/>
      <c r="U517" s="149">
        <f>IF(AND('Master Stock'!D517&lt;&gt;"",'Master Stock'!H517="OCCUPIED",ISNUMBER('Master Stock'!J517),'Master Stock'!K517=""),SUMPRODUCT(--('Master Stock'!$D$2:$D$1000&lt;&gt;""),--('Master Stock'!$H$2:$H$1000="OCCUPIED"),--ISNUMBER('Master Stock'!$J$2:$J$1000),--('Master Stock'!$K$2:$K$1000=""),--('Master Stock'!$J$2:$J$1000&lt;'Master Stock'!J517))+COUNTIFS('Master Stock'!$J$2:J517,'Master Stock'!J517,'Master Stock'!$D$2:D517,"&lt;&gt;",'Master Stock'!$H$2:H517,"OCCUPIED",'Master Stock'!$K$2:K517,""),"")</f>
        <v/>
      </c>
      <c r="V517" s="149">
        <f>IF(AND('Master Stock'!D517&lt;&gt;"",'Master Stock'!H517="OCCUPIED",ISNUMBER('Master Stock'!L517),'Master Stock'!L517&lt;TODAY()-30),SUMPRODUCT(--('Master Stock'!$D$2:$D$1000&lt;&gt;""),--('Master Stock'!$H$2:$H$1000="OCCUPIED"),--ISNUMBER('Master Stock'!$L$2:$L$1000),--('Master Stock'!$L$2:$L$1000&lt;TODAY()-30),--('Master Stock'!$L$2:$L$1000&lt;'Master Stock'!L517))+COUNTIFS('Master Stock'!$L$2:L517,'Master Stock'!L517,'Master Stock'!$D$2:D517,"&lt;&gt;",'Master Stock'!$H$2:H517,"OCCUPIED"),"")</f>
        <v/>
      </c>
      <c r="W517" s="149" t="n"/>
      <c r="X517" s="149" t="n"/>
      <c r="Y517" s="149" t="n"/>
      <c r="Z517" s="149" t="n"/>
    </row>
    <row r="518" ht="15.75" customHeight="1" s="236">
      <c r="A518" s="148" t="n"/>
      <c r="B518" s="148" t="n"/>
      <c r="C518" s="124" t="n"/>
      <c r="D518" s="148" t="n"/>
      <c r="E518" s="148" t="n"/>
      <c r="F518" s="148" t="n"/>
      <c r="G518" s="124" t="n"/>
      <c r="H518" s="148" t="n"/>
      <c r="I518" s="148" t="n"/>
      <c r="J518" s="148" t="n"/>
      <c r="K518" s="148" t="n"/>
      <c r="L518" s="148" t="n"/>
      <c r="M518" s="148" t="n"/>
      <c r="N518" s="148" t="n"/>
      <c r="O518" s="148" t="n"/>
      <c r="P518" s="148" t="n"/>
      <c r="Q518" s="148" t="n"/>
      <c r="R518" s="148" t="n"/>
      <c r="S518" s="148" t="n"/>
      <c r="T518" s="148" t="n"/>
      <c r="U518" s="149">
        <f>IF(AND('Master Stock'!D518&lt;&gt;"",'Master Stock'!H518="OCCUPIED",ISNUMBER('Master Stock'!J518),'Master Stock'!K518=""),SUMPRODUCT(--('Master Stock'!$D$2:$D$1000&lt;&gt;""),--('Master Stock'!$H$2:$H$1000="OCCUPIED"),--ISNUMBER('Master Stock'!$J$2:$J$1000),--('Master Stock'!$K$2:$K$1000=""),--('Master Stock'!$J$2:$J$1000&lt;'Master Stock'!J518))+COUNTIFS('Master Stock'!$J$2:J518,'Master Stock'!J518,'Master Stock'!$D$2:D518,"&lt;&gt;",'Master Stock'!$H$2:H518,"OCCUPIED",'Master Stock'!$K$2:K518,""),"")</f>
        <v/>
      </c>
      <c r="V518" s="149">
        <f>IF(AND('Master Stock'!D518&lt;&gt;"",'Master Stock'!H518="OCCUPIED",ISNUMBER('Master Stock'!L518),'Master Stock'!L518&lt;TODAY()-30),SUMPRODUCT(--('Master Stock'!$D$2:$D$1000&lt;&gt;""),--('Master Stock'!$H$2:$H$1000="OCCUPIED"),--ISNUMBER('Master Stock'!$L$2:$L$1000),--('Master Stock'!$L$2:$L$1000&lt;TODAY()-30),--('Master Stock'!$L$2:$L$1000&lt;'Master Stock'!L518))+COUNTIFS('Master Stock'!$L$2:L518,'Master Stock'!L518,'Master Stock'!$D$2:D518,"&lt;&gt;",'Master Stock'!$H$2:H518,"OCCUPIED"),"")</f>
        <v/>
      </c>
      <c r="W518" s="149" t="n"/>
      <c r="X518" s="149" t="n"/>
      <c r="Y518" s="149" t="n"/>
      <c r="Z518" s="149" t="n"/>
    </row>
    <row r="519" ht="15.75" customHeight="1" s="236">
      <c r="A519" s="148" t="n"/>
      <c r="B519" s="148" t="n"/>
      <c r="C519" s="124" t="n"/>
      <c r="D519" s="148" t="n"/>
      <c r="E519" s="148" t="n"/>
      <c r="F519" s="148" t="n"/>
      <c r="G519" s="124" t="n"/>
      <c r="H519" s="148" t="n"/>
      <c r="I519" s="148" t="n"/>
      <c r="J519" s="148" t="n"/>
      <c r="K519" s="148" t="n"/>
      <c r="L519" s="148" t="n"/>
      <c r="M519" s="148" t="n"/>
      <c r="N519" s="148" t="n"/>
      <c r="O519" s="148" t="n"/>
      <c r="P519" s="148" t="n"/>
      <c r="Q519" s="148" t="n"/>
      <c r="R519" s="148" t="n"/>
      <c r="S519" s="148" t="n"/>
      <c r="T519" s="148" t="n"/>
      <c r="U519" s="149">
        <f>IF(AND('Master Stock'!D519&lt;&gt;"",'Master Stock'!H519="OCCUPIED",ISNUMBER('Master Stock'!J519),'Master Stock'!K519=""),SUMPRODUCT(--('Master Stock'!$D$2:$D$1000&lt;&gt;""),--('Master Stock'!$H$2:$H$1000="OCCUPIED"),--ISNUMBER('Master Stock'!$J$2:$J$1000),--('Master Stock'!$K$2:$K$1000=""),--('Master Stock'!$J$2:$J$1000&lt;'Master Stock'!J519))+COUNTIFS('Master Stock'!$J$2:J519,'Master Stock'!J519,'Master Stock'!$D$2:D519,"&lt;&gt;",'Master Stock'!$H$2:H519,"OCCUPIED",'Master Stock'!$K$2:K519,""),"")</f>
        <v/>
      </c>
      <c r="V519" s="149">
        <f>IF(AND('Master Stock'!D519&lt;&gt;"",'Master Stock'!H519="OCCUPIED",ISNUMBER('Master Stock'!L519),'Master Stock'!L519&lt;TODAY()-30),SUMPRODUCT(--('Master Stock'!$D$2:$D$1000&lt;&gt;""),--('Master Stock'!$H$2:$H$1000="OCCUPIED"),--ISNUMBER('Master Stock'!$L$2:$L$1000),--('Master Stock'!$L$2:$L$1000&lt;TODAY()-30),--('Master Stock'!$L$2:$L$1000&lt;'Master Stock'!L519))+COUNTIFS('Master Stock'!$L$2:L519,'Master Stock'!L519,'Master Stock'!$D$2:D519,"&lt;&gt;",'Master Stock'!$H$2:H519,"OCCUPIED"),"")</f>
        <v/>
      </c>
      <c r="W519" s="149" t="n"/>
      <c r="X519" s="149" t="n"/>
      <c r="Y519" s="149" t="n"/>
      <c r="Z519" s="149" t="n"/>
    </row>
    <row r="520" ht="15.75" customHeight="1" s="236">
      <c r="A520" s="148" t="n"/>
      <c r="B520" s="148" t="n"/>
      <c r="C520" s="124" t="n"/>
      <c r="D520" s="148" t="n"/>
      <c r="E520" s="148" t="n"/>
      <c r="F520" s="148" t="n"/>
      <c r="G520" s="124" t="n"/>
      <c r="H520" s="148" t="n"/>
      <c r="I520" s="148" t="n"/>
      <c r="J520" s="148" t="n"/>
      <c r="K520" s="148" t="n"/>
      <c r="L520" s="148" t="n"/>
      <c r="M520" s="148" t="n"/>
      <c r="N520" s="148" t="n"/>
      <c r="O520" s="148" t="n"/>
      <c r="P520" s="148" t="n"/>
      <c r="Q520" s="148" t="n"/>
      <c r="R520" s="148" t="n"/>
      <c r="S520" s="148" t="n"/>
      <c r="T520" s="148" t="n"/>
      <c r="U520" s="149">
        <f>IF(AND('Master Stock'!D520&lt;&gt;"",'Master Stock'!H520="OCCUPIED",ISNUMBER('Master Stock'!J520),'Master Stock'!K520=""),SUMPRODUCT(--('Master Stock'!$D$2:$D$1000&lt;&gt;""),--('Master Stock'!$H$2:$H$1000="OCCUPIED"),--ISNUMBER('Master Stock'!$J$2:$J$1000),--('Master Stock'!$K$2:$K$1000=""),--('Master Stock'!$J$2:$J$1000&lt;'Master Stock'!J520))+COUNTIFS('Master Stock'!$J$2:J520,'Master Stock'!J520,'Master Stock'!$D$2:D520,"&lt;&gt;",'Master Stock'!$H$2:H520,"OCCUPIED",'Master Stock'!$K$2:K520,""),"")</f>
        <v/>
      </c>
      <c r="V520" s="149">
        <f>IF(AND('Master Stock'!D520&lt;&gt;"",'Master Stock'!H520="OCCUPIED",ISNUMBER('Master Stock'!L520),'Master Stock'!L520&lt;TODAY()-30),SUMPRODUCT(--('Master Stock'!$D$2:$D$1000&lt;&gt;""),--('Master Stock'!$H$2:$H$1000="OCCUPIED"),--ISNUMBER('Master Stock'!$L$2:$L$1000),--('Master Stock'!$L$2:$L$1000&lt;TODAY()-30),--('Master Stock'!$L$2:$L$1000&lt;'Master Stock'!L520))+COUNTIFS('Master Stock'!$L$2:L520,'Master Stock'!L520,'Master Stock'!$D$2:D520,"&lt;&gt;",'Master Stock'!$H$2:H520,"OCCUPIED"),"")</f>
        <v/>
      </c>
      <c r="W520" s="149" t="n"/>
      <c r="X520" s="149" t="n"/>
      <c r="Y520" s="149" t="n"/>
      <c r="Z520" s="149" t="n"/>
    </row>
    <row r="521" ht="15.75" customHeight="1" s="236">
      <c r="A521" s="148" t="n"/>
      <c r="B521" s="148" t="n"/>
      <c r="C521" s="124" t="n"/>
      <c r="D521" s="148" t="n"/>
      <c r="E521" s="148" t="n"/>
      <c r="F521" s="148" t="n"/>
      <c r="G521" s="124" t="n"/>
      <c r="H521" s="148" t="n"/>
      <c r="I521" s="148" t="n"/>
      <c r="J521" s="148" t="n"/>
      <c r="K521" s="148" t="n"/>
      <c r="L521" s="148" t="n"/>
      <c r="M521" s="148" t="n"/>
      <c r="N521" s="148" t="n"/>
      <c r="O521" s="148" t="n"/>
      <c r="P521" s="148" t="n"/>
      <c r="Q521" s="148" t="n"/>
      <c r="R521" s="148" t="n"/>
      <c r="S521" s="148" t="n"/>
      <c r="T521" s="148" t="n"/>
      <c r="U521" s="149">
        <f>IF(AND('Master Stock'!D521&lt;&gt;"",'Master Stock'!H521="OCCUPIED",ISNUMBER('Master Stock'!J521),'Master Stock'!K521=""),SUMPRODUCT(--('Master Stock'!$D$2:$D$1000&lt;&gt;""),--('Master Stock'!$H$2:$H$1000="OCCUPIED"),--ISNUMBER('Master Stock'!$J$2:$J$1000),--('Master Stock'!$K$2:$K$1000=""),--('Master Stock'!$J$2:$J$1000&lt;'Master Stock'!J521))+COUNTIFS('Master Stock'!$J$2:J521,'Master Stock'!J521,'Master Stock'!$D$2:D521,"&lt;&gt;",'Master Stock'!$H$2:H521,"OCCUPIED",'Master Stock'!$K$2:K521,""),"")</f>
        <v/>
      </c>
      <c r="V521" s="149">
        <f>IF(AND('Master Stock'!D521&lt;&gt;"",'Master Stock'!H521="OCCUPIED",ISNUMBER('Master Stock'!L521),'Master Stock'!L521&lt;TODAY()-30),SUMPRODUCT(--('Master Stock'!$D$2:$D$1000&lt;&gt;""),--('Master Stock'!$H$2:$H$1000="OCCUPIED"),--ISNUMBER('Master Stock'!$L$2:$L$1000),--('Master Stock'!$L$2:$L$1000&lt;TODAY()-30),--('Master Stock'!$L$2:$L$1000&lt;'Master Stock'!L521))+COUNTIFS('Master Stock'!$L$2:L521,'Master Stock'!L521,'Master Stock'!$D$2:D521,"&lt;&gt;",'Master Stock'!$H$2:H521,"OCCUPIED"),"")</f>
        <v/>
      </c>
      <c r="W521" s="149" t="n"/>
      <c r="X521" s="149" t="n"/>
      <c r="Y521" s="149" t="n"/>
      <c r="Z521" s="149" t="n"/>
    </row>
    <row r="522" ht="15.75" customHeight="1" s="236">
      <c r="A522" s="148" t="n"/>
      <c r="B522" s="148" t="n"/>
      <c r="C522" s="124" t="n"/>
      <c r="D522" s="148" t="n"/>
      <c r="E522" s="148" t="n"/>
      <c r="F522" s="148" t="n"/>
      <c r="G522" s="124" t="n"/>
      <c r="H522" s="148" t="n"/>
      <c r="I522" s="148" t="n"/>
      <c r="J522" s="148" t="n"/>
      <c r="K522" s="148" t="n"/>
      <c r="L522" s="148" t="n"/>
      <c r="M522" s="148" t="n"/>
      <c r="N522" s="148" t="n"/>
      <c r="O522" s="148" t="n"/>
      <c r="P522" s="148" t="n"/>
      <c r="Q522" s="148" t="n"/>
      <c r="R522" s="148" t="n"/>
      <c r="S522" s="148" t="n"/>
      <c r="T522" s="148" t="n"/>
      <c r="U522" s="149">
        <f>IF(AND('Master Stock'!D522&lt;&gt;"",'Master Stock'!H522="OCCUPIED",ISNUMBER('Master Stock'!J522),'Master Stock'!K522=""),SUMPRODUCT(--('Master Stock'!$D$2:$D$1000&lt;&gt;""),--('Master Stock'!$H$2:$H$1000="OCCUPIED"),--ISNUMBER('Master Stock'!$J$2:$J$1000),--('Master Stock'!$K$2:$K$1000=""),--('Master Stock'!$J$2:$J$1000&lt;'Master Stock'!J522))+COUNTIFS('Master Stock'!$J$2:J522,'Master Stock'!J522,'Master Stock'!$D$2:D522,"&lt;&gt;",'Master Stock'!$H$2:H522,"OCCUPIED",'Master Stock'!$K$2:K522,""),"")</f>
        <v/>
      </c>
      <c r="V522" s="149">
        <f>IF(AND('Master Stock'!D522&lt;&gt;"",'Master Stock'!H522="OCCUPIED",ISNUMBER('Master Stock'!L522),'Master Stock'!L522&lt;TODAY()-30),SUMPRODUCT(--('Master Stock'!$D$2:$D$1000&lt;&gt;""),--('Master Stock'!$H$2:$H$1000="OCCUPIED"),--ISNUMBER('Master Stock'!$L$2:$L$1000),--('Master Stock'!$L$2:$L$1000&lt;TODAY()-30),--('Master Stock'!$L$2:$L$1000&lt;'Master Stock'!L522))+COUNTIFS('Master Stock'!$L$2:L522,'Master Stock'!L522,'Master Stock'!$D$2:D522,"&lt;&gt;",'Master Stock'!$H$2:H522,"OCCUPIED"),"")</f>
        <v/>
      </c>
      <c r="W522" s="149" t="n"/>
      <c r="X522" s="149" t="n"/>
      <c r="Y522" s="149" t="n"/>
      <c r="Z522" s="149" t="n"/>
    </row>
    <row r="523" ht="15.75" customHeight="1" s="236">
      <c r="A523" s="148" t="n"/>
      <c r="B523" s="148" t="n"/>
      <c r="C523" s="124" t="n"/>
      <c r="D523" s="148" t="n"/>
      <c r="E523" s="148" t="n"/>
      <c r="F523" s="148" t="n"/>
      <c r="G523" s="124" t="n"/>
      <c r="H523" s="148" t="n"/>
      <c r="I523" s="148" t="n"/>
      <c r="J523" s="148" t="n"/>
      <c r="K523" s="148" t="n"/>
      <c r="L523" s="148" t="n"/>
      <c r="M523" s="148" t="n"/>
      <c r="N523" s="148" t="n"/>
      <c r="O523" s="148" t="n"/>
      <c r="P523" s="148" t="n"/>
      <c r="Q523" s="148" t="n"/>
      <c r="R523" s="148" t="n"/>
      <c r="S523" s="148" t="n"/>
      <c r="T523" s="148" t="n"/>
      <c r="U523" s="149">
        <f>IF(AND('Master Stock'!D523&lt;&gt;"",'Master Stock'!H523="OCCUPIED",ISNUMBER('Master Stock'!J523),'Master Stock'!K523=""),SUMPRODUCT(--('Master Stock'!$D$2:$D$1000&lt;&gt;""),--('Master Stock'!$H$2:$H$1000="OCCUPIED"),--ISNUMBER('Master Stock'!$J$2:$J$1000),--('Master Stock'!$K$2:$K$1000=""),--('Master Stock'!$J$2:$J$1000&lt;'Master Stock'!J523))+COUNTIFS('Master Stock'!$J$2:J523,'Master Stock'!J523,'Master Stock'!$D$2:D523,"&lt;&gt;",'Master Stock'!$H$2:H523,"OCCUPIED",'Master Stock'!$K$2:K523,""),"")</f>
        <v/>
      </c>
      <c r="V523" s="149">
        <f>IF(AND('Master Stock'!D523&lt;&gt;"",'Master Stock'!H523="OCCUPIED",ISNUMBER('Master Stock'!L523),'Master Stock'!L523&lt;TODAY()-30),SUMPRODUCT(--('Master Stock'!$D$2:$D$1000&lt;&gt;""),--('Master Stock'!$H$2:$H$1000="OCCUPIED"),--ISNUMBER('Master Stock'!$L$2:$L$1000),--('Master Stock'!$L$2:$L$1000&lt;TODAY()-30),--('Master Stock'!$L$2:$L$1000&lt;'Master Stock'!L523))+COUNTIFS('Master Stock'!$L$2:L523,'Master Stock'!L523,'Master Stock'!$D$2:D523,"&lt;&gt;",'Master Stock'!$H$2:H523,"OCCUPIED"),"")</f>
        <v/>
      </c>
      <c r="W523" s="149" t="n"/>
      <c r="X523" s="149" t="n"/>
      <c r="Y523" s="149" t="n"/>
      <c r="Z523" s="149" t="n"/>
    </row>
    <row r="524" ht="15.75" customHeight="1" s="236">
      <c r="A524" s="148" t="n"/>
      <c r="B524" s="148" t="n"/>
      <c r="C524" s="124" t="n"/>
      <c r="D524" s="148" t="n"/>
      <c r="E524" s="148" t="n"/>
      <c r="F524" s="148" t="n"/>
      <c r="G524" s="124" t="n"/>
      <c r="H524" s="148" t="n"/>
      <c r="I524" s="148" t="n"/>
      <c r="J524" s="148" t="n"/>
      <c r="K524" s="148" t="n"/>
      <c r="L524" s="148" t="n"/>
      <c r="M524" s="148" t="n"/>
      <c r="N524" s="148" t="n"/>
      <c r="O524" s="148" t="n"/>
      <c r="P524" s="148" t="n"/>
      <c r="Q524" s="148" t="n"/>
      <c r="R524" s="148" t="n"/>
      <c r="S524" s="148" t="n"/>
      <c r="T524" s="148" t="n"/>
      <c r="U524" s="149">
        <f>IF(AND('Master Stock'!D524&lt;&gt;"",'Master Stock'!H524="OCCUPIED",ISNUMBER('Master Stock'!J524),'Master Stock'!K524=""),SUMPRODUCT(--('Master Stock'!$D$2:$D$1000&lt;&gt;""),--('Master Stock'!$H$2:$H$1000="OCCUPIED"),--ISNUMBER('Master Stock'!$J$2:$J$1000),--('Master Stock'!$K$2:$K$1000=""),--('Master Stock'!$J$2:$J$1000&lt;'Master Stock'!J524))+COUNTIFS('Master Stock'!$J$2:J524,'Master Stock'!J524,'Master Stock'!$D$2:D524,"&lt;&gt;",'Master Stock'!$H$2:H524,"OCCUPIED",'Master Stock'!$K$2:K524,""),"")</f>
        <v/>
      </c>
      <c r="V524" s="149">
        <f>IF(AND('Master Stock'!D524&lt;&gt;"",'Master Stock'!H524="OCCUPIED",ISNUMBER('Master Stock'!L524),'Master Stock'!L524&lt;TODAY()-30),SUMPRODUCT(--('Master Stock'!$D$2:$D$1000&lt;&gt;""),--('Master Stock'!$H$2:$H$1000="OCCUPIED"),--ISNUMBER('Master Stock'!$L$2:$L$1000),--('Master Stock'!$L$2:$L$1000&lt;TODAY()-30),--('Master Stock'!$L$2:$L$1000&lt;'Master Stock'!L524))+COUNTIFS('Master Stock'!$L$2:L524,'Master Stock'!L524,'Master Stock'!$D$2:D524,"&lt;&gt;",'Master Stock'!$H$2:H524,"OCCUPIED"),"")</f>
        <v/>
      </c>
      <c r="W524" s="149" t="n"/>
      <c r="X524" s="149" t="n"/>
      <c r="Y524" s="149" t="n"/>
      <c r="Z524" s="149" t="n"/>
    </row>
    <row r="525" ht="15.75" customHeight="1" s="236">
      <c r="A525" s="148" t="n"/>
      <c r="B525" s="148" t="n"/>
      <c r="C525" s="124" t="n"/>
      <c r="D525" s="148" t="n"/>
      <c r="E525" s="148" t="n"/>
      <c r="F525" s="148" t="n"/>
      <c r="G525" s="124" t="n"/>
      <c r="H525" s="148" t="n"/>
      <c r="I525" s="148" t="n"/>
      <c r="J525" s="148" t="n"/>
      <c r="K525" s="148" t="n"/>
      <c r="L525" s="148" t="n"/>
      <c r="M525" s="148" t="n"/>
      <c r="N525" s="148" t="n"/>
      <c r="O525" s="148" t="n"/>
      <c r="P525" s="148" t="n"/>
      <c r="Q525" s="148" t="n"/>
      <c r="R525" s="148" t="n"/>
      <c r="S525" s="148" t="n"/>
      <c r="T525" s="148" t="n"/>
      <c r="U525" s="149">
        <f>IF(AND('Master Stock'!D525&lt;&gt;"",'Master Stock'!H525="OCCUPIED",ISNUMBER('Master Stock'!J525),'Master Stock'!K525=""),SUMPRODUCT(--('Master Stock'!$D$2:$D$1000&lt;&gt;""),--('Master Stock'!$H$2:$H$1000="OCCUPIED"),--ISNUMBER('Master Stock'!$J$2:$J$1000),--('Master Stock'!$K$2:$K$1000=""),--('Master Stock'!$J$2:$J$1000&lt;'Master Stock'!J525))+COUNTIFS('Master Stock'!$J$2:J525,'Master Stock'!J525,'Master Stock'!$D$2:D525,"&lt;&gt;",'Master Stock'!$H$2:H525,"OCCUPIED",'Master Stock'!$K$2:K525,""),"")</f>
        <v/>
      </c>
      <c r="V525" s="149">
        <f>IF(AND('Master Stock'!D525&lt;&gt;"",'Master Stock'!H525="OCCUPIED",ISNUMBER('Master Stock'!L525),'Master Stock'!L525&lt;TODAY()-30),SUMPRODUCT(--('Master Stock'!$D$2:$D$1000&lt;&gt;""),--('Master Stock'!$H$2:$H$1000="OCCUPIED"),--ISNUMBER('Master Stock'!$L$2:$L$1000),--('Master Stock'!$L$2:$L$1000&lt;TODAY()-30),--('Master Stock'!$L$2:$L$1000&lt;'Master Stock'!L525))+COUNTIFS('Master Stock'!$L$2:L525,'Master Stock'!L525,'Master Stock'!$D$2:D525,"&lt;&gt;",'Master Stock'!$H$2:H525,"OCCUPIED"),"")</f>
        <v/>
      </c>
      <c r="W525" s="149" t="n"/>
      <c r="X525" s="149" t="n"/>
      <c r="Y525" s="149" t="n"/>
      <c r="Z525" s="149" t="n"/>
    </row>
    <row r="526" ht="15.75" customHeight="1" s="236">
      <c r="A526" s="148" t="n"/>
      <c r="B526" s="148" t="n"/>
      <c r="C526" s="124" t="n"/>
      <c r="D526" s="148" t="n"/>
      <c r="E526" s="148" t="n"/>
      <c r="F526" s="148" t="n"/>
      <c r="G526" s="124" t="n"/>
      <c r="H526" s="148" t="n"/>
      <c r="I526" s="148" t="n"/>
      <c r="J526" s="148" t="n"/>
      <c r="K526" s="148" t="n"/>
      <c r="L526" s="148" t="n"/>
      <c r="M526" s="148" t="n"/>
      <c r="N526" s="148" t="n"/>
      <c r="O526" s="148" t="n"/>
      <c r="P526" s="148" t="n"/>
      <c r="Q526" s="148" t="n"/>
      <c r="R526" s="148" t="n"/>
      <c r="S526" s="148" t="n"/>
      <c r="T526" s="148" t="n"/>
      <c r="U526" s="149">
        <f>IF(AND('Master Stock'!D526&lt;&gt;"",'Master Stock'!H526="OCCUPIED",ISNUMBER('Master Stock'!J526),'Master Stock'!K526=""),SUMPRODUCT(--('Master Stock'!$D$2:$D$1000&lt;&gt;""),--('Master Stock'!$H$2:$H$1000="OCCUPIED"),--ISNUMBER('Master Stock'!$J$2:$J$1000),--('Master Stock'!$K$2:$K$1000=""),--('Master Stock'!$J$2:$J$1000&lt;'Master Stock'!J526))+COUNTIFS('Master Stock'!$J$2:J526,'Master Stock'!J526,'Master Stock'!$D$2:D526,"&lt;&gt;",'Master Stock'!$H$2:H526,"OCCUPIED",'Master Stock'!$K$2:K526,""),"")</f>
        <v/>
      </c>
      <c r="V526" s="149">
        <f>IF(AND('Master Stock'!D526&lt;&gt;"",'Master Stock'!H526="OCCUPIED",ISNUMBER('Master Stock'!L526),'Master Stock'!L526&lt;TODAY()-30),SUMPRODUCT(--('Master Stock'!$D$2:$D$1000&lt;&gt;""),--('Master Stock'!$H$2:$H$1000="OCCUPIED"),--ISNUMBER('Master Stock'!$L$2:$L$1000),--('Master Stock'!$L$2:$L$1000&lt;TODAY()-30),--('Master Stock'!$L$2:$L$1000&lt;'Master Stock'!L526))+COUNTIFS('Master Stock'!$L$2:L526,'Master Stock'!L526,'Master Stock'!$D$2:D526,"&lt;&gt;",'Master Stock'!$H$2:H526,"OCCUPIED"),"")</f>
        <v/>
      </c>
      <c r="W526" s="149" t="n"/>
      <c r="X526" s="149" t="n"/>
      <c r="Y526" s="149" t="n"/>
      <c r="Z526" s="149" t="n"/>
    </row>
    <row r="527" ht="15.75" customHeight="1" s="236">
      <c r="A527" s="148" t="n"/>
      <c r="B527" s="148" t="n"/>
      <c r="C527" s="124" t="n"/>
      <c r="D527" s="148" t="n"/>
      <c r="E527" s="148" t="n"/>
      <c r="F527" s="148" t="n"/>
      <c r="G527" s="124" t="n"/>
      <c r="H527" s="148" t="n"/>
      <c r="I527" s="148" t="n"/>
      <c r="J527" s="148" t="n"/>
      <c r="K527" s="148" t="n"/>
      <c r="L527" s="148" t="n"/>
      <c r="M527" s="148" t="n"/>
      <c r="N527" s="148" t="n"/>
      <c r="O527" s="148" t="n"/>
      <c r="P527" s="148" t="n"/>
      <c r="Q527" s="148" t="n"/>
      <c r="R527" s="148" t="n"/>
      <c r="S527" s="148" t="n"/>
      <c r="T527" s="148" t="n"/>
      <c r="U527" s="149">
        <f>IF(AND('Master Stock'!D527&lt;&gt;"",'Master Stock'!H527="OCCUPIED",ISNUMBER('Master Stock'!J527),'Master Stock'!K527=""),SUMPRODUCT(--('Master Stock'!$D$2:$D$1000&lt;&gt;""),--('Master Stock'!$H$2:$H$1000="OCCUPIED"),--ISNUMBER('Master Stock'!$J$2:$J$1000),--('Master Stock'!$K$2:$K$1000=""),--('Master Stock'!$J$2:$J$1000&lt;'Master Stock'!J527))+COUNTIFS('Master Stock'!$J$2:J527,'Master Stock'!J527,'Master Stock'!$D$2:D527,"&lt;&gt;",'Master Stock'!$H$2:H527,"OCCUPIED",'Master Stock'!$K$2:K527,""),"")</f>
        <v/>
      </c>
      <c r="V527" s="149">
        <f>IF(AND('Master Stock'!D527&lt;&gt;"",'Master Stock'!H527="OCCUPIED",ISNUMBER('Master Stock'!L527),'Master Stock'!L527&lt;TODAY()-30),SUMPRODUCT(--('Master Stock'!$D$2:$D$1000&lt;&gt;""),--('Master Stock'!$H$2:$H$1000="OCCUPIED"),--ISNUMBER('Master Stock'!$L$2:$L$1000),--('Master Stock'!$L$2:$L$1000&lt;TODAY()-30),--('Master Stock'!$L$2:$L$1000&lt;'Master Stock'!L527))+COUNTIFS('Master Stock'!$L$2:L527,'Master Stock'!L527,'Master Stock'!$D$2:D527,"&lt;&gt;",'Master Stock'!$H$2:H527,"OCCUPIED"),"")</f>
        <v/>
      </c>
      <c r="W527" s="149" t="n"/>
      <c r="X527" s="149" t="n"/>
      <c r="Y527" s="149" t="n"/>
      <c r="Z527" s="149" t="n"/>
    </row>
    <row r="528" ht="15.75" customHeight="1" s="236">
      <c r="A528" s="148" t="n"/>
      <c r="B528" s="148" t="n"/>
      <c r="C528" s="124" t="n"/>
      <c r="D528" s="148" t="n"/>
      <c r="E528" s="148" t="n"/>
      <c r="F528" s="148" t="n"/>
      <c r="G528" s="124" t="n"/>
      <c r="H528" s="148" t="n"/>
      <c r="I528" s="148" t="n"/>
      <c r="J528" s="148" t="n"/>
      <c r="K528" s="148" t="n"/>
      <c r="L528" s="148" t="n"/>
      <c r="M528" s="148" t="n"/>
      <c r="N528" s="148" t="n"/>
      <c r="O528" s="148" t="n"/>
      <c r="P528" s="148" t="n"/>
      <c r="Q528" s="148" t="n"/>
      <c r="R528" s="148" t="n"/>
      <c r="S528" s="148" t="n"/>
      <c r="T528" s="148" t="n"/>
      <c r="U528" s="149">
        <f>IF(AND('Master Stock'!D528&lt;&gt;"",'Master Stock'!H528="OCCUPIED",ISNUMBER('Master Stock'!J528),'Master Stock'!K528=""),SUMPRODUCT(--('Master Stock'!$D$2:$D$1000&lt;&gt;""),--('Master Stock'!$H$2:$H$1000="OCCUPIED"),--ISNUMBER('Master Stock'!$J$2:$J$1000),--('Master Stock'!$K$2:$K$1000=""),--('Master Stock'!$J$2:$J$1000&lt;'Master Stock'!J528))+COUNTIFS('Master Stock'!$J$2:J528,'Master Stock'!J528,'Master Stock'!$D$2:D528,"&lt;&gt;",'Master Stock'!$H$2:H528,"OCCUPIED",'Master Stock'!$K$2:K528,""),"")</f>
        <v/>
      </c>
      <c r="V528" s="149">
        <f>IF(AND('Master Stock'!D528&lt;&gt;"",'Master Stock'!H528="OCCUPIED",ISNUMBER('Master Stock'!L528),'Master Stock'!L528&lt;TODAY()-30),SUMPRODUCT(--('Master Stock'!$D$2:$D$1000&lt;&gt;""),--('Master Stock'!$H$2:$H$1000="OCCUPIED"),--ISNUMBER('Master Stock'!$L$2:$L$1000),--('Master Stock'!$L$2:$L$1000&lt;TODAY()-30),--('Master Stock'!$L$2:$L$1000&lt;'Master Stock'!L528))+COUNTIFS('Master Stock'!$L$2:L528,'Master Stock'!L528,'Master Stock'!$D$2:D528,"&lt;&gt;",'Master Stock'!$H$2:H528,"OCCUPIED"),"")</f>
        <v/>
      </c>
      <c r="W528" s="149" t="n"/>
      <c r="X528" s="149" t="n"/>
      <c r="Y528" s="149" t="n"/>
      <c r="Z528" s="149" t="n"/>
    </row>
    <row r="529" ht="15.75" customHeight="1" s="236">
      <c r="A529" s="148" t="n"/>
      <c r="B529" s="148" t="n"/>
      <c r="C529" s="124" t="n"/>
      <c r="D529" s="148" t="n"/>
      <c r="E529" s="148" t="n"/>
      <c r="F529" s="148" t="n"/>
      <c r="G529" s="124" t="n"/>
      <c r="H529" s="148" t="n"/>
      <c r="I529" s="148" t="n"/>
      <c r="J529" s="148" t="n"/>
      <c r="K529" s="148" t="n"/>
      <c r="L529" s="148" t="n"/>
      <c r="M529" s="148" t="n"/>
      <c r="N529" s="148" t="n"/>
      <c r="O529" s="148" t="n"/>
      <c r="P529" s="148" t="n"/>
      <c r="Q529" s="148" t="n"/>
      <c r="R529" s="148" t="n"/>
      <c r="S529" s="148" t="n"/>
      <c r="T529" s="148" t="n"/>
      <c r="U529" s="149">
        <f>IF(AND('Master Stock'!D529&lt;&gt;"",'Master Stock'!H529="OCCUPIED",ISNUMBER('Master Stock'!J529),'Master Stock'!K529=""),SUMPRODUCT(--('Master Stock'!$D$2:$D$1000&lt;&gt;""),--('Master Stock'!$H$2:$H$1000="OCCUPIED"),--ISNUMBER('Master Stock'!$J$2:$J$1000),--('Master Stock'!$K$2:$K$1000=""),--('Master Stock'!$J$2:$J$1000&lt;'Master Stock'!J529))+COUNTIFS('Master Stock'!$J$2:J529,'Master Stock'!J529,'Master Stock'!$D$2:D529,"&lt;&gt;",'Master Stock'!$H$2:H529,"OCCUPIED",'Master Stock'!$K$2:K529,""),"")</f>
        <v/>
      </c>
      <c r="V529" s="149">
        <f>IF(AND('Master Stock'!D529&lt;&gt;"",'Master Stock'!H529="OCCUPIED",ISNUMBER('Master Stock'!L529),'Master Stock'!L529&lt;TODAY()-30),SUMPRODUCT(--('Master Stock'!$D$2:$D$1000&lt;&gt;""),--('Master Stock'!$H$2:$H$1000="OCCUPIED"),--ISNUMBER('Master Stock'!$L$2:$L$1000),--('Master Stock'!$L$2:$L$1000&lt;TODAY()-30),--('Master Stock'!$L$2:$L$1000&lt;'Master Stock'!L529))+COUNTIFS('Master Stock'!$L$2:L529,'Master Stock'!L529,'Master Stock'!$D$2:D529,"&lt;&gt;",'Master Stock'!$H$2:H529,"OCCUPIED"),"")</f>
        <v/>
      </c>
      <c r="W529" s="149" t="n"/>
      <c r="X529" s="149" t="n"/>
      <c r="Y529" s="149" t="n"/>
      <c r="Z529" s="149" t="n"/>
    </row>
    <row r="530" ht="15.75" customHeight="1" s="236">
      <c r="A530" s="148" t="n"/>
      <c r="B530" s="148" t="n"/>
      <c r="C530" s="124" t="n"/>
      <c r="D530" s="148" t="n"/>
      <c r="E530" s="148" t="n"/>
      <c r="F530" s="148" t="n"/>
      <c r="G530" s="124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9">
        <f>IF(AND('Master Stock'!D530&lt;&gt;"",'Master Stock'!H530="OCCUPIED",ISNUMBER('Master Stock'!J530),'Master Stock'!K530=""),SUMPRODUCT(--('Master Stock'!$D$2:$D$1000&lt;&gt;""),--('Master Stock'!$H$2:$H$1000="OCCUPIED"),--ISNUMBER('Master Stock'!$J$2:$J$1000),--('Master Stock'!$K$2:$K$1000=""),--('Master Stock'!$J$2:$J$1000&lt;'Master Stock'!J530))+COUNTIFS('Master Stock'!$J$2:J530,'Master Stock'!J530,'Master Stock'!$D$2:D530,"&lt;&gt;",'Master Stock'!$H$2:H530,"OCCUPIED",'Master Stock'!$K$2:K530,""),"")</f>
        <v/>
      </c>
      <c r="V530" s="149">
        <f>IF(AND('Master Stock'!D530&lt;&gt;"",'Master Stock'!H530="OCCUPIED",ISNUMBER('Master Stock'!L530),'Master Stock'!L530&lt;TODAY()-30),SUMPRODUCT(--('Master Stock'!$D$2:$D$1000&lt;&gt;""),--('Master Stock'!$H$2:$H$1000="OCCUPIED"),--ISNUMBER('Master Stock'!$L$2:$L$1000),--('Master Stock'!$L$2:$L$1000&lt;TODAY()-30),--('Master Stock'!$L$2:$L$1000&lt;'Master Stock'!L530))+COUNTIFS('Master Stock'!$L$2:L530,'Master Stock'!L530,'Master Stock'!$D$2:D530,"&lt;&gt;",'Master Stock'!$H$2:H530,"OCCUPIED"),"")</f>
        <v/>
      </c>
      <c r="W530" s="149" t="n"/>
      <c r="X530" s="149" t="n"/>
      <c r="Y530" s="149" t="n"/>
      <c r="Z530" s="149" t="n"/>
    </row>
    <row r="531" ht="15.75" customHeight="1" s="236">
      <c r="A531" s="148" t="n"/>
      <c r="B531" s="148" t="n"/>
      <c r="C531" s="124" t="n"/>
      <c r="D531" s="148" t="n"/>
      <c r="E531" s="148" t="n"/>
      <c r="F531" s="148" t="n"/>
      <c r="G531" s="124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9">
        <f>IF(AND('Master Stock'!D531&lt;&gt;"",'Master Stock'!H531="OCCUPIED",ISNUMBER('Master Stock'!J531),'Master Stock'!K531=""),SUMPRODUCT(--('Master Stock'!$D$2:$D$1000&lt;&gt;""),--('Master Stock'!$H$2:$H$1000="OCCUPIED"),--ISNUMBER('Master Stock'!$J$2:$J$1000),--('Master Stock'!$K$2:$K$1000=""),--('Master Stock'!$J$2:$J$1000&lt;'Master Stock'!J531))+COUNTIFS('Master Stock'!$J$2:J531,'Master Stock'!J531,'Master Stock'!$D$2:D531,"&lt;&gt;",'Master Stock'!$H$2:H531,"OCCUPIED",'Master Stock'!$K$2:K531,""),"")</f>
        <v/>
      </c>
      <c r="V531" s="149">
        <f>IF(AND('Master Stock'!D531&lt;&gt;"",'Master Stock'!H531="OCCUPIED",ISNUMBER('Master Stock'!L531),'Master Stock'!L531&lt;TODAY()-30),SUMPRODUCT(--('Master Stock'!$D$2:$D$1000&lt;&gt;""),--('Master Stock'!$H$2:$H$1000="OCCUPIED"),--ISNUMBER('Master Stock'!$L$2:$L$1000),--('Master Stock'!$L$2:$L$1000&lt;TODAY()-30),--('Master Stock'!$L$2:$L$1000&lt;'Master Stock'!L531))+COUNTIFS('Master Stock'!$L$2:L531,'Master Stock'!L531,'Master Stock'!$D$2:D531,"&lt;&gt;",'Master Stock'!$H$2:H531,"OCCUPIED"),"")</f>
        <v/>
      </c>
      <c r="W531" s="149" t="n"/>
      <c r="X531" s="149" t="n"/>
      <c r="Y531" s="149" t="n"/>
      <c r="Z531" s="149" t="n"/>
    </row>
    <row r="532" ht="15.75" customHeight="1" s="236">
      <c r="A532" s="148" t="n"/>
      <c r="B532" s="148" t="n"/>
      <c r="C532" s="124" t="n"/>
      <c r="D532" s="148" t="n"/>
      <c r="E532" s="148" t="n"/>
      <c r="F532" s="148" t="n"/>
      <c r="G532" s="124" t="n"/>
      <c r="H532" s="148" t="n"/>
      <c r="I532" s="148" t="n"/>
      <c r="J532" s="148" t="n"/>
      <c r="K532" s="148" t="n"/>
      <c r="L532" s="148" t="n"/>
      <c r="M532" s="148" t="n"/>
      <c r="N532" s="148" t="n"/>
      <c r="O532" s="148" t="n"/>
      <c r="P532" s="148" t="n"/>
      <c r="Q532" s="148" t="n"/>
      <c r="R532" s="148" t="n"/>
      <c r="S532" s="148" t="n"/>
      <c r="T532" s="148" t="n"/>
      <c r="U532" s="149">
        <f>IF(AND('Master Stock'!D532&lt;&gt;"",'Master Stock'!H532="OCCUPIED",ISNUMBER('Master Stock'!J532),'Master Stock'!K532=""),SUMPRODUCT(--('Master Stock'!$D$2:$D$1000&lt;&gt;""),--('Master Stock'!$H$2:$H$1000="OCCUPIED"),--ISNUMBER('Master Stock'!$J$2:$J$1000),--('Master Stock'!$K$2:$K$1000=""),--('Master Stock'!$J$2:$J$1000&lt;'Master Stock'!J532))+COUNTIFS('Master Stock'!$J$2:J532,'Master Stock'!J532,'Master Stock'!$D$2:D532,"&lt;&gt;",'Master Stock'!$H$2:H532,"OCCUPIED",'Master Stock'!$K$2:K532,""),"")</f>
        <v/>
      </c>
      <c r="V532" s="149">
        <f>IF(AND('Master Stock'!D532&lt;&gt;"",'Master Stock'!H532="OCCUPIED",ISNUMBER('Master Stock'!L532),'Master Stock'!L532&lt;TODAY()-30),SUMPRODUCT(--('Master Stock'!$D$2:$D$1000&lt;&gt;""),--('Master Stock'!$H$2:$H$1000="OCCUPIED"),--ISNUMBER('Master Stock'!$L$2:$L$1000),--('Master Stock'!$L$2:$L$1000&lt;TODAY()-30),--('Master Stock'!$L$2:$L$1000&lt;'Master Stock'!L532))+COUNTIFS('Master Stock'!$L$2:L532,'Master Stock'!L532,'Master Stock'!$D$2:D532,"&lt;&gt;",'Master Stock'!$H$2:H532,"OCCUPIED"),"")</f>
        <v/>
      </c>
      <c r="W532" s="149" t="n"/>
      <c r="X532" s="149" t="n"/>
      <c r="Y532" s="149" t="n"/>
      <c r="Z532" s="149" t="n"/>
    </row>
    <row r="533" ht="15.75" customHeight="1" s="236">
      <c r="A533" s="148" t="n"/>
      <c r="B533" s="148" t="n"/>
      <c r="C533" s="124" t="n"/>
      <c r="D533" s="148" t="n"/>
      <c r="E533" s="148" t="n"/>
      <c r="F533" s="148" t="n"/>
      <c r="G533" s="124" t="n"/>
      <c r="H533" s="148" t="n"/>
      <c r="I533" s="148" t="n"/>
      <c r="J533" s="148" t="n"/>
      <c r="K533" s="148" t="n"/>
      <c r="L533" s="148" t="n"/>
      <c r="M533" s="148" t="n"/>
      <c r="N533" s="148" t="n"/>
      <c r="O533" s="148" t="n"/>
      <c r="P533" s="148" t="n"/>
      <c r="Q533" s="148" t="n"/>
      <c r="R533" s="148" t="n"/>
      <c r="S533" s="148" t="n"/>
      <c r="T533" s="148" t="n"/>
      <c r="U533" s="149">
        <f>IF(AND('Master Stock'!D533&lt;&gt;"",'Master Stock'!H533="OCCUPIED",ISNUMBER('Master Stock'!J533),'Master Stock'!K533=""),SUMPRODUCT(--('Master Stock'!$D$2:$D$1000&lt;&gt;""),--('Master Stock'!$H$2:$H$1000="OCCUPIED"),--ISNUMBER('Master Stock'!$J$2:$J$1000),--('Master Stock'!$K$2:$K$1000=""),--('Master Stock'!$J$2:$J$1000&lt;'Master Stock'!J533))+COUNTIFS('Master Stock'!$J$2:J533,'Master Stock'!J533,'Master Stock'!$D$2:D533,"&lt;&gt;",'Master Stock'!$H$2:H533,"OCCUPIED",'Master Stock'!$K$2:K533,""),"")</f>
        <v/>
      </c>
      <c r="V533" s="149">
        <f>IF(AND('Master Stock'!D533&lt;&gt;"",'Master Stock'!H533="OCCUPIED",ISNUMBER('Master Stock'!L533),'Master Stock'!L533&lt;TODAY()-30),SUMPRODUCT(--('Master Stock'!$D$2:$D$1000&lt;&gt;""),--('Master Stock'!$H$2:$H$1000="OCCUPIED"),--ISNUMBER('Master Stock'!$L$2:$L$1000),--('Master Stock'!$L$2:$L$1000&lt;TODAY()-30),--('Master Stock'!$L$2:$L$1000&lt;'Master Stock'!L533))+COUNTIFS('Master Stock'!$L$2:L533,'Master Stock'!L533,'Master Stock'!$D$2:D533,"&lt;&gt;",'Master Stock'!$H$2:H533,"OCCUPIED"),"")</f>
        <v/>
      </c>
      <c r="W533" s="149" t="n"/>
      <c r="X533" s="149" t="n"/>
      <c r="Y533" s="149" t="n"/>
      <c r="Z533" s="149" t="n"/>
    </row>
    <row r="534" ht="15.75" customHeight="1" s="236">
      <c r="A534" s="148" t="n"/>
      <c r="B534" s="148" t="n"/>
      <c r="C534" s="124" t="n"/>
      <c r="D534" s="148" t="n"/>
      <c r="E534" s="148" t="n"/>
      <c r="F534" s="148" t="n"/>
      <c r="G534" s="124" t="n"/>
      <c r="H534" s="148" t="n"/>
      <c r="I534" s="148" t="n"/>
      <c r="J534" s="148" t="n"/>
      <c r="K534" s="148" t="n"/>
      <c r="L534" s="148" t="n"/>
      <c r="M534" s="148" t="n"/>
      <c r="N534" s="148" t="n"/>
      <c r="O534" s="148" t="n"/>
      <c r="P534" s="148" t="n"/>
      <c r="Q534" s="148" t="n"/>
      <c r="R534" s="148" t="n"/>
      <c r="S534" s="148" t="n"/>
      <c r="T534" s="148" t="n"/>
      <c r="U534" s="149">
        <f>IF(AND('Master Stock'!D534&lt;&gt;"",'Master Stock'!H534="OCCUPIED",ISNUMBER('Master Stock'!J534),'Master Stock'!K534=""),SUMPRODUCT(--('Master Stock'!$D$2:$D$1000&lt;&gt;""),--('Master Stock'!$H$2:$H$1000="OCCUPIED"),--ISNUMBER('Master Stock'!$J$2:$J$1000),--('Master Stock'!$K$2:$K$1000=""),--('Master Stock'!$J$2:$J$1000&lt;'Master Stock'!J534))+COUNTIFS('Master Stock'!$J$2:J534,'Master Stock'!J534,'Master Stock'!$D$2:D534,"&lt;&gt;",'Master Stock'!$H$2:H534,"OCCUPIED",'Master Stock'!$K$2:K534,""),"")</f>
        <v/>
      </c>
      <c r="V534" s="149">
        <f>IF(AND('Master Stock'!D534&lt;&gt;"",'Master Stock'!H534="OCCUPIED",ISNUMBER('Master Stock'!L534),'Master Stock'!L534&lt;TODAY()-30),SUMPRODUCT(--('Master Stock'!$D$2:$D$1000&lt;&gt;""),--('Master Stock'!$H$2:$H$1000="OCCUPIED"),--ISNUMBER('Master Stock'!$L$2:$L$1000),--('Master Stock'!$L$2:$L$1000&lt;TODAY()-30),--('Master Stock'!$L$2:$L$1000&lt;'Master Stock'!L534))+COUNTIFS('Master Stock'!$L$2:L534,'Master Stock'!L534,'Master Stock'!$D$2:D534,"&lt;&gt;",'Master Stock'!$H$2:H534,"OCCUPIED"),"")</f>
        <v/>
      </c>
      <c r="W534" s="149" t="n"/>
      <c r="X534" s="149" t="n"/>
      <c r="Y534" s="149" t="n"/>
      <c r="Z534" s="149" t="n"/>
    </row>
    <row r="535" ht="15.75" customHeight="1" s="236">
      <c r="A535" s="148" t="n"/>
      <c r="B535" s="148" t="n"/>
      <c r="C535" s="124" t="n"/>
      <c r="D535" s="148" t="n"/>
      <c r="E535" s="148" t="n"/>
      <c r="F535" s="148" t="n"/>
      <c r="G535" s="124" t="n"/>
      <c r="H535" s="148" t="n"/>
      <c r="I535" s="148" t="n"/>
      <c r="J535" s="148" t="n"/>
      <c r="K535" s="148" t="n"/>
      <c r="L535" s="148" t="n"/>
      <c r="M535" s="148" t="n"/>
      <c r="N535" s="148" t="n"/>
      <c r="O535" s="148" t="n"/>
      <c r="P535" s="148" t="n"/>
      <c r="Q535" s="148" t="n"/>
      <c r="R535" s="148" t="n"/>
      <c r="S535" s="148" t="n"/>
      <c r="T535" s="148" t="n"/>
      <c r="U535" s="149">
        <f>IF(AND('Master Stock'!D535&lt;&gt;"",'Master Stock'!H535="OCCUPIED",ISNUMBER('Master Stock'!J535),'Master Stock'!K535=""),SUMPRODUCT(--('Master Stock'!$D$2:$D$1000&lt;&gt;""),--('Master Stock'!$H$2:$H$1000="OCCUPIED"),--ISNUMBER('Master Stock'!$J$2:$J$1000),--('Master Stock'!$K$2:$K$1000=""),--('Master Stock'!$J$2:$J$1000&lt;'Master Stock'!J535))+COUNTIFS('Master Stock'!$J$2:J535,'Master Stock'!J535,'Master Stock'!$D$2:D535,"&lt;&gt;",'Master Stock'!$H$2:H535,"OCCUPIED",'Master Stock'!$K$2:K535,""),"")</f>
        <v/>
      </c>
      <c r="V535" s="149">
        <f>IF(AND('Master Stock'!D535&lt;&gt;"",'Master Stock'!H535="OCCUPIED",ISNUMBER('Master Stock'!L535),'Master Stock'!L535&lt;TODAY()-30),SUMPRODUCT(--('Master Stock'!$D$2:$D$1000&lt;&gt;""),--('Master Stock'!$H$2:$H$1000="OCCUPIED"),--ISNUMBER('Master Stock'!$L$2:$L$1000),--('Master Stock'!$L$2:$L$1000&lt;TODAY()-30),--('Master Stock'!$L$2:$L$1000&lt;'Master Stock'!L535))+COUNTIFS('Master Stock'!$L$2:L535,'Master Stock'!L535,'Master Stock'!$D$2:D535,"&lt;&gt;",'Master Stock'!$H$2:H535,"OCCUPIED"),"")</f>
        <v/>
      </c>
      <c r="W535" s="149" t="n"/>
      <c r="X535" s="149" t="n"/>
      <c r="Y535" s="149" t="n"/>
      <c r="Z535" s="149" t="n"/>
    </row>
    <row r="536" ht="15.75" customHeight="1" s="236">
      <c r="A536" s="148" t="n"/>
      <c r="B536" s="148" t="n"/>
      <c r="C536" s="124" t="n"/>
      <c r="D536" s="148" t="n"/>
      <c r="E536" s="148" t="n"/>
      <c r="F536" s="148" t="n"/>
      <c r="G536" s="124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9">
        <f>IF(AND('Master Stock'!D536&lt;&gt;"",'Master Stock'!H536="OCCUPIED",ISNUMBER('Master Stock'!J536),'Master Stock'!K536=""),SUMPRODUCT(--('Master Stock'!$D$2:$D$1000&lt;&gt;""),--('Master Stock'!$H$2:$H$1000="OCCUPIED"),--ISNUMBER('Master Stock'!$J$2:$J$1000),--('Master Stock'!$K$2:$K$1000=""),--('Master Stock'!$J$2:$J$1000&lt;'Master Stock'!J536))+COUNTIFS('Master Stock'!$J$2:J536,'Master Stock'!J536,'Master Stock'!$D$2:D536,"&lt;&gt;",'Master Stock'!$H$2:H536,"OCCUPIED",'Master Stock'!$K$2:K536,""),"")</f>
        <v/>
      </c>
      <c r="V536" s="149">
        <f>IF(AND('Master Stock'!D536&lt;&gt;"",'Master Stock'!H536="OCCUPIED",ISNUMBER('Master Stock'!L536),'Master Stock'!L536&lt;TODAY()-30),SUMPRODUCT(--('Master Stock'!$D$2:$D$1000&lt;&gt;""),--('Master Stock'!$H$2:$H$1000="OCCUPIED"),--ISNUMBER('Master Stock'!$L$2:$L$1000),--('Master Stock'!$L$2:$L$1000&lt;TODAY()-30),--('Master Stock'!$L$2:$L$1000&lt;'Master Stock'!L536))+COUNTIFS('Master Stock'!$L$2:L536,'Master Stock'!L536,'Master Stock'!$D$2:D536,"&lt;&gt;",'Master Stock'!$H$2:H536,"OCCUPIED"),"")</f>
        <v/>
      </c>
      <c r="W536" s="149" t="n"/>
      <c r="X536" s="149" t="n"/>
      <c r="Y536" s="149" t="n"/>
      <c r="Z536" s="149" t="n"/>
    </row>
    <row r="537" ht="15.75" customHeight="1" s="236">
      <c r="A537" s="148" t="n"/>
      <c r="B537" s="148" t="n"/>
      <c r="C537" s="124" t="n"/>
      <c r="D537" s="148" t="n"/>
      <c r="E537" s="148" t="n"/>
      <c r="F537" s="148" t="n"/>
      <c r="G537" s="124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9">
        <f>IF(AND('Master Stock'!D537&lt;&gt;"",'Master Stock'!H537="OCCUPIED",ISNUMBER('Master Stock'!J537),'Master Stock'!K537=""),SUMPRODUCT(--('Master Stock'!$D$2:$D$1000&lt;&gt;""),--('Master Stock'!$H$2:$H$1000="OCCUPIED"),--ISNUMBER('Master Stock'!$J$2:$J$1000),--('Master Stock'!$K$2:$K$1000=""),--('Master Stock'!$J$2:$J$1000&lt;'Master Stock'!J537))+COUNTIFS('Master Stock'!$J$2:J537,'Master Stock'!J537,'Master Stock'!$D$2:D537,"&lt;&gt;",'Master Stock'!$H$2:H537,"OCCUPIED",'Master Stock'!$K$2:K537,""),"")</f>
        <v/>
      </c>
      <c r="V537" s="149">
        <f>IF(AND('Master Stock'!D537&lt;&gt;"",'Master Stock'!H537="OCCUPIED",ISNUMBER('Master Stock'!L537),'Master Stock'!L537&lt;TODAY()-30),SUMPRODUCT(--('Master Stock'!$D$2:$D$1000&lt;&gt;""),--('Master Stock'!$H$2:$H$1000="OCCUPIED"),--ISNUMBER('Master Stock'!$L$2:$L$1000),--('Master Stock'!$L$2:$L$1000&lt;TODAY()-30),--('Master Stock'!$L$2:$L$1000&lt;'Master Stock'!L537))+COUNTIFS('Master Stock'!$L$2:L537,'Master Stock'!L537,'Master Stock'!$D$2:D537,"&lt;&gt;",'Master Stock'!$H$2:H537,"OCCUPIED"),"")</f>
        <v/>
      </c>
      <c r="W537" s="149" t="n"/>
      <c r="X537" s="149" t="n"/>
      <c r="Y537" s="149" t="n"/>
      <c r="Z537" s="149" t="n"/>
    </row>
    <row r="538" ht="15.75" customHeight="1" s="236">
      <c r="A538" s="148" t="n"/>
      <c r="B538" s="148" t="n"/>
      <c r="C538" s="124" t="n"/>
      <c r="D538" s="148" t="n"/>
      <c r="E538" s="148" t="n"/>
      <c r="F538" s="148" t="n"/>
      <c r="G538" s="124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9">
        <f>IF(AND('Master Stock'!D538&lt;&gt;"",'Master Stock'!H538="OCCUPIED",ISNUMBER('Master Stock'!J538),'Master Stock'!K538=""),SUMPRODUCT(--('Master Stock'!$D$2:$D$1000&lt;&gt;""),--('Master Stock'!$H$2:$H$1000="OCCUPIED"),--ISNUMBER('Master Stock'!$J$2:$J$1000),--('Master Stock'!$K$2:$K$1000=""),--('Master Stock'!$J$2:$J$1000&lt;'Master Stock'!J538))+COUNTIFS('Master Stock'!$J$2:J538,'Master Stock'!J538,'Master Stock'!$D$2:D538,"&lt;&gt;",'Master Stock'!$H$2:H538,"OCCUPIED",'Master Stock'!$K$2:K538,""),"")</f>
        <v/>
      </c>
      <c r="V538" s="149">
        <f>IF(AND('Master Stock'!D538&lt;&gt;"",'Master Stock'!H538="OCCUPIED",ISNUMBER('Master Stock'!L538),'Master Stock'!L538&lt;TODAY()-30),SUMPRODUCT(--('Master Stock'!$D$2:$D$1000&lt;&gt;""),--('Master Stock'!$H$2:$H$1000="OCCUPIED"),--ISNUMBER('Master Stock'!$L$2:$L$1000),--('Master Stock'!$L$2:$L$1000&lt;TODAY()-30),--('Master Stock'!$L$2:$L$1000&lt;'Master Stock'!L538))+COUNTIFS('Master Stock'!$L$2:L538,'Master Stock'!L538,'Master Stock'!$D$2:D538,"&lt;&gt;",'Master Stock'!$H$2:H538,"OCCUPIED"),"")</f>
        <v/>
      </c>
      <c r="W538" s="149" t="n"/>
      <c r="X538" s="149" t="n"/>
      <c r="Y538" s="149" t="n"/>
      <c r="Z538" s="149" t="n"/>
    </row>
    <row r="539" ht="15.75" customHeight="1" s="236">
      <c r="A539" s="148" t="n"/>
      <c r="B539" s="148" t="n"/>
      <c r="C539" s="124" t="n"/>
      <c r="D539" s="148" t="n"/>
      <c r="E539" s="148" t="n"/>
      <c r="F539" s="148" t="n"/>
      <c r="G539" s="124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9">
        <f>IF(AND('Master Stock'!D539&lt;&gt;"",'Master Stock'!H539="OCCUPIED",ISNUMBER('Master Stock'!J539),'Master Stock'!K539=""),SUMPRODUCT(--('Master Stock'!$D$2:$D$1000&lt;&gt;""),--('Master Stock'!$H$2:$H$1000="OCCUPIED"),--ISNUMBER('Master Stock'!$J$2:$J$1000),--('Master Stock'!$K$2:$K$1000=""),--('Master Stock'!$J$2:$J$1000&lt;'Master Stock'!J539))+COUNTIFS('Master Stock'!$J$2:J539,'Master Stock'!J539,'Master Stock'!$D$2:D539,"&lt;&gt;",'Master Stock'!$H$2:H539,"OCCUPIED",'Master Stock'!$K$2:K539,""),"")</f>
        <v/>
      </c>
      <c r="V539" s="149">
        <f>IF(AND('Master Stock'!D539&lt;&gt;"",'Master Stock'!H539="OCCUPIED",ISNUMBER('Master Stock'!L539),'Master Stock'!L539&lt;TODAY()-30),SUMPRODUCT(--('Master Stock'!$D$2:$D$1000&lt;&gt;""),--('Master Stock'!$H$2:$H$1000="OCCUPIED"),--ISNUMBER('Master Stock'!$L$2:$L$1000),--('Master Stock'!$L$2:$L$1000&lt;TODAY()-30),--('Master Stock'!$L$2:$L$1000&lt;'Master Stock'!L539))+COUNTIFS('Master Stock'!$L$2:L539,'Master Stock'!L539,'Master Stock'!$D$2:D539,"&lt;&gt;",'Master Stock'!$H$2:H539,"OCCUPIED"),"")</f>
        <v/>
      </c>
      <c r="W539" s="149" t="n"/>
      <c r="X539" s="149" t="n"/>
      <c r="Y539" s="149" t="n"/>
      <c r="Z539" s="149" t="n"/>
    </row>
    <row r="540" ht="15.75" customHeight="1" s="236">
      <c r="A540" s="148" t="n"/>
      <c r="B540" s="148" t="n"/>
      <c r="C540" s="124" t="n"/>
      <c r="D540" s="148" t="n"/>
      <c r="E540" s="148" t="n"/>
      <c r="F540" s="148" t="n"/>
      <c r="G540" s="124" t="n"/>
      <c r="H540" s="148" t="n"/>
      <c r="I540" s="148" t="n"/>
      <c r="J540" s="148" t="n"/>
      <c r="K540" s="148" t="n"/>
      <c r="L540" s="148" t="n"/>
      <c r="M540" s="148" t="n"/>
      <c r="N540" s="148" t="n"/>
      <c r="O540" s="148" t="n"/>
      <c r="P540" s="148" t="n"/>
      <c r="Q540" s="148" t="n"/>
      <c r="R540" s="148" t="n"/>
      <c r="S540" s="148" t="n"/>
      <c r="T540" s="148" t="n"/>
      <c r="U540" s="149">
        <f>IF(AND('Master Stock'!D540&lt;&gt;"",'Master Stock'!H540="OCCUPIED",ISNUMBER('Master Stock'!J540),'Master Stock'!K540=""),SUMPRODUCT(--('Master Stock'!$D$2:$D$1000&lt;&gt;""),--('Master Stock'!$H$2:$H$1000="OCCUPIED"),--ISNUMBER('Master Stock'!$J$2:$J$1000),--('Master Stock'!$K$2:$K$1000=""),--('Master Stock'!$J$2:$J$1000&lt;'Master Stock'!J540))+COUNTIFS('Master Stock'!$J$2:J540,'Master Stock'!J540,'Master Stock'!$D$2:D540,"&lt;&gt;",'Master Stock'!$H$2:H540,"OCCUPIED",'Master Stock'!$K$2:K540,""),"")</f>
        <v/>
      </c>
      <c r="V540" s="149">
        <f>IF(AND('Master Stock'!D540&lt;&gt;"",'Master Stock'!H540="OCCUPIED",ISNUMBER('Master Stock'!L540),'Master Stock'!L540&lt;TODAY()-30),SUMPRODUCT(--('Master Stock'!$D$2:$D$1000&lt;&gt;""),--('Master Stock'!$H$2:$H$1000="OCCUPIED"),--ISNUMBER('Master Stock'!$L$2:$L$1000),--('Master Stock'!$L$2:$L$1000&lt;TODAY()-30),--('Master Stock'!$L$2:$L$1000&lt;'Master Stock'!L540))+COUNTIFS('Master Stock'!$L$2:L540,'Master Stock'!L540,'Master Stock'!$D$2:D540,"&lt;&gt;",'Master Stock'!$H$2:H540,"OCCUPIED"),"")</f>
        <v/>
      </c>
      <c r="W540" s="149" t="n"/>
      <c r="X540" s="149" t="n"/>
      <c r="Y540" s="149" t="n"/>
      <c r="Z540" s="149" t="n"/>
    </row>
    <row r="541" ht="15.75" customHeight="1" s="236">
      <c r="A541" s="148" t="n"/>
      <c r="B541" s="148" t="n"/>
      <c r="C541" s="124" t="n"/>
      <c r="D541" s="148" t="n"/>
      <c r="E541" s="148" t="n"/>
      <c r="F541" s="148" t="n"/>
      <c r="G541" s="124" t="n"/>
      <c r="H541" s="148" t="n"/>
      <c r="I541" s="148" t="n"/>
      <c r="J541" s="148" t="n"/>
      <c r="K541" s="148" t="n"/>
      <c r="L541" s="148" t="n"/>
      <c r="M541" s="148" t="n"/>
      <c r="N541" s="148" t="n"/>
      <c r="O541" s="148" t="n"/>
      <c r="P541" s="148" t="n"/>
      <c r="Q541" s="148" t="n"/>
      <c r="R541" s="148" t="n"/>
      <c r="S541" s="148" t="n"/>
      <c r="T541" s="148" t="n"/>
      <c r="U541" s="149">
        <f>IF(AND('Master Stock'!D541&lt;&gt;"",'Master Stock'!H541="OCCUPIED",ISNUMBER('Master Stock'!J541),'Master Stock'!K541=""),SUMPRODUCT(--('Master Stock'!$D$2:$D$1000&lt;&gt;""),--('Master Stock'!$H$2:$H$1000="OCCUPIED"),--ISNUMBER('Master Stock'!$J$2:$J$1000),--('Master Stock'!$K$2:$K$1000=""),--('Master Stock'!$J$2:$J$1000&lt;'Master Stock'!J541))+COUNTIFS('Master Stock'!$J$2:J541,'Master Stock'!J541,'Master Stock'!$D$2:D541,"&lt;&gt;",'Master Stock'!$H$2:H541,"OCCUPIED",'Master Stock'!$K$2:K541,""),"")</f>
        <v/>
      </c>
      <c r="V541" s="149">
        <f>IF(AND('Master Stock'!D541&lt;&gt;"",'Master Stock'!H541="OCCUPIED",ISNUMBER('Master Stock'!L541),'Master Stock'!L541&lt;TODAY()-30),SUMPRODUCT(--('Master Stock'!$D$2:$D$1000&lt;&gt;""),--('Master Stock'!$H$2:$H$1000="OCCUPIED"),--ISNUMBER('Master Stock'!$L$2:$L$1000),--('Master Stock'!$L$2:$L$1000&lt;TODAY()-30),--('Master Stock'!$L$2:$L$1000&lt;'Master Stock'!L541))+COUNTIFS('Master Stock'!$L$2:L541,'Master Stock'!L541,'Master Stock'!$D$2:D541,"&lt;&gt;",'Master Stock'!$H$2:H541,"OCCUPIED"),"")</f>
        <v/>
      </c>
      <c r="W541" s="149" t="n"/>
      <c r="X541" s="149" t="n"/>
      <c r="Y541" s="149" t="n"/>
      <c r="Z541" s="149" t="n"/>
    </row>
    <row r="542" ht="15.75" customHeight="1" s="236">
      <c r="A542" s="148" t="n"/>
      <c r="B542" s="148" t="n"/>
      <c r="C542" s="124" t="n"/>
      <c r="D542" s="148" t="n"/>
      <c r="E542" s="148" t="n"/>
      <c r="F542" s="148" t="n"/>
      <c r="G542" s="124" t="n"/>
      <c r="H542" s="148" t="n"/>
      <c r="I542" s="148" t="n"/>
      <c r="J542" s="148" t="n"/>
      <c r="K542" s="148" t="n"/>
      <c r="L542" s="148" t="n"/>
      <c r="M542" s="148" t="n"/>
      <c r="N542" s="148" t="n"/>
      <c r="O542" s="148" t="n"/>
      <c r="P542" s="148" t="n"/>
      <c r="Q542" s="148" t="n"/>
      <c r="R542" s="148" t="n"/>
      <c r="S542" s="148" t="n"/>
      <c r="T542" s="148" t="n"/>
      <c r="U542" s="149">
        <f>IF(AND('Master Stock'!D542&lt;&gt;"",'Master Stock'!H542="OCCUPIED",ISNUMBER('Master Stock'!J542),'Master Stock'!K542=""),SUMPRODUCT(--('Master Stock'!$D$2:$D$1000&lt;&gt;""),--('Master Stock'!$H$2:$H$1000="OCCUPIED"),--ISNUMBER('Master Stock'!$J$2:$J$1000),--('Master Stock'!$K$2:$K$1000=""),--('Master Stock'!$J$2:$J$1000&lt;'Master Stock'!J542))+COUNTIFS('Master Stock'!$J$2:J542,'Master Stock'!J542,'Master Stock'!$D$2:D542,"&lt;&gt;",'Master Stock'!$H$2:H542,"OCCUPIED",'Master Stock'!$K$2:K542,""),"")</f>
        <v/>
      </c>
      <c r="V542" s="149">
        <f>IF(AND('Master Stock'!D542&lt;&gt;"",'Master Stock'!H542="OCCUPIED",ISNUMBER('Master Stock'!L542),'Master Stock'!L542&lt;TODAY()-30),SUMPRODUCT(--('Master Stock'!$D$2:$D$1000&lt;&gt;""),--('Master Stock'!$H$2:$H$1000="OCCUPIED"),--ISNUMBER('Master Stock'!$L$2:$L$1000),--('Master Stock'!$L$2:$L$1000&lt;TODAY()-30),--('Master Stock'!$L$2:$L$1000&lt;'Master Stock'!L542))+COUNTIFS('Master Stock'!$L$2:L542,'Master Stock'!L542,'Master Stock'!$D$2:D542,"&lt;&gt;",'Master Stock'!$H$2:H542,"OCCUPIED"),"")</f>
        <v/>
      </c>
      <c r="W542" s="149" t="n"/>
      <c r="X542" s="149" t="n"/>
      <c r="Y542" s="149" t="n"/>
      <c r="Z542" s="149" t="n"/>
    </row>
    <row r="543" ht="15.75" customHeight="1" s="236">
      <c r="A543" s="148" t="n"/>
      <c r="B543" s="148" t="n"/>
      <c r="C543" s="124" t="n"/>
      <c r="D543" s="148" t="n"/>
      <c r="E543" s="148" t="n"/>
      <c r="F543" s="148" t="n"/>
      <c r="G543" s="124" t="n"/>
      <c r="H543" s="148" t="n"/>
      <c r="I543" s="148" t="n"/>
      <c r="J543" s="148" t="n"/>
      <c r="K543" s="148" t="n"/>
      <c r="L543" s="148" t="n"/>
      <c r="M543" s="148" t="n"/>
      <c r="N543" s="148" t="n"/>
      <c r="O543" s="148" t="n"/>
      <c r="P543" s="148" t="n"/>
      <c r="Q543" s="148" t="n"/>
      <c r="R543" s="148" t="n"/>
      <c r="S543" s="148" t="n"/>
      <c r="T543" s="148" t="n"/>
      <c r="U543" s="149">
        <f>IF(AND('Master Stock'!D543&lt;&gt;"",'Master Stock'!H543="OCCUPIED",ISNUMBER('Master Stock'!J543),'Master Stock'!K543=""),SUMPRODUCT(--('Master Stock'!$D$2:$D$1000&lt;&gt;""),--('Master Stock'!$H$2:$H$1000="OCCUPIED"),--ISNUMBER('Master Stock'!$J$2:$J$1000),--('Master Stock'!$K$2:$K$1000=""),--('Master Stock'!$J$2:$J$1000&lt;'Master Stock'!J543))+COUNTIFS('Master Stock'!$J$2:J543,'Master Stock'!J543,'Master Stock'!$D$2:D543,"&lt;&gt;",'Master Stock'!$H$2:H543,"OCCUPIED",'Master Stock'!$K$2:K543,""),"")</f>
        <v/>
      </c>
      <c r="V543" s="149">
        <f>IF(AND('Master Stock'!D543&lt;&gt;"",'Master Stock'!H543="OCCUPIED",ISNUMBER('Master Stock'!L543),'Master Stock'!L543&lt;TODAY()-30),SUMPRODUCT(--('Master Stock'!$D$2:$D$1000&lt;&gt;""),--('Master Stock'!$H$2:$H$1000="OCCUPIED"),--ISNUMBER('Master Stock'!$L$2:$L$1000),--('Master Stock'!$L$2:$L$1000&lt;TODAY()-30),--('Master Stock'!$L$2:$L$1000&lt;'Master Stock'!L543))+COUNTIFS('Master Stock'!$L$2:L543,'Master Stock'!L543,'Master Stock'!$D$2:D543,"&lt;&gt;",'Master Stock'!$H$2:H543,"OCCUPIED"),"")</f>
        <v/>
      </c>
      <c r="W543" s="149" t="n"/>
      <c r="X543" s="149" t="n"/>
      <c r="Y543" s="149" t="n"/>
      <c r="Z543" s="149" t="n"/>
    </row>
    <row r="544" ht="15.75" customHeight="1" s="236">
      <c r="A544" s="148" t="n"/>
      <c r="B544" s="148" t="n"/>
      <c r="C544" s="124" t="n"/>
      <c r="D544" s="148" t="n"/>
      <c r="E544" s="148" t="n"/>
      <c r="F544" s="148" t="n"/>
      <c r="G544" s="124" t="n"/>
      <c r="H544" s="148" t="n"/>
      <c r="I544" s="148" t="n"/>
      <c r="J544" s="148" t="n"/>
      <c r="K544" s="148" t="n"/>
      <c r="L544" s="148" t="n"/>
      <c r="M544" s="148" t="n"/>
      <c r="N544" s="148" t="n"/>
      <c r="O544" s="148" t="n"/>
      <c r="P544" s="148" t="n"/>
      <c r="Q544" s="148" t="n"/>
      <c r="R544" s="148" t="n"/>
      <c r="S544" s="148" t="n"/>
      <c r="T544" s="148" t="n"/>
      <c r="U544" s="149">
        <f>IF(AND('Master Stock'!D544&lt;&gt;"",'Master Stock'!H544="OCCUPIED",ISNUMBER('Master Stock'!J544),'Master Stock'!K544=""),SUMPRODUCT(--('Master Stock'!$D$2:$D$1000&lt;&gt;""),--('Master Stock'!$H$2:$H$1000="OCCUPIED"),--ISNUMBER('Master Stock'!$J$2:$J$1000),--('Master Stock'!$K$2:$K$1000=""),--('Master Stock'!$J$2:$J$1000&lt;'Master Stock'!J544))+COUNTIFS('Master Stock'!$J$2:J544,'Master Stock'!J544,'Master Stock'!$D$2:D544,"&lt;&gt;",'Master Stock'!$H$2:H544,"OCCUPIED",'Master Stock'!$K$2:K544,""),"")</f>
        <v/>
      </c>
      <c r="V544" s="149">
        <f>IF(AND('Master Stock'!D544&lt;&gt;"",'Master Stock'!H544="OCCUPIED",ISNUMBER('Master Stock'!L544),'Master Stock'!L544&lt;TODAY()-30),SUMPRODUCT(--('Master Stock'!$D$2:$D$1000&lt;&gt;""),--('Master Stock'!$H$2:$H$1000="OCCUPIED"),--ISNUMBER('Master Stock'!$L$2:$L$1000),--('Master Stock'!$L$2:$L$1000&lt;TODAY()-30),--('Master Stock'!$L$2:$L$1000&lt;'Master Stock'!L544))+COUNTIFS('Master Stock'!$L$2:L544,'Master Stock'!L544,'Master Stock'!$D$2:D544,"&lt;&gt;",'Master Stock'!$H$2:H544,"OCCUPIED"),"")</f>
        <v/>
      </c>
      <c r="W544" s="149" t="n"/>
      <c r="X544" s="149" t="n"/>
      <c r="Y544" s="149" t="n"/>
      <c r="Z544" s="149" t="n"/>
    </row>
    <row r="545" ht="15.75" customHeight="1" s="236">
      <c r="A545" s="148" t="n"/>
      <c r="B545" s="148" t="n"/>
      <c r="C545" s="124" t="n"/>
      <c r="D545" s="148" t="n"/>
      <c r="E545" s="148" t="n"/>
      <c r="F545" s="148" t="n"/>
      <c r="G545" s="124" t="n"/>
      <c r="H545" s="148" t="n"/>
      <c r="I545" s="148" t="n"/>
      <c r="J545" s="148" t="n"/>
      <c r="K545" s="148" t="n"/>
      <c r="L545" s="148" t="n"/>
      <c r="M545" s="148" t="n"/>
      <c r="N545" s="148" t="n"/>
      <c r="O545" s="148" t="n"/>
      <c r="P545" s="148" t="n"/>
      <c r="Q545" s="148" t="n"/>
      <c r="R545" s="148" t="n"/>
      <c r="S545" s="148" t="n"/>
      <c r="T545" s="148" t="n"/>
      <c r="U545" s="149">
        <f>IF(AND('Master Stock'!D545&lt;&gt;"",'Master Stock'!H545="OCCUPIED",ISNUMBER('Master Stock'!J545),'Master Stock'!K545=""),SUMPRODUCT(--('Master Stock'!$D$2:$D$1000&lt;&gt;""),--('Master Stock'!$H$2:$H$1000="OCCUPIED"),--ISNUMBER('Master Stock'!$J$2:$J$1000),--('Master Stock'!$K$2:$K$1000=""),--('Master Stock'!$J$2:$J$1000&lt;'Master Stock'!J545))+COUNTIFS('Master Stock'!$J$2:J545,'Master Stock'!J545,'Master Stock'!$D$2:D545,"&lt;&gt;",'Master Stock'!$H$2:H545,"OCCUPIED",'Master Stock'!$K$2:K545,""),"")</f>
        <v/>
      </c>
      <c r="V545" s="149">
        <f>IF(AND('Master Stock'!D545&lt;&gt;"",'Master Stock'!H545="OCCUPIED",ISNUMBER('Master Stock'!L545),'Master Stock'!L545&lt;TODAY()-30),SUMPRODUCT(--('Master Stock'!$D$2:$D$1000&lt;&gt;""),--('Master Stock'!$H$2:$H$1000="OCCUPIED"),--ISNUMBER('Master Stock'!$L$2:$L$1000),--('Master Stock'!$L$2:$L$1000&lt;TODAY()-30),--('Master Stock'!$L$2:$L$1000&lt;'Master Stock'!L545))+COUNTIFS('Master Stock'!$L$2:L545,'Master Stock'!L545,'Master Stock'!$D$2:D545,"&lt;&gt;",'Master Stock'!$H$2:H545,"OCCUPIED"),"")</f>
        <v/>
      </c>
      <c r="W545" s="149" t="n"/>
      <c r="X545" s="149" t="n"/>
      <c r="Y545" s="149" t="n"/>
      <c r="Z545" s="149" t="n"/>
    </row>
    <row r="546" ht="15.75" customHeight="1" s="236">
      <c r="A546" s="148" t="n"/>
      <c r="B546" s="148" t="n"/>
      <c r="C546" s="124" t="n"/>
      <c r="D546" s="148" t="n"/>
      <c r="E546" s="148" t="n"/>
      <c r="F546" s="148" t="n"/>
      <c r="G546" s="124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9">
        <f>IF(AND('Master Stock'!D546&lt;&gt;"",'Master Stock'!H546="OCCUPIED",ISNUMBER('Master Stock'!J546),'Master Stock'!K546=""),SUMPRODUCT(--('Master Stock'!$D$2:$D$1000&lt;&gt;""),--('Master Stock'!$H$2:$H$1000="OCCUPIED"),--ISNUMBER('Master Stock'!$J$2:$J$1000),--('Master Stock'!$K$2:$K$1000=""),--('Master Stock'!$J$2:$J$1000&lt;'Master Stock'!J546))+COUNTIFS('Master Stock'!$J$2:J546,'Master Stock'!J546,'Master Stock'!$D$2:D546,"&lt;&gt;",'Master Stock'!$H$2:H546,"OCCUPIED",'Master Stock'!$K$2:K546,""),"")</f>
        <v/>
      </c>
      <c r="V546" s="149">
        <f>IF(AND('Master Stock'!D546&lt;&gt;"",'Master Stock'!H546="OCCUPIED",ISNUMBER('Master Stock'!L546),'Master Stock'!L546&lt;TODAY()-30),SUMPRODUCT(--('Master Stock'!$D$2:$D$1000&lt;&gt;""),--('Master Stock'!$H$2:$H$1000="OCCUPIED"),--ISNUMBER('Master Stock'!$L$2:$L$1000),--('Master Stock'!$L$2:$L$1000&lt;TODAY()-30),--('Master Stock'!$L$2:$L$1000&lt;'Master Stock'!L546))+COUNTIFS('Master Stock'!$L$2:L546,'Master Stock'!L546,'Master Stock'!$D$2:D546,"&lt;&gt;",'Master Stock'!$H$2:H546,"OCCUPIED"),"")</f>
        <v/>
      </c>
      <c r="W546" s="149" t="n"/>
      <c r="X546" s="149" t="n"/>
      <c r="Y546" s="149" t="n"/>
      <c r="Z546" s="149" t="n"/>
    </row>
    <row r="547" ht="15.75" customHeight="1" s="236">
      <c r="A547" s="148" t="n"/>
      <c r="B547" s="148" t="n"/>
      <c r="C547" s="124" t="n"/>
      <c r="D547" s="148" t="n"/>
      <c r="E547" s="148" t="n"/>
      <c r="F547" s="148" t="n"/>
      <c r="G547" s="124" t="n"/>
      <c r="H547" s="148" t="n"/>
      <c r="I547" s="148" t="n"/>
      <c r="J547" s="148" t="n"/>
      <c r="K547" s="148" t="n"/>
      <c r="L547" s="148" t="n"/>
      <c r="M547" s="148" t="n"/>
      <c r="N547" s="148" t="n"/>
      <c r="O547" s="148" t="n"/>
      <c r="P547" s="148" t="n"/>
      <c r="Q547" s="148" t="n"/>
      <c r="R547" s="148" t="n"/>
      <c r="S547" s="148" t="n"/>
      <c r="T547" s="148" t="n"/>
      <c r="U547" s="149">
        <f>IF(AND('Master Stock'!D547&lt;&gt;"",'Master Stock'!H547="OCCUPIED",ISNUMBER('Master Stock'!J547),'Master Stock'!K547=""),SUMPRODUCT(--('Master Stock'!$D$2:$D$1000&lt;&gt;""),--('Master Stock'!$H$2:$H$1000="OCCUPIED"),--ISNUMBER('Master Stock'!$J$2:$J$1000),--('Master Stock'!$K$2:$K$1000=""),--('Master Stock'!$J$2:$J$1000&lt;'Master Stock'!J547))+COUNTIFS('Master Stock'!$J$2:J547,'Master Stock'!J547,'Master Stock'!$D$2:D547,"&lt;&gt;",'Master Stock'!$H$2:H547,"OCCUPIED",'Master Stock'!$K$2:K547,""),"")</f>
        <v/>
      </c>
      <c r="V547" s="149">
        <f>IF(AND('Master Stock'!D547&lt;&gt;"",'Master Stock'!H547="OCCUPIED",ISNUMBER('Master Stock'!L547),'Master Stock'!L547&lt;TODAY()-30),SUMPRODUCT(--('Master Stock'!$D$2:$D$1000&lt;&gt;""),--('Master Stock'!$H$2:$H$1000="OCCUPIED"),--ISNUMBER('Master Stock'!$L$2:$L$1000),--('Master Stock'!$L$2:$L$1000&lt;TODAY()-30),--('Master Stock'!$L$2:$L$1000&lt;'Master Stock'!L547))+COUNTIFS('Master Stock'!$L$2:L547,'Master Stock'!L547,'Master Stock'!$D$2:D547,"&lt;&gt;",'Master Stock'!$H$2:H547,"OCCUPIED"),"")</f>
        <v/>
      </c>
      <c r="W547" s="149" t="n"/>
      <c r="X547" s="149" t="n"/>
      <c r="Y547" s="149" t="n"/>
      <c r="Z547" s="149" t="n"/>
    </row>
    <row r="548" ht="15.75" customHeight="1" s="236">
      <c r="A548" s="148" t="n"/>
      <c r="B548" s="148" t="n"/>
      <c r="C548" s="124" t="n"/>
      <c r="D548" s="148" t="n"/>
      <c r="E548" s="148" t="n"/>
      <c r="F548" s="148" t="n"/>
      <c r="G548" s="124" t="n"/>
      <c r="H548" s="148" t="n"/>
      <c r="I548" s="148" t="n"/>
      <c r="J548" s="148" t="n"/>
      <c r="K548" s="148" t="n"/>
      <c r="L548" s="148" t="n"/>
      <c r="M548" s="148" t="n"/>
      <c r="N548" s="148" t="n"/>
      <c r="O548" s="148" t="n"/>
      <c r="P548" s="148" t="n"/>
      <c r="Q548" s="148" t="n"/>
      <c r="R548" s="148" t="n"/>
      <c r="S548" s="148" t="n"/>
      <c r="T548" s="148" t="n"/>
      <c r="U548" s="149">
        <f>IF(AND('Master Stock'!D548&lt;&gt;"",'Master Stock'!H548="OCCUPIED",ISNUMBER('Master Stock'!J548),'Master Stock'!K548=""),SUMPRODUCT(--('Master Stock'!$D$2:$D$1000&lt;&gt;""),--('Master Stock'!$H$2:$H$1000="OCCUPIED"),--ISNUMBER('Master Stock'!$J$2:$J$1000),--('Master Stock'!$K$2:$K$1000=""),--('Master Stock'!$J$2:$J$1000&lt;'Master Stock'!J548))+COUNTIFS('Master Stock'!$J$2:J548,'Master Stock'!J548,'Master Stock'!$D$2:D548,"&lt;&gt;",'Master Stock'!$H$2:H548,"OCCUPIED",'Master Stock'!$K$2:K548,""),"")</f>
        <v/>
      </c>
      <c r="V548" s="149">
        <f>IF(AND('Master Stock'!D548&lt;&gt;"",'Master Stock'!H548="OCCUPIED",ISNUMBER('Master Stock'!L548),'Master Stock'!L548&lt;TODAY()-30),SUMPRODUCT(--('Master Stock'!$D$2:$D$1000&lt;&gt;""),--('Master Stock'!$H$2:$H$1000="OCCUPIED"),--ISNUMBER('Master Stock'!$L$2:$L$1000),--('Master Stock'!$L$2:$L$1000&lt;TODAY()-30),--('Master Stock'!$L$2:$L$1000&lt;'Master Stock'!L548))+COUNTIFS('Master Stock'!$L$2:L548,'Master Stock'!L548,'Master Stock'!$D$2:D548,"&lt;&gt;",'Master Stock'!$H$2:H548,"OCCUPIED"),"")</f>
        <v/>
      </c>
      <c r="W548" s="149" t="n"/>
      <c r="X548" s="149" t="n"/>
      <c r="Y548" s="149" t="n"/>
      <c r="Z548" s="149" t="n"/>
    </row>
    <row r="549" ht="15.75" customHeight="1" s="236">
      <c r="A549" s="148" t="n"/>
      <c r="B549" s="148" t="n"/>
      <c r="C549" s="124" t="n"/>
      <c r="D549" s="148" t="n"/>
      <c r="E549" s="148" t="n"/>
      <c r="F549" s="148" t="n"/>
      <c r="G549" s="124" t="n"/>
      <c r="H549" s="148" t="n"/>
      <c r="I549" s="148" t="n"/>
      <c r="J549" s="148" t="n"/>
      <c r="K549" s="148" t="n"/>
      <c r="L549" s="148" t="n"/>
      <c r="M549" s="148" t="n"/>
      <c r="N549" s="148" t="n"/>
      <c r="O549" s="148" t="n"/>
      <c r="P549" s="148" t="n"/>
      <c r="Q549" s="148" t="n"/>
      <c r="R549" s="148" t="n"/>
      <c r="S549" s="148" t="n"/>
      <c r="T549" s="148" t="n"/>
      <c r="U549" s="149">
        <f>IF(AND('Master Stock'!D549&lt;&gt;"",'Master Stock'!H549="OCCUPIED",ISNUMBER('Master Stock'!J549),'Master Stock'!K549=""),SUMPRODUCT(--('Master Stock'!$D$2:$D$1000&lt;&gt;""),--('Master Stock'!$H$2:$H$1000="OCCUPIED"),--ISNUMBER('Master Stock'!$J$2:$J$1000),--('Master Stock'!$K$2:$K$1000=""),--('Master Stock'!$J$2:$J$1000&lt;'Master Stock'!J549))+COUNTIFS('Master Stock'!$J$2:J549,'Master Stock'!J549,'Master Stock'!$D$2:D549,"&lt;&gt;",'Master Stock'!$H$2:H549,"OCCUPIED",'Master Stock'!$K$2:K549,""),"")</f>
        <v/>
      </c>
      <c r="V549" s="149">
        <f>IF(AND('Master Stock'!D549&lt;&gt;"",'Master Stock'!H549="OCCUPIED",ISNUMBER('Master Stock'!L549),'Master Stock'!L549&lt;TODAY()-30),SUMPRODUCT(--('Master Stock'!$D$2:$D$1000&lt;&gt;""),--('Master Stock'!$H$2:$H$1000="OCCUPIED"),--ISNUMBER('Master Stock'!$L$2:$L$1000),--('Master Stock'!$L$2:$L$1000&lt;TODAY()-30),--('Master Stock'!$L$2:$L$1000&lt;'Master Stock'!L549))+COUNTIFS('Master Stock'!$L$2:L549,'Master Stock'!L549,'Master Stock'!$D$2:D549,"&lt;&gt;",'Master Stock'!$H$2:H549,"OCCUPIED"),"")</f>
        <v/>
      </c>
      <c r="W549" s="149" t="n"/>
      <c r="X549" s="149" t="n"/>
      <c r="Y549" s="149" t="n"/>
      <c r="Z549" s="149" t="n"/>
    </row>
    <row r="550" ht="15.75" customHeight="1" s="236">
      <c r="A550" s="148" t="n"/>
      <c r="B550" s="148" t="n"/>
      <c r="C550" s="124" t="n"/>
      <c r="D550" s="148" t="n"/>
      <c r="E550" s="148" t="n"/>
      <c r="F550" s="148" t="n"/>
      <c r="G550" s="124" t="n"/>
      <c r="H550" s="148" t="n"/>
      <c r="I550" s="148" t="n"/>
      <c r="J550" s="148" t="n"/>
      <c r="K550" s="148" t="n"/>
      <c r="L550" s="148" t="n"/>
      <c r="M550" s="148" t="n"/>
      <c r="N550" s="148" t="n"/>
      <c r="O550" s="148" t="n"/>
      <c r="P550" s="148" t="n"/>
      <c r="Q550" s="148" t="n"/>
      <c r="R550" s="148" t="n"/>
      <c r="S550" s="148" t="n"/>
      <c r="T550" s="148" t="n"/>
      <c r="U550" s="149">
        <f>IF(AND('Master Stock'!D550&lt;&gt;"",'Master Stock'!H550="OCCUPIED",ISNUMBER('Master Stock'!J550),'Master Stock'!K550=""),SUMPRODUCT(--('Master Stock'!$D$2:$D$1000&lt;&gt;""),--('Master Stock'!$H$2:$H$1000="OCCUPIED"),--ISNUMBER('Master Stock'!$J$2:$J$1000),--('Master Stock'!$K$2:$K$1000=""),--('Master Stock'!$J$2:$J$1000&lt;'Master Stock'!J550))+COUNTIFS('Master Stock'!$J$2:J550,'Master Stock'!J550,'Master Stock'!$D$2:D550,"&lt;&gt;",'Master Stock'!$H$2:H550,"OCCUPIED",'Master Stock'!$K$2:K550,""),"")</f>
        <v/>
      </c>
      <c r="V550" s="149">
        <f>IF(AND('Master Stock'!D550&lt;&gt;"",'Master Stock'!H550="OCCUPIED",ISNUMBER('Master Stock'!L550),'Master Stock'!L550&lt;TODAY()-30),SUMPRODUCT(--('Master Stock'!$D$2:$D$1000&lt;&gt;""),--('Master Stock'!$H$2:$H$1000="OCCUPIED"),--ISNUMBER('Master Stock'!$L$2:$L$1000),--('Master Stock'!$L$2:$L$1000&lt;TODAY()-30),--('Master Stock'!$L$2:$L$1000&lt;'Master Stock'!L550))+COUNTIFS('Master Stock'!$L$2:L550,'Master Stock'!L550,'Master Stock'!$D$2:D550,"&lt;&gt;",'Master Stock'!$H$2:H550,"OCCUPIED"),"")</f>
        <v/>
      </c>
      <c r="W550" s="149" t="n"/>
      <c r="X550" s="149" t="n"/>
      <c r="Y550" s="149" t="n"/>
      <c r="Z550" s="149" t="n"/>
    </row>
    <row r="551" ht="15.75" customHeight="1" s="236">
      <c r="A551" s="148" t="n"/>
      <c r="B551" s="148" t="n"/>
      <c r="C551" s="124" t="n"/>
      <c r="D551" s="148" t="n"/>
      <c r="E551" s="148" t="n"/>
      <c r="F551" s="148" t="n"/>
      <c r="G551" s="124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9">
        <f>IF(AND('Master Stock'!D551&lt;&gt;"",'Master Stock'!H551="OCCUPIED",ISNUMBER('Master Stock'!J551),'Master Stock'!K551=""),SUMPRODUCT(--('Master Stock'!$D$2:$D$1000&lt;&gt;""),--('Master Stock'!$H$2:$H$1000="OCCUPIED"),--ISNUMBER('Master Stock'!$J$2:$J$1000),--('Master Stock'!$K$2:$K$1000=""),--('Master Stock'!$J$2:$J$1000&lt;'Master Stock'!J551))+COUNTIFS('Master Stock'!$J$2:J551,'Master Stock'!J551,'Master Stock'!$D$2:D551,"&lt;&gt;",'Master Stock'!$H$2:H551,"OCCUPIED",'Master Stock'!$K$2:K551,""),"")</f>
        <v/>
      </c>
      <c r="V551" s="149">
        <f>IF(AND('Master Stock'!D551&lt;&gt;"",'Master Stock'!H551="OCCUPIED",ISNUMBER('Master Stock'!L551),'Master Stock'!L551&lt;TODAY()-30),SUMPRODUCT(--('Master Stock'!$D$2:$D$1000&lt;&gt;""),--('Master Stock'!$H$2:$H$1000="OCCUPIED"),--ISNUMBER('Master Stock'!$L$2:$L$1000),--('Master Stock'!$L$2:$L$1000&lt;TODAY()-30),--('Master Stock'!$L$2:$L$1000&lt;'Master Stock'!L551))+COUNTIFS('Master Stock'!$L$2:L551,'Master Stock'!L551,'Master Stock'!$D$2:D551,"&lt;&gt;",'Master Stock'!$H$2:H551,"OCCUPIED"),"")</f>
        <v/>
      </c>
      <c r="W551" s="149" t="n"/>
      <c r="X551" s="149" t="n"/>
      <c r="Y551" s="149" t="n"/>
      <c r="Z551" s="149" t="n"/>
    </row>
    <row r="552" ht="15.75" customHeight="1" s="236">
      <c r="A552" s="148" t="n"/>
      <c r="B552" s="148" t="n"/>
      <c r="C552" s="124" t="n"/>
      <c r="D552" s="148" t="n"/>
      <c r="E552" s="148" t="n"/>
      <c r="F552" s="148" t="n"/>
      <c r="G552" s="124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9">
        <f>IF(AND('Master Stock'!D552&lt;&gt;"",'Master Stock'!H552="OCCUPIED",ISNUMBER('Master Stock'!J552),'Master Stock'!K552=""),SUMPRODUCT(--('Master Stock'!$D$2:$D$1000&lt;&gt;""),--('Master Stock'!$H$2:$H$1000="OCCUPIED"),--ISNUMBER('Master Stock'!$J$2:$J$1000),--('Master Stock'!$K$2:$K$1000=""),--('Master Stock'!$J$2:$J$1000&lt;'Master Stock'!J552))+COUNTIFS('Master Stock'!$J$2:J552,'Master Stock'!J552,'Master Stock'!$D$2:D552,"&lt;&gt;",'Master Stock'!$H$2:H552,"OCCUPIED",'Master Stock'!$K$2:K552,""),"")</f>
        <v/>
      </c>
      <c r="V552" s="149">
        <f>IF(AND('Master Stock'!D552&lt;&gt;"",'Master Stock'!H552="OCCUPIED",ISNUMBER('Master Stock'!L552),'Master Stock'!L552&lt;TODAY()-30),SUMPRODUCT(--('Master Stock'!$D$2:$D$1000&lt;&gt;""),--('Master Stock'!$H$2:$H$1000="OCCUPIED"),--ISNUMBER('Master Stock'!$L$2:$L$1000),--('Master Stock'!$L$2:$L$1000&lt;TODAY()-30),--('Master Stock'!$L$2:$L$1000&lt;'Master Stock'!L552))+COUNTIFS('Master Stock'!$L$2:L552,'Master Stock'!L552,'Master Stock'!$D$2:D552,"&lt;&gt;",'Master Stock'!$H$2:H552,"OCCUPIED"),"")</f>
        <v/>
      </c>
      <c r="W552" s="149" t="n"/>
      <c r="X552" s="149" t="n"/>
      <c r="Y552" s="149" t="n"/>
      <c r="Z552" s="149" t="n"/>
    </row>
    <row r="553" ht="15.75" customHeight="1" s="236">
      <c r="A553" s="148" t="n"/>
      <c r="B553" s="148" t="n"/>
      <c r="C553" s="124" t="n"/>
      <c r="D553" s="148" t="n"/>
      <c r="E553" s="148" t="n"/>
      <c r="F553" s="148" t="n"/>
      <c r="G553" s="124" t="n"/>
      <c r="H553" s="148" t="n"/>
      <c r="I553" s="148" t="n"/>
      <c r="J553" s="148" t="n"/>
      <c r="K553" s="148" t="n"/>
      <c r="L553" s="148" t="n"/>
      <c r="M553" s="148" t="n"/>
      <c r="N553" s="148" t="n"/>
      <c r="O553" s="148" t="n"/>
      <c r="P553" s="148" t="n"/>
      <c r="Q553" s="148" t="n"/>
      <c r="R553" s="148" t="n"/>
      <c r="S553" s="148" t="n"/>
      <c r="T553" s="148" t="n"/>
      <c r="U553" s="149">
        <f>IF(AND('Master Stock'!D553&lt;&gt;"",'Master Stock'!H553="OCCUPIED",ISNUMBER('Master Stock'!J553),'Master Stock'!K553=""),SUMPRODUCT(--('Master Stock'!$D$2:$D$1000&lt;&gt;""),--('Master Stock'!$H$2:$H$1000="OCCUPIED"),--ISNUMBER('Master Stock'!$J$2:$J$1000),--('Master Stock'!$K$2:$K$1000=""),--('Master Stock'!$J$2:$J$1000&lt;'Master Stock'!J553))+COUNTIFS('Master Stock'!$J$2:J553,'Master Stock'!J553,'Master Stock'!$D$2:D553,"&lt;&gt;",'Master Stock'!$H$2:H553,"OCCUPIED",'Master Stock'!$K$2:K553,""),"")</f>
        <v/>
      </c>
      <c r="V553" s="149">
        <f>IF(AND('Master Stock'!D553&lt;&gt;"",'Master Stock'!H553="OCCUPIED",ISNUMBER('Master Stock'!L553),'Master Stock'!L553&lt;TODAY()-30),SUMPRODUCT(--('Master Stock'!$D$2:$D$1000&lt;&gt;""),--('Master Stock'!$H$2:$H$1000="OCCUPIED"),--ISNUMBER('Master Stock'!$L$2:$L$1000),--('Master Stock'!$L$2:$L$1000&lt;TODAY()-30),--('Master Stock'!$L$2:$L$1000&lt;'Master Stock'!L553))+COUNTIFS('Master Stock'!$L$2:L553,'Master Stock'!L553,'Master Stock'!$D$2:D553,"&lt;&gt;",'Master Stock'!$H$2:H553,"OCCUPIED"),"")</f>
        <v/>
      </c>
      <c r="W553" s="149" t="n"/>
      <c r="X553" s="149" t="n"/>
      <c r="Y553" s="149" t="n"/>
      <c r="Z553" s="149" t="n"/>
    </row>
    <row r="554" ht="15.75" customHeight="1" s="236">
      <c r="A554" s="148" t="n"/>
      <c r="B554" s="148" t="n"/>
      <c r="C554" s="124" t="n"/>
      <c r="D554" s="148" t="n"/>
      <c r="E554" s="148" t="n"/>
      <c r="F554" s="148" t="n"/>
      <c r="G554" s="124" t="n"/>
      <c r="H554" s="148" t="n"/>
      <c r="I554" s="148" t="n"/>
      <c r="J554" s="148" t="n"/>
      <c r="K554" s="148" t="n"/>
      <c r="L554" s="148" t="n"/>
      <c r="M554" s="148" t="n"/>
      <c r="N554" s="148" t="n"/>
      <c r="O554" s="148" t="n"/>
      <c r="P554" s="148" t="n"/>
      <c r="Q554" s="148" t="n"/>
      <c r="R554" s="148" t="n"/>
      <c r="S554" s="148" t="n"/>
      <c r="T554" s="148" t="n"/>
      <c r="U554" s="149">
        <f>IF(AND('Master Stock'!D554&lt;&gt;"",'Master Stock'!H554="OCCUPIED",ISNUMBER('Master Stock'!J554),'Master Stock'!K554=""),SUMPRODUCT(--('Master Stock'!$D$2:$D$1000&lt;&gt;""),--('Master Stock'!$H$2:$H$1000="OCCUPIED"),--ISNUMBER('Master Stock'!$J$2:$J$1000),--('Master Stock'!$K$2:$K$1000=""),--('Master Stock'!$J$2:$J$1000&lt;'Master Stock'!J554))+COUNTIFS('Master Stock'!$J$2:J554,'Master Stock'!J554,'Master Stock'!$D$2:D554,"&lt;&gt;",'Master Stock'!$H$2:H554,"OCCUPIED",'Master Stock'!$K$2:K554,""),"")</f>
        <v/>
      </c>
      <c r="V554" s="149">
        <f>IF(AND('Master Stock'!D554&lt;&gt;"",'Master Stock'!H554="OCCUPIED",ISNUMBER('Master Stock'!L554),'Master Stock'!L554&lt;TODAY()-30),SUMPRODUCT(--('Master Stock'!$D$2:$D$1000&lt;&gt;""),--('Master Stock'!$H$2:$H$1000="OCCUPIED"),--ISNUMBER('Master Stock'!$L$2:$L$1000),--('Master Stock'!$L$2:$L$1000&lt;TODAY()-30),--('Master Stock'!$L$2:$L$1000&lt;'Master Stock'!L554))+COUNTIFS('Master Stock'!$L$2:L554,'Master Stock'!L554,'Master Stock'!$D$2:D554,"&lt;&gt;",'Master Stock'!$H$2:H554,"OCCUPIED"),"")</f>
        <v/>
      </c>
      <c r="W554" s="149" t="n"/>
      <c r="X554" s="149" t="n"/>
      <c r="Y554" s="149" t="n"/>
      <c r="Z554" s="149" t="n"/>
    </row>
    <row r="555" ht="15.75" customHeight="1" s="236">
      <c r="A555" s="148" t="n"/>
      <c r="B555" s="148" t="n"/>
      <c r="C555" s="124" t="n"/>
      <c r="D555" s="148" t="n"/>
      <c r="E555" s="148" t="n"/>
      <c r="F555" s="148" t="n"/>
      <c r="G555" s="124" t="n"/>
      <c r="H555" s="148" t="n"/>
      <c r="I555" s="148" t="n"/>
      <c r="J555" s="148" t="n"/>
      <c r="K555" s="148" t="n"/>
      <c r="L555" s="148" t="n"/>
      <c r="M555" s="148" t="n"/>
      <c r="N555" s="148" t="n"/>
      <c r="O555" s="148" t="n"/>
      <c r="P555" s="148" t="n"/>
      <c r="Q555" s="148" t="n"/>
      <c r="R555" s="148" t="n"/>
      <c r="S555" s="148" t="n"/>
      <c r="T555" s="148" t="n"/>
      <c r="U555" s="149">
        <f>IF(AND('Master Stock'!D555&lt;&gt;"",'Master Stock'!H555="OCCUPIED",ISNUMBER('Master Stock'!J555),'Master Stock'!K555=""),SUMPRODUCT(--('Master Stock'!$D$2:$D$1000&lt;&gt;""),--('Master Stock'!$H$2:$H$1000="OCCUPIED"),--ISNUMBER('Master Stock'!$J$2:$J$1000),--('Master Stock'!$K$2:$K$1000=""),--('Master Stock'!$J$2:$J$1000&lt;'Master Stock'!J555))+COUNTIFS('Master Stock'!$J$2:J555,'Master Stock'!J555,'Master Stock'!$D$2:D555,"&lt;&gt;",'Master Stock'!$H$2:H555,"OCCUPIED",'Master Stock'!$K$2:K555,""),"")</f>
        <v/>
      </c>
      <c r="V555" s="149">
        <f>IF(AND('Master Stock'!D555&lt;&gt;"",'Master Stock'!H555="OCCUPIED",ISNUMBER('Master Stock'!L555),'Master Stock'!L555&lt;TODAY()-30),SUMPRODUCT(--('Master Stock'!$D$2:$D$1000&lt;&gt;""),--('Master Stock'!$H$2:$H$1000="OCCUPIED"),--ISNUMBER('Master Stock'!$L$2:$L$1000),--('Master Stock'!$L$2:$L$1000&lt;TODAY()-30),--('Master Stock'!$L$2:$L$1000&lt;'Master Stock'!L555))+COUNTIFS('Master Stock'!$L$2:L555,'Master Stock'!L555,'Master Stock'!$D$2:D555,"&lt;&gt;",'Master Stock'!$H$2:H555,"OCCUPIED"),"")</f>
        <v/>
      </c>
      <c r="W555" s="149" t="n"/>
      <c r="X555" s="149" t="n"/>
      <c r="Y555" s="149" t="n"/>
      <c r="Z555" s="149" t="n"/>
    </row>
    <row r="556" ht="15.75" customHeight="1" s="236">
      <c r="A556" s="148" t="n"/>
      <c r="B556" s="148" t="n"/>
      <c r="C556" s="124" t="n"/>
      <c r="D556" s="148" t="n"/>
      <c r="E556" s="148" t="n"/>
      <c r="F556" s="148" t="n"/>
      <c r="G556" s="124" t="n"/>
      <c r="H556" s="148" t="n"/>
      <c r="I556" s="148" t="n"/>
      <c r="J556" s="148" t="n"/>
      <c r="K556" s="148" t="n"/>
      <c r="L556" s="148" t="n"/>
      <c r="M556" s="148" t="n"/>
      <c r="N556" s="148" t="n"/>
      <c r="O556" s="148" t="n"/>
      <c r="P556" s="148" t="n"/>
      <c r="Q556" s="148" t="n"/>
      <c r="R556" s="148" t="n"/>
      <c r="S556" s="148" t="n"/>
      <c r="T556" s="148" t="n"/>
      <c r="U556" s="149">
        <f>IF(AND('Master Stock'!D556&lt;&gt;"",'Master Stock'!H556="OCCUPIED",ISNUMBER('Master Stock'!J556),'Master Stock'!K556=""),SUMPRODUCT(--('Master Stock'!$D$2:$D$1000&lt;&gt;""),--('Master Stock'!$H$2:$H$1000="OCCUPIED"),--ISNUMBER('Master Stock'!$J$2:$J$1000),--('Master Stock'!$K$2:$K$1000=""),--('Master Stock'!$J$2:$J$1000&lt;'Master Stock'!J556))+COUNTIFS('Master Stock'!$J$2:J556,'Master Stock'!J556,'Master Stock'!$D$2:D556,"&lt;&gt;",'Master Stock'!$H$2:H556,"OCCUPIED",'Master Stock'!$K$2:K556,""),"")</f>
        <v/>
      </c>
      <c r="V556" s="149">
        <f>IF(AND('Master Stock'!D556&lt;&gt;"",'Master Stock'!H556="OCCUPIED",ISNUMBER('Master Stock'!L556),'Master Stock'!L556&lt;TODAY()-30),SUMPRODUCT(--('Master Stock'!$D$2:$D$1000&lt;&gt;""),--('Master Stock'!$H$2:$H$1000="OCCUPIED"),--ISNUMBER('Master Stock'!$L$2:$L$1000),--('Master Stock'!$L$2:$L$1000&lt;TODAY()-30),--('Master Stock'!$L$2:$L$1000&lt;'Master Stock'!L556))+COUNTIFS('Master Stock'!$L$2:L556,'Master Stock'!L556,'Master Stock'!$D$2:D556,"&lt;&gt;",'Master Stock'!$H$2:H556,"OCCUPIED"),"")</f>
        <v/>
      </c>
      <c r="W556" s="149" t="n"/>
      <c r="X556" s="149" t="n"/>
      <c r="Y556" s="149" t="n"/>
      <c r="Z556" s="149" t="n"/>
    </row>
    <row r="557" ht="15.75" customHeight="1" s="236">
      <c r="A557" s="148" t="n"/>
      <c r="B557" s="148" t="n"/>
      <c r="C557" s="124" t="n"/>
      <c r="D557" s="148" t="n"/>
      <c r="E557" s="148" t="n"/>
      <c r="F557" s="148" t="n"/>
      <c r="G557" s="124" t="n"/>
      <c r="H557" s="148" t="n"/>
      <c r="I557" s="148" t="n"/>
      <c r="J557" s="148" t="n"/>
      <c r="K557" s="148" t="n"/>
      <c r="L557" s="148" t="n"/>
      <c r="M557" s="148" t="n"/>
      <c r="N557" s="148" t="n"/>
      <c r="O557" s="148" t="n"/>
      <c r="P557" s="148" t="n"/>
      <c r="Q557" s="148" t="n"/>
      <c r="R557" s="148" t="n"/>
      <c r="S557" s="148" t="n"/>
      <c r="T557" s="148" t="n"/>
      <c r="U557" s="149">
        <f>IF(AND('Master Stock'!D557&lt;&gt;"",'Master Stock'!H557="OCCUPIED",ISNUMBER('Master Stock'!J557),'Master Stock'!K557=""),SUMPRODUCT(--('Master Stock'!$D$2:$D$1000&lt;&gt;""),--('Master Stock'!$H$2:$H$1000="OCCUPIED"),--ISNUMBER('Master Stock'!$J$2:$J$1000),--('Master Stock'!$K$2:$K$1000=""),--('Master Stock'!$J$2:$J$1000&lt;'Master Stock'!J557))+COUNTIFS('Master Stock'!$J$2:J557,'Master Stock'!J557,'Master Stock'!$D$2:D557,"&lt;&gt;",'Master Stock'!$H$2:H557,"OCCUPIED",'Master Stock'!$K$2:K557,""),"")</f>
        <v/>
      </c>
      <c r="V557" s="149">
        <f>IF(AND('Master Stock'!D557&lt;&gt;"",'Master Stock'!H557="OCCUPIED",ISNUMBER('Master Stock'!L557),'Master Stock'!L557&lt;TODAY()-30),SUMPRODUCT(--('Master Stock'!$D$2:$D$1000&lt;&gt;""),--('Master Stock'!$H$2:$H$1000="OCCUPIED"),--ISNUMBER('Master Stock'!$L$2:$L$1000),--('Master Stock'!$L$2:$L$1000&lt;TODAY()-30),--('Master Stock'!$L$2:$L$1000&lt;'Master Stock'!L557))+COUNTIFS('Master Stock'!$L$2:L557,'Master Stock'!L557,'Master Stock'!$D$2:D557,"&lt;&gt;",'Master Stock'!$H$2:H557,"OCCUPIED"),"")</f>
        <v/>
      </c>
      <c r="W557" s="149" t="n"/>
      <c r="X557" s="149" t="n"/>
      <c r="Y557" s="149" t="n"/>
      <c r="Z557" s="149" t="n"/>
    </row>
    <row r="558" ht="15.75" customHeight="1" s="236">
      <c r="A558" s="148" t="n"/>
      <c r="B558" s="148" t="n"/>
      <c r="C558" s="124" t="n"/>
      <c r="D558" s="148" t="n"/>
      <c r="E558" s="148" t="n"/>
      <c r="F558" s="148" t="n"/>
      <c r="G558" s="124" t="n"/>
      <c r="H558" s="148" t="n"/>
      <c r="I558" s="148" t="n"/>
      <c r="J558" s="148" t="n"/>
      <c r="K558" s="148" t="n"/>
      <c r="L558" s="148" t="n"/>
      <c r="M558" s="148" t="n"/>
      <c r="N558" s="148" t="n"/>
      <c r="O558" s="148" t="n"/>
      <c r="P558" s="148" t="n"/>
      <c r="Q558" s="148" t="n"/>
      <c r="R558" s="148" t="n"/>
      <c r="S558" s="148" t="n"/>
      <c r="T558" s="148" t="n"/>
      <c r="U558" s="149">
        <f>IF(AND('Master Stock'!D558&lt;&gt;"",'Master Stock'!H558="OCCUPIED",ISNUMBER('Master Stock'!J558),'Master Stock'!K558=""),SUMPRODUCT(--('Master Stock'!$D$2:$D$1000&lt;&gt;""),--('Master Stock'!$H$2:$H$1000="OCCUPIED"),--ISNUMBER('Master Stock'!$J$2:$J$1000),--('Master Stock'!$K$2:$K$1000=""),--('Master Stock'!$J$2:$J$1000&lt;'Master Stock'!J558))+COUNTIFS('Master Stock'!$J$2:J558,'Master Stock'!J558,'Master Stock'!$D$2:D558,"&lt;&gt;",'Master Stock'!$H$2:H558,"OCCUPIED",'Master Stock'!$K$2:K558,""),"")</f>
        <v/>
      </c>
      <c r="V558" s="149">
        <f>IF(AND('Master Stock'!D558&lt;&gt;"",'Master Stock'!H558="OCCUPIED",ISNUMBER('Master Stock'!L558),'Master Stock'!L558&lt;TODAY()-30),SUMPRODUCT(--('Master Stock'!$D$2:$D$1000&lt;&gt;""),--('Master Stock'!$H$2:$H$1000="OCCUPIED"),--ISNUMBER('Master Stock'!$L$2:$L$1000),--('Master Stock'!$L$2:$L$1000&lt;TODAY()-30),--('Master Stock'!$L$2:$L$1000&lt;'Master Stock'!L558))+COUNTIFS('Master Stock'!$L$2:L558,'Master Stock'!L558,'Master Stock'!$D$2:D558,"&lt;&gt;",'Master Stock'!$H$2:H558,"OCCUPIED"),"")</f>
        <v/>
      </c>
      <c r="W558" s="149" t="n"/>
      <c r="X558" s="149" t="n"/>
      <c r="Y558" s="149" t="n"/>
      <c r="Z558" s="149" t="n"/>
    </row>
    <row r="559" ht="15.75" customHeight="1" s="236">
      <c r="A559" s="148" t="n"/>
      <c r="B559" s="148" t="n"/>
      <c r="C559" s="124" t="n"/>
      <c r="D559" s="148" t="n"/>
      <c r="E559" s="148" t="n"/>
      <c r="F559" s="148" t="n"/>
      <c r="G559" s="124" t="n"/>
      <c r="H559" s="148" t="n"/>
      <c r="I559" s="148" t="n"/>
      <c r="J559" s="148" t="n"/>
      <c r="K559" s="148" t="n"/>
      <c r="L559" s="148" t="n"/>
      <c r="M559" s="148" t="n"/>
      <c r="N559" s="148" t="n"/>
      <c r="O559" s="148" t="n"/>
      <c r="P559" s="148" t="n"/>
      <c r="Q559" s="148" t="n"/>
      <c r="R559" s="148" t="n"/>
      <c r="S559" s="148" t="n"/>
      <c r="T559" s="148" t="n"/>
      <c r="U559" s="149">
        <f>IF(AND('Master Stock'!D559&lt;&gt;"",'Master Stock'!H559="OCCUPIED",ISNUMBER('Master Stock'!J559),'Master Stock'!K559=""),SUMPRODUCT(--('Master Stock'!$D$2:$D$1000&lt;&gt;""),--('Master Stock'!$H$2:$H$1000="OCCUPIED"),--ISNUMBER('Master Stock'!$J$2:$J$1000),--('Master Stock'!$K$2:$K$1000=""),--('Master Stock'!$J$2:$J$1000&lt;'Master Stock'!J559))+COUNTIFS('Master Stock'!$J$2:J559,'Master Stock'!J559,'Master Stock'!$D$2:D559,"&lt;&gt;",'Master Stock'!$H$2:H559,"OCCUPIED",'Master Stock'!$K$2:K559,""),"")</f>
        <v/>
      </c>
      <c r="V559" s="149">
        <f>IF(AND('Master Stock'!D559&lt;&gt;"",'Master Stock'!H559="OCCUPIED",ISNUMBER('Master Stock'!L559),'Master Stock'!L559&lt;TODAY()-30),SUMPRODUCT(--('Master Stock'!$D$2:$D$1000&lt;&gt;""),--('Master Stock'!$H$2:$H$1000="OCCUPIED"),--ISNUMBER('Master Stock'!$L$2:$L$1000),--('Master Stock'!$L$2:$L$1000&lt;TODAY()-30),--('Master Stock'!$L$2:$L$1000&lt;'Master Stock'!L559))+COUNTIFS('Master Stock'!$L$2:L559,'Master Stock'!L559,'Master Stock'!$D$2:D559,"&lt;&gt;",'Master Stock'!$H$2:H559,"OCCUPIED"),"")</f>
        <v/>
      </c>
      <c r="W559" s="149" t="n"/>
      <c r="X559" s="149" t="n"/>
      <c r="Y559" s="149" t="n"/>
      <c r="Z559" s="149" t="n"/>
    </row>
    <row r="560" ht="15.75" customHeight="1" s="236">
      <c r="A560" s="148" t="n"/>
      <c r="B560" s="148" t="n"/>
      <c r="C560" s="124" t="n"/>
      <c r="D560" s="148" t="n"/>
      <c r="E560" s="148" t="n"/>
      <c r="F560" s="148" t="n"/>
      <c r="G560" s="124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9">
        <f>IF(AND('Master Stock'!D560&lt;&gt;"",'Master Stock'!H560="OCCUPIED",ISNUMBER('Master Stock'!J560),'Master Stock'!K560=""),SUMPRODUCT(--('Master Stock'!$D$2:$D$1000&lt;&gt;""),--('Master Stock'!$H$2:$H$1000="OCCUPIED"),--ISNUMBER('Master Stock'!$J$2:$J$1000),--('Master Stock'!$K$2:$K$1000=""),--('Master Stock'!$J$2:$J$1000&lt;'Master Stock'!J560))+COUNTIFS('Master Stock'!$J$2:J560,'Master Stock'!J560,'Master Stock'!$D$2:D560,"&lt;&gt;",'Master Stock'!$H$2:H560,"OCCUPIED",'Master Stock'!$K$2:K560,""),"")</f>
        <v/>
      </c>
      <c r="V560" s="149">
        <f>IF(AND('Master Stock'!D560&lt;&gt;"",'Master Stock'!H560="OCCUPIED",ISNUMBER('Master Stock'!L560),'Master Stock'!L560&lt;TODAY()-30),SUMPRODUCT(--('Master Stock'!$D$2:$D$1000&lt;&gt;""),--('Master Stock'!$H$2:$H$1000="OCCUPIED"),--ISNUMBER('Master Stock'!$L$2:$L$1000),--('Master Stock'!$L$2:$L$1000&lt;TODAY()-30),--('Master Stock'!$L$2:$L$1000&lt;'Master Stock'!L560))+COUNTIFS('Master Stock'!$L$2:L560,'Master Stock'!L560,'Master Stock'!$D$2:D560,"&lt;&gt;",'Master Stock'!$H$2:H560,"OCCUPIED"),"")</f>
        <v/>
      </c>
      <c r="W560" s="149" t="n"/>
      <c r="X560" s="149" t="n"/>
      <c r="Y560" s="149" t="n"/>
      <c r="Z560" s="149" t="n"/>
    </row>
    <row r="561" ht="15.75" customHeight="1" s="236">
      <c r="A561" s="148" t="n"/>
      <c r="B561" s="148" t="n"/>
      <c r="C561" s="124" t="n"/>
      <c r="D561" s="148" t="n"/>
      <c r="E561" s="148" t="n"/>
      <c r="F561" s="148" t="n"/>
      <c r="G561" s="124" t="n"/>
      <c r="H561" s="148" t="n"/>
      <c r="I561" s="148" t="n"/>
      <c r="J561" s="148" t="n"/>
      <c r="K561" s="148" t="n"/>
      <c r="L561" s="148" t="n"/>
      <c r="M561" s="148" t="n"/>
      <c r="N561" s="148" t="n"/>
      <c r="O561" s="148" t="n"/>
      <c r="P561" s="148" t="n"/>
      <c r="Q561" s="148" t="n"/>
      <c r="R561" s="148" t="n"/>
      <c r="S561" s="148" t="n"/>
      <c r="T561" s="148" t="n"/>
      <c r="U561" s="149">
        <f>IF(AND('Master Stock'!D561&lt;&gt;"",'Master Stock'!H561="OCCUPIED",ISNUMBER('Master Stock'!J561),'Master Stock'!K561=""),SUMPRODUCT(--('Master Stock'!$D$2:$D$1000&lt;&gt;""),--('Master Stock'!$H$2:$H$1000="OCCUPIED"),--ISNUMBER('Master Stock'!$J$2:$J$1000),--('Master Stock'!$K$2:$K$1000=""),--('Master Stock'!$J$2:$J$1000&lt;'Master Stock'!J561))+COUNTIFS('Master Stock'!$J$2:J561,'Master Stock'!J561,'Master Stock'!$D$2:D561,"&lt;&gt;",'Master Stock'!$H$2:H561,"OCCUPIED",'Master Stock'!$K$2:K561,""),"")</f>
        <v/>
      </c>
      <c r="V561" s="149">
        <f>IF(AND('Master Stock'!D561&lt;&gt;"",'Master Stock'!H561="OCCUPIED",ISNUMBER('Master Stock'!L561),'Master Stock'!L561&lt;TODAY()-30),SUMPRODUCT(--('Master Stock'!$D$2:$D$1000&lt;&gt;""),--('Master Stock'!$H$2:$H$1000="OCCUPIED"),--ISNUMBER('Master Stock'!$L$2:$L$1000),--('Master Stock'!$L$2:$L$1000&lt;TODAY()-30),--('Master Stock'!$L$2:$L$1000&lt;'Master Stock'!L561))+COUNTIFS('Master Stock'!$L$2:L561,'Master Stock'!L561,'Master Stock'!$D$2:D561,"&lt;&gt;",'Master Stock'!$H$2:H561,"OCCUPIED"),"")</f>
        <v/>
      </c>
      <c r="W561" s="149" t="n"/>
      <c r="X561" s="149" t="n"/>
      <c r="Y561" s="149" t="n"/>
      <c r="Z561" s="149" t="n"/>
    </row>
    <row r="562" ht="15.75" customHeight="1" s="236">
      <c r="A562" s="148" t="n"/>
      <c r="B562" s="148" t="n"/>
      <c r="C562" s="124" t="n"/>
      <c r="D562" s="148" t="n"/>
      <c r="E562" s="148" t="n"/>
      <c r="F562" s="148" t="n"/>
      <c r="G562" s="124" t="n"/>
      <c r="H562" s="148" t="n"/>
      <c r="I562" s="148" t="n"/>
      <c r="J562" s="148" t="n"/>
      <c r="K562" s="148" t="n"/>
      <c r="L562" s="148" t="n"/>
      <c r="M562" s="148" t="n"/>
      <c r="N562" s="148" t="n"/>
      <c r="O562" s="148" t="n"/>
      <c r="P562" s="148" t="n"/>
      <c r="Q562" s="148" t="n"/>
      <c r="R562" s="148" t="n"/>
      <c r="S562" s="148" t="n"/>
      <c r="T562" s="148" t="n"/>
      <c r="U562" s="149">
        <f>IF(AND('Master Stock'!D562&lt;&gt;"",'Master Stock'!H562="OCCUPIED",ISNUMBER('Master Stock'!J562),'Master Stock'!K562=""),SUMPRODUCT(--('Master Stock'!$D$2:$D$1000&lt;&gt;""),--('Master Stock'!$H$2:$H$1000="OCCUPIED"),--ISNUMBER('Master Stock'!$J$2:$J$1000),--('Master Stock'!$K$2:$K$1000=""),--('Master Stock'!$J$2:$J$1000&lt;'Master Stock'!J562))+COUNTIFS('Master Stock'!$J$2:J562,'Master Stock'!J562,'Master Stock'!$D$2:D562,"&lt;&gt;",'Master Stock'!$H$2:H562,"OCCUPIED",'Master Stock'!$K$2:K562,""),"")</f>
        <v/>
      </c>
      <c r="V562" s="149">
        <f>IF(AND('Master Stock'!D562&lt;&gt;"",'Master Stock'!H562="OCCUPIED",ISNUMBER('Master Stock'!L562),'Master Stock'!L562&lt;TODAY()-30),SUMPRODUCT(--('Master Stock'!$D$2:$D$1000&lt;&gt;""),--('Master Stock'!$H$2:$H$1000="OCCUPIED"),--ISNUMBER('Master Stock'!$L$2:$L$1000),--('Master Stock'!$L$2:$L$1000&lt;TODAY()-30),--('Master Stock'!$L$2:$L$1000&lt;'Master Stock'!L562))+COUNTIFS('Master Stock'!$L$2:L562,'Master Stock'!L562,'Master Stock'!$D$2:D562,"&lt;&gt;",'Master Stock'!$H$2:H562,"OCCUPIED"),"")</f>
        <v/>
      </c>
      <c r="W562" s="149" t="n"/>
      <c r="X562" s="149" t="n"/>
      <c r="Y562" s="149" t="n"/>
      <c r="Z562" s="149" t="n"/>
    </row>
    <row r="563" ht="15.75" customHeight="1" s="236">
      <c r="A563" s="148" t="n"/>
      <c r="B563" s="148" t="n"/>
      <c r="C563" s="124" t="n"/>
      <c r="D563" s="148" t="n"/>
      <c r="E563" s="148" t="n"/>
      <c r="F563" s="148" t="n"/>
      <c r="G563" s="124" t="n"/>
      <c r="H563" s="148" t="n"/>
      <c r="I563" s="148" t="n"/>
      <c r="J563" s="148" t="n"/>
      <c r="K563" s="148" t="n"/>
      <c r="L563" s="148" t="n"/>
      <c r="M563" s="148" t="n"/>
      <c r="N563" s="148" t="n"/>
      <c r="O563" s="148" t="n"/>
      <c r="P563" s="148" t="n"/>
      <c r="Q563" s="148" t="n"/>
      <c r="R563" s="148" t="n"/>
      <c r="S563" s="148" t="n"/>
      <c r="T563" s="148" t="n"/>
      <c r="U563" s="149">
        <f>IF(AND('Master Stock'!D563&lt;&gt;"",'Master Stock'!H563="OCCUPIED",ISNUMBER('Master Stock'!J563),'Master Stock'!K563=""),SUMPRODUCT(--('Master Stock'!$D$2:$D$1000&lt;&gt;""),--('Master Stock'!$H$2:$H$1000="OCCUPIED"),--ISNUMBER('Master Stock'!$J$2:$J$1000),--('Master Stock'!$K$2:$K$1000=""),--('Master Stock'!$J$2:$J$1000&lt;'Master Stock'!J563))+COUNTIFS('Master Stock'!$J$2:J563,'Master Stock'!J563,'Master Stock'!$D$2:D563,"&lt;&gt;",'Master Stock'!$H$2:H563,"OCCUPIED",'Master Stock'!$K$2:K563,""),"")</f>
        <v/>
      </c>
      <c r="V563" s="149">
        <f>IF(AND('Master Stock'!D563&lt;&gt;"",'Master Stock'!H563="OCCUPIED",ISNUMBER('Master Stock'!L563),'Master Stock'!L563&lt;TODAY()-30),SUMPRODUCT(--('Master Stock'!$D$2:$D$1000&lt;&gt;""),--('Master Stock'!$H$2:$H$1000="OCCUPIED"),--ISNUMBER('Master Stock'!$L$2:$L$1000),--('Master Stock'!$L$2:$L$1000&lt;TODAY()-30),--('Master Stock'!$L$2:$L$1000&lt;'Master Stock'!L563))+COUNTIFS('Master Stock'!$L$2:L563,'Master Stock'!L563,'Master Stock'!$D$2:D563,"&lt;&gt;",'Master Stock'!$H$2:H563,"OCCUPIED"),"")</f>
        <v/>
      </c>
      <c r="W563" s="149" t="n"/>
      <c r="X563" s="149" t="n"/>
      <c r="Y563" s="149" t="n"/>
      <c r="Z563" s="149" t="n"/>
    </row>
    <row r="564" ht="15.75" customHeight="1" s="236">
      <c r="A564" s="148" t="n"/>
      <c r="B564" s="148" t="n"/>
      <c r="C564" s="124" t="n"/>
      <c r="D564" s="148" t="n"/>
      <c r="E564" s="148" t="n"/>
      <c r="F564" s="148" t="n"/>
      <c r="G564" s="124" t="n"/>
      <c r="H564" s="148" t="n"/>
      <c r="I564" s="148" t="n"/>
      <c r="J564" s="148" t="n"/>
      <c r="K564" s="148" t="n"/>
      <c r="L564" s="148" t="n"/>
      <c r="M564" s="148" t="n"/>
      <c r="N564" s="148" t="n"/>
      <c r="O564" s="148" t="n"/>
      <c r="P564" s="148" t="n"/>
      <c r="Q564" s="148" t="n"/>
      <c r="R564" s="148" t="n"/>
      <c r="S564" s="148" t="n"/>
      <c r="T564" s="148" t="n"/>
      <c r="U564" s="149">
        <f>IF(AND('Master Stock'!D564&lt;&gt;"",'Master Stock'!H564="OCCUPIED",ISNUMBER('Master Stock'!J564),'Master Stock'!K564=""),SUMPRODUCT(--('Master Stock'!$D$2:$D$1000&lt;&gt;""),--('Master Stock'!$H$2:$H$1000="OCCUPIED"),--ISNUMBER('Master Stock'!$J$2:$J$1000),--('Master Stock'!$K$2:$K$1000=""),--('Master Stock'!$J$2:$J$1000&lt;'Master Stock'!J564))+COUNTIFS('Master Stock'!$J$2:J564,'Master Stock'!J564,'Master Stock'!$D$2:D564,"&lt;&gt;",'Master Stock'!$H$2:H564,"OCCUPIED",'Master Stock'!$K$2:K564,""),"")</f>
        <v/>
      </c>
      <c r="V564" s="149">
        <f>IF(AND('Master Stock'!D564&lt;&gt;"",'Master Stock'!H564="OCCUPIED",ISNUMBER('Master Stock'!L564),'Master Stock'!L564&lt;TODAY()-30),SUMPRODUCT(--('Master Stock'!$D$2:$D$1000&lt;&gt;""),--('Master Stock'!$H$2:$H$1000="OCCUPIED"),--ISNUMBER('Master Stock'!$L$2:$L$1000),--('Master Stock'!$L$2:$L$1000&lt;TODAY()-30),--('Master Stock'!$L$2:$L$1000&lt;'Master Stock'!L564))+COUNTIFS('Master Stock'!$L$2:L564,'Master Stock'!L564,'Master Stock'!$D$2:D564,"&lt;&gt;",'Master Stock'!$H$2:H564,"OCCUPIED"),"")</f>
        <v/>
      </c>
      <c r="W564" s="149" t="n"/>
      <c r="X564" s="149" t="n"/>
      <c r="Y564" s="149" t="n"/>
      <c r="Z564" s="149" t="n"/>
    </row>
    <row r="565" ht="15.75" customHeight="1" s="236">
      <c r="A565" s="148" t="n"/>
      <c r="B565" s="148" t="n"/>
      <c r="C565" s="124" t="n"/>
      <c r="D565" s="148" t="n"/>
      <c r="E565" s="148" t="n"/>
      <c r="F565" s="148" t="n"/>
      <c r="G565" s="124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9">
        <f>IF(AND('Master Stock'!D565&lt;&gt;"",'Master Stock'!H565="OCCUPIED",ISNUMBER('Master Stock'!J565),'Master Stock'!K565=""),SUMPRODUCT(--('Master Stock'!$D$2:$D$1000&lt;&gt;""),--('Master Stock'!$H$2:$H$1000="OCCUPIED"),--ISNUMBER('Master Stock'!$J$2:$J$1000),--('Master Stock'!$K$2:$K$1000=""),--('Master Stock'!$J$2:$J$1000&lt;'Master Stock'!J565))+COUNTIFS('Master Stock'!$J$2:J565,'Master Stock'!J565,'Master Stock'!$D$2:D565,"&lt;&gt;",'Master Stock'!$H$2:H565,"OCCUPIED",'Master Stock'!$K$2:K565,""),"")</f>
        <v/>
      </c>
      <c r="V565" s="149">
        <f>IF(AND('Master Stock'!D565&lt;&gt;"",'Master Stock'!H565="OCCUPIED",ISNUMBER('Master Stock'!L565),'Master Stock'!L565&lt;TODAY()-30),SUMPRODUCT(--('Master Stock'!$D$2:$D$1000&lt;&gt;""),--('Master Stock'!$H$2:$H$1000="OCCUPIED"),--ISNUMBER('Master Stock'!$L$2:$L$1000),--('Master Stock'!$L$2:$L$1000&lt;TODAY()-30),--('Master Stock'!$L$2:$L$1000&lt;'Master Stock'!L565))+COUNTIFS('Master Stock'!$L$2:L565,'Master Stock'!L565,'Master Stock'!$D$2:D565,"&lt;&gt;",'Master Stock'!$H$2:H565,"OCCUPIED"),"")</f>
        <v/>
      </c>
      <c r="W565" s="149" t="n"/>
      <c r="X565" s="149" t="n"/>
      <c r="Y565" s="149" t="n"/>
      <c r="Z565" s="149" t="n"/>
    </row>
    <row r="566" ht="15.75" customHeight="1" s="236">
      <c r="A566" s="148" t="n"/>
      <c r="B566" s="148" t="n"/>
      <c r="C566" s="124" t="n"/>
      <c r="D566" s="148" t="n"/>
      <c r="E566" s="148" t="n"/>
      <c r="F566" s="148" t="n"/>
      <c r="G566" s="124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9">
        <f>IF(AND('Master Stock'!D566&lt;&gt;"",'Master Stock'!H566="OCCUPIED",ISNUMBER('Master Stock'!J566),'Master Stock'!K566=""),SUMPRODUCT(--('Master Stock'!$D$2:$D$1000&lt;&gt;""),--('Master Stock'!$H$2:$H$1000="OCCUPIED"),--ISNUMBER('Master Stock'!$J$2:$J$1000),--('Master Stock'!$K$2:$K$1000=""),--('Master Stock'!$J$2:$J$1000&lt;'Master Stock'!J566))+COUNTIFS('Master Stock'!$J$2:J566,'Master Stock'!J566,'Master Stock'!$D$2:D566,"&lt;&gt;",'Master Stock'!$H$2:H566,"OCCUPIED",'Master Stock'!$K$2:K566,""),"")</f>
        <v/>
      </c>
      <c r="V566" s="149">
        <f>IF(AND('Master Stock'!D566&lt;&gt;"",'Master Stock'!H566="OCCUPIED",ISNUMBER('Master Stock'!L566),'Master Stock'!L566&lt;TODAY()-30),SUMPRODUCT(--('Master Stock'!$D$2:$D$1000&lt;&gt;""),--('Master Stock'!$H$2:$H$1000="OCCUPIED"),--ISNUMBER('Master Stock'!$L$2:$L$1000),--('Master Stock'!$L$2:$L$1000&lt;TODAY()-30),--('Master Stock'!$L$2:$L$1000&lt;'Master Stock'!L566))+COUNTIFS('Master Stock'!$L$2:L566,'Master Stock'!L566,'Master Stock'!$D$2:D566,"&lt;&gt;",'Master Stock'!$H$2:H566,"OCCUPIED"),"")</f>
        <v/>
      </c>
      <c r="W566" s="149" t="n"/>
      <c r="X566" s="149" t="n"/>
      <c r="Y566" s="149" t="n"/>
      <c r="Z566" s="149" t="n"/>
    </row>
    <row r="567" ht="15.75" customHeight="1" s="236">
      <c r="A567" s="148" t="n"/>
      <c r="B567" s="148" t="n"/>
      <c r="C567" s="124" t="n"/>
      <c r="D567" s="148" t="n"/>
      <c r="E567" s="148" t="n"/>
      <c r="F567" s="148" t="n"/>
      <c r="G567" s="124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9">
        <f>IF(AND('Master Stock'!D567&lt;&gt;"",'Master Stock'!H567="OCCUPIED",ISNUMBER('Master Stock'!J567),'Master Stock'!K567=""),SUMPRODUCT(--('Master Stock'!$D$2:$D$1000&lt;&gt;""),--('Master Stock'!$H$2:$H$1000="OCCUPIED"),--ISNUMBER('Master Stock'!$J$2:$J$1000),--('Master Stock'!$K$2:$K$1000=""),--('Master Stock'!$J$2:$J$1000&lt;'Master Stock'!J567))+COUNTIFS('Master Stock'!$J$2:J567,'Master Stock'!J567,'Master Stock'!$D$2:D567,"&lt;&gt;",'Master Stock'!$H$2:H567,"OCCUPIED",'Master Stock'!$K$2:K567,""),"")</f>
        <v/>
      </c>
      <c r="V567" s="149">
        <f>IF(AND('Master Stock'!D567&lt;&gt;"",'Master Stock'!H567="OCCUPIED",ISNUMBER('Master Stock'!L567),'Master Stock'!L567&lt;TODAY()-30),SUMPRODUCT(--('Master Stock'!$D$2:$D$1000&lt;&gt;""),--('Master Stock'!$H$2:$H$1000="OCCUPIED"),--ISNUMBER('Master Stock'!$L$2:$L$1000),--('Master Stock'!$L$2:$L$1000&lt;TODAY()-30),--('Master Stock'!$L$2:$L$1000&lt;'Master Stock'!L567))+COUNTIFS('Master Stock'!$L$2:L567,'Master Stock'!L567,'Master Stock'!$D$2:D567,"&lt;&gt;",'Master Stock'!$H$2:H567,"OCCUPIED"),"")</f>
        <v/>
      </c>
      <c r="W567" s="149" t="n"/>
      <c r="X567" s="149" t="n"/>
      <c r="Y567" s="149" t="n"/>
      <c r="Z567" s="149" t="n"/>
    </row>
    <row r="568" ht="15.75" customHeight="1" s="236">
      <c r="A568" s="148" t="n"/>
      <c r="B568" s="148" t="n"/>
      <c r="C568" s="124" t="n"/>
      <c r="D568" s="148" t="n"/>
      <c r="E568" s="148" t="n"/>
      <c r="F568" s="148" t="n"/>
      <c r="G568" s="124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9">
        <f>IF(AND('Master Stock'!D568&lt;&gt;"",'Master Stock'!H568="OCCUPIED",ISNUMBER('Master Stock'!J568),'Master Stock'!K568=""),SUMPRODUCT(--('Master Stock'!$D$2:$D$1000&lt;&gt;""),--('Master Stock'!$H$2:$H$1000="OCCUPIED"),--ISNUMBER('Master Stock'!$J$2:$J$1000),--('Master Stock'!$K$2:$K$1000=""),--('Master Stock'!$J$2:$J$1000&lt;'Master Stock'!J568))+COUNTIFS('Master Stock'!$J$2:J568,'Master Stock'!J568,'Master Stock'!$D$2:D568,"&lt;&gt;",'Master Stock'!$H$2:H568,"OCCUPIED",'Master Stock'!$K$2:K568,""),"")</f>
        <v/>
      </c>
      <c r="V568" s="149">
        <f>IF(AND('Master Stock'!D568&lt;&gt;"",'Master Stock'!H568="OCCUPIED",ISNUMBER('Master Stock'!L568),'Master Stock'!L568&lt;TODAY()-30),SUMPRODUCT(--('Master Stock'!$D$2:$D$1000&lt;&gt;""),--('Master Stock'!$H$2:$H$1000="OCCUPIED"),--ISNUMBER('Master Stock'!$L$2:$L$1000),--('Master Stock'!$L$2:$L$1000&lt;TODAY()-30),--('Master Stock'!$L$2:$L$1000&lt;'Master Stock'!L568))+COUNTIFS('Master Stock'!$L$2:L568,'Master Stock'!L568,'Master Stock'!$D$2:D568,"&lt;&gt;",'Master Stock'!$H$2:H568,"OCCUPIED"),"")</f>
        <v/>
      </c>
      <c r="W568" s="149" t="n"/>
      <c r="X568" s="149" t="n"/>
      <c r="Y568" s="149" t="n"/>
      <c r="Z568" s="149" t="n"/>
    </row>
    <row r="569" ht="15.75" customHeight="1" s="236">
      <c r="A569" s="148" t="n"/>
      <c r="B569" s="148" t="n"/>
      <c r="C569" s="124" t="n"/>
      <c r="D569" s="148" t="n"/>
      <c r="E569" s="148" t="n"/>
      <c r="F569" s="148" t="n"/>
      <c r="G569" s="124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9">
        <f>IF(AND('Master Stock'!D569&lt;&gt;"",'Master Stock'!H569="OCCUPIED",ISNUMBER('Master Stock'!J569),'Master Stock'!K569=""),SUMPRODUCT(--('Master Stock'!$D$2:$D$1000&lt;&gt;""),--('Master Stock'!$H$2:$H$1000="OCCUPIED"),--ISNUMBER('Master Stock'!$J$2:$J$1000),--('Master Stock'!$K$2:$K$1000=""),--('Master Stock'!$J$2:$J$1000&lt;'Master Stock'!J569))+COUNTIFS('Master Stock'!$J$2:J569,'Master Stock'!J569,'Master Stock'!$D$2:D569,"&lt;&gt;",'Master Stock'!$H$2:H569,"OCCUPIED",'Master Stock'!$K$2:K569,""),"")</f>
        <v/>
      </c>
      <c r="V569" s="149">
        <f>IF(AND('Master Stock'!D569&lt;&gt;"",'Master Stock'!H569="OCCUPIED",ISNUMBER('Master Stock'!L569),'Master Stock'!L569&lt;TODAY()-30),SUMPRODUCT(--('Master Stock'!$D$2:$D$1000&lt;&gt;""),--('Master Stock'!$H$2:$H$1000="OCCUPIED"),--ISNUMBER('Master Stock'!$L$2:$L$1000),--('Master Stock'!$L$2:$L$1000&lt;TODAY()-30),--('Master Stock'!$L$2:$L$1000&lt;'Master Stock'!L569))+COUNTIFS('Master Stock'!$L$2:L569,'Master Stock'!L569,'Master Stock'!$D$2:D569,"&lt;&gt;",'Master Stock'!$H$2:H569,"OCCUPIED"),"")</f>
        <v/>
      </c>
      <c r="W569" s="149" t="n"/>
      <c r="X569" s="149" t="n"/>
      <c r="Y569" s="149" t="n"/>
      <c r="Z569" s="149" t="n"/>
    </row>
    <row r="570" ht="15.75" customHeight="1" s="236">
      <c r="A570" s="148" t="n"/>
      <c r="B570" s="148" t="n"/>
      <c r="C570" s="124" t="n"/>
      <c r="D570" s="148" t="n"/>
      <c r="E570" s="148" t="n"/>
      <c r="F570" s="148" t="n"/>
      <c r="G570" s="124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9">
        <f>IF(AND('Master Stock'!D570&lt;&gt;"",'Master Stock'!H570="OCCUPIED",ISNUMBER('Master Stock'!J570),'Master Stock'!K570=""),SUMPRODUCT(--('Master Stock'!$D$2:$D$1000&lt;&gt;""),--('Master Stock'!$H$2:$H$1000="OCCUPIED"),--ISNUMBER('Master Stock'!$J$2:$J$1000),--('Master Stock'!$K$2:$K$1000=""),--('Master Stock'!$J$2:$J$1000&lt;'Master Stock'!J570))+COUNTIFS('Master Stock'!$J$2:J570,'Master Stock'!J570,'Master Stock'!$D$2:D570,"&lt;&gt;",'Master Stock'!$H$2:H570,"OCCUPIED",'Master Stock'!$K$2:K570,""),"")</f>
        <v/>
      </c>
      <c r="V570" s="149">
        <f>IF(AND('Master Stock'!D570&lt;&gt;"",'Master Stock'!H570="OCCUPIED",ISNUMBER('Master Stock'!L570),'Master Stock'!L570&lt;TODAY()-30),SUMPRODUCT(--('Master Stock'!$D$2:$D$1000&lt;&gt;""),--('Master Stock'!$H$2:$H$1000="OCCUPIED"),--ISNUMBER('Master Stock'!$L$2:$L$1000),--('Master Stock'!$L$2:$L$1000&lt;TODAY()-30),--('Master Stock'!$L$2:$L$1000&lt;'Master Stock'!L570))+COUNTIFS('Master Stock'!$L$2:L570,'Master Stock'!L570,'Master Stock'!$D$2:D570,"&lt;&gt;",'Master Stock'!$H$2:H570,"OCCUPIED"),"")</f>
        <v/>
      </c>
      <c r="W570" s="149" t="n"/>
      <c r="X570" s="149" t="n"/>
      <c r="Y570" s="149" t="n"/>
      <c r="Z570" s="149" t="n"/>
    </row>
    <row r="571" ht="15.75" customHeight="1" s="236">
      <c r="A571" s="148" t="n"/>
      <c r="B571" s="148" t="n"/>
      <c r="C571" s="124" t="n"/>
      <c r="D571" s="148" t="n"/>
      <c r="E571" s="148" t="n"/>
      <c r="F571" s="148" t="n"/>
      <c r="G571" s="124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9">
        <f>IF(AND('Master Stock'!D571&lt;&gt;"",'Master Stock'!H571="OCCUPIED",ISNUMBER('Master Stock'!J571),'Master Stock'!K571=""),SUMPRODUCT(--('Master Stock'!$D$2:$D$1000&lt;&gt;""),--('Master Stock'!$H$2:$H$1000="OCCUPIED"),--ISNUMBER('Master Stock'!$J$2:$J$1000),--('Master Stock'!$K$2:$K$1000=""),--('Master Stock'!$J$2:$J$1000&lt;'Master Stock'!J571))+COUNTIFS('Master Stock'!$J$2:J571,'Master Stock'!J571,'Master Stock'!$D$2:D571,"&lt;&gt;",'Master Stock'!$H$2:H571,"OCCUPIED",'Master Stock'!$K$2:K571,""),"")</f>
        <v/>
      </c>
      <c r="V571" s="149">
        <f>IF(AND('Master Stock'!D571&lt;&gt;"",'Master Stock'!H571="OCCUPIED",ISNUMBER('Master Stock'!L571),'Master Stock'!L571&lt;TODAY()-30),SUMPRODUCT(--('Master Stock'!$D$2:$D$1000&lt;&gt;""),--('Master Stock'!$H$2:$H$1000="OCCUPIED"),--ISNUMBER('Master Stock'!$L$2:$L$1000),--('Master Stock'!$L$2:$L$1000&lt;TODAY()-30),--('Master Stock'!$L$2:$L$1000&lt;'Master Stock'!L571))+COUNTIFS('Master Stock'!$L$2:L571,'Master Stock'!L571,'Master Stock'!$D$2:D571,"&lt;&gt;",'Master Stock'!$H$2:H571,"OCCUPIED"),"")</f>
        <v/>
      </c>
      <c r="W571" s="149" t="n"/>
      <c r="X571" s="149" t="n"/>
      <c r="Y571" s="149" t="n"/>
      <c r="Z571" s="149" t="n"/>
    </row>
    <row r="572" ht="15.75" customHeight="1" s="236">
      <c r="A572" s="148" t="n"/>
      <c r="B572" s="148" t="n"/>
      <c r="C572" s="124" t="n"/>
      <c r="D572" s="148" t="n"/>
      <c r="E572" s="148" t="n"/>
      <c r="F572" s="148" t="n"/>
      <c r="G572" s="124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9">
        <f>IF(AND('Master Stock'!D572&lt;&gt;"",'Master Stock'!H572="OCCUPIED",ISNUMBER('Master Stock'!J572),'Master Stock'!K572=""),SUMPRODUCT(--('Master Stock'!$D$2:$D$1000&lt;&gt;""),--('Master Stock'!$H$2:$H$1000="OCCUPIED"),--ISNUMBER('Master Stock'!$J$2:$J$1000),--('Master Stock'!$K$2:$K$1000=""),--('Master Stock'!$J$2:$J$1000&lt;'Master Stock'!J572))+COUNTIFS('Master Stock'!$J$2:J572,'Master Stock'!J572,'Master Stock'!$D$2:D572,"&lt;&gt;",'Master Stock'!$H$2:H572,"OCCUPIED",'Master Stock'!$K$2:K572,""),"")</f>
        <v/>
      </c>
      <c r="V572" s="149">
        <f>IF(AND('Master Stock'!D572&lt;&gt;"",'Master Stock'!H572="OCCUPIED",ISNUMBER('Master Stock'!L572),'Master Stock'!L572&lt;TODAY()-30),SUMPRODUCT(--('Master Stock'!$D$2:$D$1000&lt;&gt;""),--('Master Stock'!$H$2:$H$1000="OCCUPIED"),--ISNUMBER('Master Stock'!$L$2:$L$1000),--('Master Stock'!$L$2:$L$1000&lt;TODAY()-30),--('Master Stock'!$L$2:$L$1000&lt;'Master Stock'!L572))+COUNTIFS('Master Stock'!$L$2:L572,'Master Stock'!L572,'Master Stock'!$D$2:D572,"&lt;&gt;",'Master Stock'!$H$2:H572,"OCCUPIED"),"")</f>
        <v/>
      </c>
      <c r="W572" s="149" t="n"/>
      <c r="X572" s="149" t="n"/>
      <c r="Y572" s="149" t="n"/>
      <c r="Z572" s="149" t="n"/>
    </row>
    <row r="573" ht="15.75" customHeight="1" s="236">
      <c r="A573" s="148" t="n"/>
      <c r="B573" s="148" t="n"/>
      <c r="C573" s="124" t="n"/>
      <c r="D573" s="148" t="n"/>
      <c r="E573" s="148" t="n"/>
      <c r="F573" s="148" t="n"/>
      <c r="G573" s="124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9">
        <f>IF(AND('Master Stock'!D573&lt;&gt;"",'Master Stock'!H573="OCCUPIED",ISNUMBER('Master Stock'!J573),'Master Stock'!K573=""),SUMPRODUCT(--('Master Stock'!$D$2:$D$1000&lt;&gt;""),--('Master Stock'!$H$2:$H$1000="OCCUPIED"),--ISNUMBER('Master Stock'!$J$2:$J$1000),--('Master Stock'!$K$2:$K$1000=""),--('Master Stock'!$J$2:$J$1000&lt;'Master Stock'!J573))+COUNTIFS('Master Stock'!$J$2:J573,'Master Stock'!J573,'Master Stock'!$D$2:D573,"&lt;&gt;",'Master Stock'!$H$2:H573,"OCCUPIED",'Master Stock'!$K$2:K573,""),"")</f>
        <v/>
      </c>
      <c r="V573" s="149">
        <f>IF(AND('Master Stock'!D573&lt;&gt;"",'Master Stock'!H573="OCCUPIED",ISNUMBER('Master Stock'!L573),'Master Stock'!L573&lt;TODAY()-30),SUMPRODUCT(--('Master Stock'!$D$2:$D$1000&lt;&gt;""),--('Master Stock'!$H$2:$H$1000="OCCUPIED"),--ISNUMBER('Master Stock'!$L$2:$L$1000),--('Master Stock'!$L$2:$L$1000&lt;TODAY()-30),--('Master Stock'!$L$2:$L$1000&lt;'Master Stock'!L573))+COUNTIFS('Master Stock'!$L$2:L573,'Master Stock'!L573,'Master Stock'!$D$2:D573,"&lt;&gt;",'Master Stock'!$H$2:H573,"OCCUPIED"),"")</f>
        <v/>
      </c>
      <c r="W573" s="149" t="n"/>
      <c r="X573" s="149" t="n"/>
      <c r="Y573" s="149" t="n"/>
      <c r="Z573" s="149" t="n"/>
    </row>
    <row r="574" ht="15.75" customHeight="1" s="236">
      <c r="A574" s="148" t="n"/>
      <c r="B574" s="148" t="n"/>
      <c r="C574" s="124" t="n"/>
      <c r="D574" s="148" t="n"/>
      <c r="E574" s="148" t="n"/>
      <c r="F574" s="148" t="n"/>
      <c r="G574" s="124" t="n"/>
      <c r="H574" s="148" t="n"/>
      <c r="I574" s="148" t="n"/>
      <c r="J574" s="148" t="n"/>
      <c r="K574" s="148" t="n"/>
      <c r="L574" s="148" t="n"/>
      <c r="M574" s="148" t="n"/>
      <c r="N574" s="148" t="n"/>
      <c r="O574" s="148" t="n"/>
      <c r="P574" s="148" t="n"/>
      <c r="Q574" s="148" t="n"/>
      <c r="R574" s="148" t="n"/>
      <c r="S574" s="148" t="n"/>
      <c r="T574" s="148" t="n"/>
      <c r="U574" s="149">
        <f>IF(AND('Master Stock'!D574&lt;&gt;"",'Master Stock'!H574="OCCUPIED",ISNUMBER('Master Stock'!J574),'Master Stock'!K574=""),SUMPRODUCT(--('Master Stock'!$D$2:$D$1000&lt;&gt;""),--('Master Stock'!$H$2:$H$1000="OCCUPIED"),--ISNUMBER('Master Stock'!$J$2:$J$1000),--('Master Stock'!$K$2:$K$1000=""),--('Master Stock'!$J$2:$J$1000&lt;'Master Stock'!J574))+COUNTIFS('Master Stock'!$J$2:J574,'Master Stock'!J574,'Master Stock'!$D$2:D574,"&lt;&gt;",'Master Stock'!$H$2:H574,"OCCUPIED",'Master Stock'!$K$2:K574,""),"")</f>
        <v/>
      </c>
      <c r="V574" s="149">
        <f>IF(AND('Master Stock'!D574&lt;&gt;"",'Master Stock'!H574="OCCUPIED",ISNUMBER('Master Stock'!L574),'Master Stock'!L574&lt;TODAY()-30),SUMPRODUCT(--('Master Stock'!$D$2:$D$1000&lt;&gt;""),--('Master Stock'!$H$2:$H$1000="OCCUPIED"),--ISNUMBER('Master Stock'!$L$2:$L$1000),--('Master Stock'!$L$2:$L$1000&lt;TODAY()-30),--('Master Stock'!$L$2:$L$1000&lt;'Master Stock'!L574))+COUNTIFS('Master Stock'!$L$2:L574,'Master Stock'!L574,'Master Stock'!$D$2:D574,"&lt;&gt;",'Master Stock'!$H$2:H574,"OCCUPIED"),"")</f>
        <v/>
      </c>
      <c r="W574" s="149" t="n"/>
      <c r="X574" s="149" t="n"/>
      <c r="Y574" s="149" t="n"/>
      <c r="Z574" s="149" t="n"/>
    </row>
    <row r="575" ht="15.75" customHeight="1" s="236">
      <c r="A575" s="148" t="n"/>
      <c r="B575" s="148" t="n"/>
      <c r="C575" s="124" t="n"/>
      <c r="D575" s="148" t="n"/>
      <c r="E575" s="148" t="n"/>
      <c r="F575" s="148" t="n"/>
      <c r="G575" s="124" t="n"/>
      <c r="H575" s="148" t="n"/>
      <c r="I575" s="148" t="n"/>
      <c r="J575" s="148" t="n"/>
      <c r="K575" s="148" t="n"/>
      <c r="L575" s="148" t="n"/>
      <c r="M575" s="148" t="n"/>
      <c r="N575" s="148" t="n"/>
      <c r="O575" s="148" t="n"/>
      <c r="P575" s="148" t="n"/>
      <c r="Q575" s="148" t="n"/>
      <c r="R575" s="148" t="n"/>
      <c r="S575" s="148" t="n"/>
      <c r="T575" s="148" t="n"/>
      <c r="U575" s="149">
        <f>IF(AND('Master Stock'!D575&lt;&gt;"",'Master Stock'!H575="OCCUPIED",ISNUMBER('Master Stock'!J575),'Master Stock'!K575=""),SUMPRODUCT(--('Master Stock'!$D$2:$D$1000&lt;&gt;""),--('Master Stock'!$H$2:$H$1000="OCCUPIED"),--ISNUMBER('Master Stock'!$J$2:$J$1000),--('Master Stock'!$K$2:$K$1000=""),--('Master Stock'!$J$2:$J$1000&lt;'Master Stock'!J575))+COUNTIFS('Master Stock'!$J$2:J575,'Master Stock'!J575,'Master Stock'!$D$2:D575,"&lt;&gt;",'Master Stock'!$H$2:H575,"OCCUPIED",'Master Stock'!$K$2:K575,""),"")</f>
        <v/>
      </c>
      <c r="V575" s="149">
        <f>IF(AND('Master Stock'!D575&lt;&gt;"",'Master Stock'!H575="OCCUPIED",ISNUMBER('Master Stock'!L575),'Master Stock'!L575&lt;TODAY()-30),SUMPRODUCT(--('Master Stock'!$D$2:$D$1000&lt;&gt;""),--('Master Stock'!$H$2:$H$1000="OCCUPIED"),--ISNUMBER('Master Stock'!$L$2:$L$1000),--('Master Stock'!$L$2:$L$1000&lt;TODAY()-30),--('Master Stock'!$L$2:$L$1000&lt;'Master Stock'!L575))+COUNTIFS('Master Stock'!$L$2:L575,'Master Stock'!L575,'Master Stock'!$D$2:D575,"&lt;&gt;",'Master Stock'!$H$2:H575,"OCCUPIED"),"")</f>
        <v/>
      </c>
      <c r="W575" s="149" t="n"/>
      <c r="X575" s="149" t="n"/>
      <c r="Y575" s="149" t="n"/>
      <c r="Z575" s="149" t="n"/>
    </row>
    <row r="576" ht="15.75" customHeight="1" s="236">
      <c r="A576" s="148" t="n"/>
      <c r="B576" s="148" t="n"/>
      <c r="C576" s="124" t="n"/>
      <c r="D576" s="148" t="n"/>
      <c r="E576" s="148" t="n"/>
      <c r="F576" s="148" t="n"/>
      <c r="G576" s="124" t="n"/>
      <c r="H576" s="148" t="n"/>
      <c r="I576" s="148" t="n"/>
      <c r="J576" s="148" t="n"/>
      <c r="K576" s="148" t="n"/>
      <c r="L576" s="148" t="n"/>
      <c r="M576" s="148" t="n"/>
      <c r="N576" s="148" t="n"/>
      <c r="O576" s="148" t="n"/>
      <c r="P576" s="148" t="n"/>
      <c r="Q576" s="148" t="n"/>
      <c r="R576" s="148" t="n"/>
      <c r="S576" s="148" t="n"/>
      <c r="T576" s="148" t="n"/>
      <c r="U576" s="149">
        <f>IF(AND('Master Stock'!D576&lt;&gt;"",'Master Stock'!H576="OCCUPIED",ISNUMBER('Master Stock'!J576),'Master Stock'!K576=""),SUMPRODUCT(--('Master Stock'!$D$2:$D$1000&lt;&gt;""),--('Master Stock'!$H$2:$H$1000="OCCUPIED"),--ISNUMBER('Master Stock'!$J$2:$J$1000),--('Master Stock'!$K$2:$K$1000=""),--('Master Stock'!$J$2:$J$1000&lt;'Master Stock'!J576))+COUNTIFS('Master Stock'!$J$2:J576,'Master Stock'!J576,'Master Stock'!$D$2:D576,"&lt;&gt;",'Master Stock'!$H$2:H576,"OCCUPIED",'Master Stock'!$K$2:K576,""),"")</f>
        <v/>
      </c>
      <c r="V576" s="149">
        <f>IF(AND('Master Stock'!D576&lt;&gt;"",'Master Stock'!H576="OCCUPIED",ISNUMBER('Master Stock'!L576),'Master Stock'!L576&lt;TODAY()-30),SUMPRODUCT(--('Master Stock'!$D$2:$D$1000&lt;&gt;""),--('Master Stock'!$H$2:$H$1000="OCCUPIED"),--ISNUMBER('Master Stock'!$L$2:$L$1000),--('Master Stock'!$L$2:$L$1000&lt;TODAY()-30),--('Master Stock'!$L$2:$L$1000&lt;'Master Stock'!L576))+COUNTIFS('Master Stock'!$L$2:L576,'Master Stock'!L576,'Master Stock'!$D$2:D576,"&lt;&gt;",'Master Stock'!$H$2:H576,"OCCUPIED"),"")</f>
        <v/>
      </c>
      <c r="W576" s="149" t="n"/>
      <c r="X576" s="149" t="n"/>
      <c r="Y576" s="149" t="n"/>
      <c r="Z576" s="149" t="n"/>
    </row>
    <row r="577" ht="15.75" customHeight="1" s="236">
      <c r="A577" s="148" t="n"/>
      <c r="B577" s="148" t="n"/>
      <c r="C577" s="124" t="n"/>
      <c r="D577" s="148" t="n"/>
      <c r="E577" s="148" t="n"/>
      <c r="F577" s="148" t="n"/>
      <c r="G577" s="124" t="n"/>
      <c r="H577" s="148" t="n"/>
      <c r="I577" s="148" t="n"/>
      <c r="J577" s="148" t="n"/>
      <c r="K577" s="148" t="n"/>
      <c r="L577" s="148" t="n"/>
      <c r="M577" s="148" t="n"/>
      <c r="N577" s="148" t="n"/>
      <c r="O577" s="148" t="n"/>
      <c r="P577" s="148" t="n"/>
      <c r="Q577" s="148" t="n"/>
      <c r="R577" s="148" t="n"/>
      <c r="S577" s="148" t="n"/>
      <c r="T577" s="148" t="n"/>
      <c r="U577" s="149">
        <f>IF(AND('Master Stock'!D577&lt;&gt;"",'Master Stock'!H577="OCCUPIED",ISNUMBER('Master Stock'!J577),'Master Stock'!K577=""),SUMPRODUCT(--('Master Stock'!$D$2:$D$1000&lt;&gt;""),--('Master Stock'!$H$2:$H$1000="OCCUPIED"),--ISNUMBER('Master Stock'!$J$2:$J$1000),--('Master Stock'!$K$2:$K$1000=""),--('Master Stock'!$J$2:$J$1000&lt;'Master Stock'!J577))+COUNTIFS('Master Stock'!$J$2:J577,'Master Stock'!J577,'Master Stock'!$D$2:D577,"&lt;&gt;",'Master Stock'!$H$2:H577,"OCCUPIED",'Master Stock'!$K$2:K577,""),"")</f>
        <v/>
      </c>
      <c r="V577" s="149">
        <f>IF(AND('Master Stock'!D577&lt;&gt;"",'Master Stock'!H577="OCCUPIED",ISNUMBER('Master Stock'!L577),'Master Stock'!L577&lt;TODAY()-30),SUMPRODUCT(--('Master Stock'!$D$2:$D$1000&lt;&gt;""),--('Master Stock'!$H$2:$H$1000="OCCUPIED"),--ISNUMBER('Master Stock'!$L$2:$L$1000),--('Master Stock'!$L$2:$L$1000&lt;TODAY()-30),--('Master Stock'!$L$2:$L$1000&lt;'Master Stock'!L577))+COUNTIFS('Master Stock'!$L$2:L577,'Master Stock'!L577,'Master Stock'!$D$2:D577,"&lt;&gt;",'Master Stock'!$H$2:H577,"OCCUPIED"),"")</f>
        <v/>
      </c>
      <c r="W577" s="149" t="n"/>
      <c r="X577" s="149" t="n"/>
      <c r="Y577" s="149" t="n"/>
      <c r="Z577" s="149" t="n"/>
    </row>
    <row r="578" ht="15.75" customHeight="1" s="236">
      <c r="A578" s="148" t="n"/>
      <c r="B578" s="148" t="n"/>
      <c r="C578" s="124" t="n"/>
      <c r="D578" s="148" t="n"/>
      <c r="E578" s="148" t="n"/>
      <c r="F578" s="148" t="n"/>
      <c r="G578" s="124" t="n"/>
      <c r="H578" s="148" t="n"/>
      <c r="I578" s="148" t="n"/>
      <c r="J578" s="148" t="n"/>
      <c r="K578" s="148" t="n"/>
      <c r="L578" s="148" t="n"/>
      <c r="M578" s="148" t="n"/>
      <c r="N578" s="148" t="n"/>
      <c r="O578" s="148" t="n"/>
      <c r="P578" s="148" t="n"/>
      <c r="Q578" s="148" t="n"/>
      <c r="R578" s="148" t="n"/>
      <c r="S578" s="148" t="n"/>
      <c r="T578" s="148" t="n"/>
      <c r="U578" s="149">
        <f>IF(AND('Master Stock'!D578&lt;&gt;"",'Master Stock'!H578="OCCUPIED",ISNUMBER('Master Stock'!J578),'Master Stock'!K578=""),SUMPRODUCT(--('Master Stock'!$D$2:$D$1000&lt;&gt;""),--('Master Stock'!$H$2:$H$1000="OCCUPIED"),--ISNUMBER('Master Stock'!$J$2:$J$1000),--('Master Stock'!$K$2:$K$1000=""),--('Master Stock'!$J$2:$J$1000&lt;'Master Stock'!J578))+COUNTIFS('Master Stock'!$J$2:J578,'Master Stock'!J578,'Master Stock'!$D$2:D578,"&lt;&gt;",'Master Stock'!$H$2:H578,"OCCUPIED",'Master Stock'!$K$2:K578,""),"")</f>
        <v/>
      </c>
      <c r="V578" s="149">
        <f>IF(AND('Master Stock'!D578&lt;&gt;"",'Master Stock'!H578="OCCUPIED",ISNUMBER('Master Stock'!L578),'Master Stock'!L578&lt;TODAY()-30),SUMPRODUCT(--('Master Stock'!$D$2:$D$1000&lt;&gt;""),--('Master Stock'!$H$2:$H$1000="OCCUPIED"),--ISNUMBER('Master Stock'!$L$2:$L$1000),--('Master Stock'!$L$2:$L$1000&lt;TODAY()-30),--('Master Stock'!$L$2:$L$1000&lt;'Master Stock'!L578))+COUNTIFS('Master Stock'!$L$2:L578,'Master Stock'!L578,'Master Stock'!$D$2:D578,"&lt;&gt;",'Master Stock'!$H$2:H578,"OCCUPIED"),"")</f>
        <v/>
      </c>
      <c r="W578" s="149" t="n"/>
      <c r="X578" s="149" t="n"/>
      <c r="Y578" s="149" t="n"/>
      <c r="Z578" s="149" t="n"/>
    </row>
    <row r="579" ht="15.75" customHeight="1" s="236">
      <c r="A579" s="148" t="n"/>
      <c r="B579" s="148" t="n"/>
      <c r="C579" s="124" t="n"/>
      <c r="D579" s="148" t="n"/>
      <c r="E579" s="148" t="n"/>
      <c r="F579" s="148" t="n"/>
      <c r="G579" s="124" t="n"/>
      <c r="H579" s="148" t="n"/>
      <c r="I579" s="148" t="n"/>
      <c r="J579" s="148" t="n"/>
      <c r="K579" s="148" t="n"/>
      <c r="L579" s="148" t="n"/>
      <c r="M579" s="148" t="n"/>
      <c r="N579" s="148" t="n"/>
      <c r="O579" s="148" t="n"/>
      <c r="P579" s="148" t="n"/>
      <c r="Q579" s="148" t="n"/>
      <c r="R579" s="148" t="n"/>
      <c r="S579" s="148" t="n"/>
      <c r="T579" s="148" t="n"/>
      <c r="U579" s="149">
        <f>IF(AND('Master Stock'!D579&lt;&gt;"",'Master Stock'!H579="OCCUPIED",ISNUMBER('Master Stock'!J579),'Master Stock'!K579=""),SUMPRODUCT(--('Master Stock'!$D$2:$D$1000&lt;&gt;""),--('Master Stock'!$H$2:$H$1000="OCCUPIED"),--ISNUMBER('Master Stock'!$J$2:$J$1000),--('Master Stock'!$K$2:$K$1000=""),--('Master Stock'!$J$2:$J$1000&lt;'Master Stock'!J579))+COUNTIFS('Master Stock'!$J$2:J579,'Master Stock'!J579,'Master Stock'!$D$2:D579,"&lt;&gt;",'Master Stock'!$H$2:H579,"OCCUPIED",'Master Stock'!$K$2:K579,""),"")</f>
        <v/>
      </c>
      <c r="V579" s="149">
        <f>IF(AND('Master Stock'!D579&lt;&gt;"",'Master Stock'!H579="OCCUPIED",ISNUMBER('Master Stock'!L579),'Master Stock'!L579&lt;TODAY()-30),SUMPRODUCT(--('Master Stock'!$D$2:$D$1000&lt;&gt;""),--('Master Stock'!$H$2:$H$1000="OCCUPIED"),--ISNUMBER('Master Stock'!$L$2:$L$1000),--('Master Stock'!$L$2:$L$1000&lt;TODAY()-30),--('Master Stock'!$L$2:$L$1000&lt;'Master Stock'!L579))+COUNTIFS('Master Stock'!$L$2:L579,'Master Stock'!L579,'Master Stock'!$D$2:D579,"&lt;&gt;",'Master Stock'!$H$2:H579,"OCCUPIED"),"")</f>
        <v/>
      </c>
      <c r="W579" s="149" t="n"/>
      <c r="X579" s="149" t="n"/>
      <c r="Y579" s="149" t="n"/>
      <c r="Z579" s="149" t="n"/>
    </row>
    <row r="580" ht="15.75" customHeight="1" s="236">
      <c r="A580" s="148" t="n"/>
      <c r="B580" s="148" t="n"/>
      <c r="C580" s="124" t="n"/>
      <c r="D580" s="148" t="n"/>
      <c r="E580" s="148" t="n"/>
      <c r="F580" s="148" t="n"/>
      <c r="G580" s="124" t="n"/>
      <c r="H580" s="148" t="n"/>
      <c r="I580" s="148" t="n"/>
      <c r="J580" s="148" t="n"/>
      <c r="K580" s="148" t="n"/>
      <c r="L580" s="148" t="n"/>
      <c r="M580" s="148" t="n"/>
      <c r="N580" s="148" t="n"/>
      <c r="O580" s="148" t="n"/>
      <c r="P580" s="148" t="n"/>
      <c r="Q580" s="148" t="n"/>
      <c r="R580" s="148" t="n"/>
      <c r="S580" s="148" t="n"/>
      <c r="T580" s="148" t="n"/>
      <c r="U580" s="149">
        <f>IF(AND('Master Stock'!D580&lt;&gt;"",'Master Stock'!H580="OCCUPIED",ISNUMBER('Master Stock'!J580),'Master Stock'!K580=""),SUMPRODUCT(--('Master Stock'!$D$2:$D$1000&lt;&gt;""),--('Master Stock'!$H$2:$H$1000="OCCUPIED"),--ISNUMBER('Master Stock'!$J$2:$J$1000),--('Master Stock'!$K$2:$K$1000=""),--('Master Stock'!$J$2:$J$1000&lt;'Master Stock'!J580))+COUNTIFS('Master Stock'!$J$2:J580,'Master Stock'!J580,'Master Stock'!$D$2:D580,"&lt;&gt;",'Master Stock'!$H$2:H580,"OCCUPIED",'Master Stock'!$K$2:K580,""),"")</f>
        <v/>
      </c>
      <c r="V580" s="149">
        <f>IF(AND('Master Stock'!D580&lt;&gt;"",'Master Stock'!H580="OCCUPIED",ISNUMBER('Master Stock'!L580),'Master Stock'!L580&lt;TODAY()-30),SUMPRODUCT(--('Master Stock'!$D$2:$D$1000&lt;&gt;""),--('Master Stock'!$H$2:$H$1000="OCCUPIED"),--ISNUMBER('Master Stock'!$L$2:$L$1000),--('Master Stock'!$L$2:$L$1000&lt;TODAY()-30),--('Master Stock'!$L$2:$L$1000&lt;'Master Stock'!L580))+COUNTIFS('Master Stock'!$L$2:L580,'Master Stock'!L580,'Master Stock'!$D$2:D580,"&lt;&gt;",'Master Stock'!$H$2:H580,"OCCUPIED"),"")</f>
        <v/>
      </c>
      <c r="W580" s="149" t="n"/>
      <c r="X580" s="149" t="n"/>
      <c r="Y580" s="149" t="n"/>
      <c r="Z580" s="149" t="n"/>
    </row>
    <row r="581" ht="15.75" customHeight="1" s="236">
      <c r="A581" s="148" t="n"/>
      <c r="B581" s="148" t="n"/>
      <c r="C581" s="124" t="n"/>
      <c r="D581" s="148" t="n"/>
      <c r="E581" s="148" t="n"/>
      <c r="F581" s="148" t="n"/>
      <c r="G581" s="124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9">
        <f>IF(AND('Master Stock'!D581&lt;&gt;"",'Master Stock'!H581="OCCUPIED",ISNUMBER('Master Stock'!J581),'Master Stock'!K581=""),SUMPRODUCT(--('Master Stock'!$D$2:$D$1000&lt;&gt;""),--('Master Stock'!$H$2:$H$1000="OCCUPIED"),--ISNUMBER('Master Stock'!$J$2:$J$1000),--('Master Stock'!$K$2:$K$1000=""),--('Master Stock'!$J$2:$J$1000&lt;'Master Stock'!J581))+COUNTIFS('Master Stock'!$J$2:J581,'Master Stock'!J581,'Master Stock'!$D$2:D581,"&lt;&gt;",'Master Stock'!$H$2:H581,"OCCUPIED",'Master Stock'!$K$2:K581,""),"")</f>
        <v/>
      </c>
      <c r="V581" s="149">
        <f>IF(AND('Master Stock'!D581&lt;&gt;"",'Master Stock'!H581="OCCUPIED",ISNUMBER('Master Stock'!L581),'Master Stock'!L581&lt;TODAY()-30),SUMPRODUCT(--('Master Stock'!$D$2:$D$1000&lt;&gt;""),--('Master Stock'!$H$2:$H$1000="OCCUPIED"),--ISNUMBER('Master Stock'!$L$2:$L$1000),--('Master Stock'!$L$2:$L$1000&lt;TODAY()-30),--('Master Stock'!$L$2:$L$1000&lt;'Master Stock'!L581))+COUNTIFS('Master Stock'!$L$2:L581,'Master Stock'!L581,'Master Stock'!$D$2:D581,"&lt;&gt;",'Master Stock'!$H$2:H581,"OCCUPIED"),"")</f>
        <v/>
      </c>
      <c r="W581" s="149" t="n"/>
      <c r="X581" s="149" t="n"/>
      <c r="Y581" s="149" t="n"/>
      <c r="Z581" s="149" t="n"/>
    </row>
    <row r="582" ht="15.75" customHeight="1" s="236">
      <c r="A582" s="148" t="n"/>
      <c r="B582" s="148" t="n"/>
      <c r="C582" s="124" t="n"/>
      <c r="D582" s="148" t="n"/>
      <c r="E582" s="148" t="n"/>
      <c r="F582" s="148" t="n"/>
      <c r="G582" s="124" t="n"/>
      <c r="H582" s="148" t="n"/>
      <c r="I582" s="148" t="n"/>
      <c r="J582" s="148" t="n"/>
      <c r="K582" s="148" t="n"/>
      <c r="L582" s="148" t="n"/>
      <c r="M582" s="148" t="n"/>
      <c r="N582" s="148" t="n"/>
      <c r="O582" s="148" t="n"/>
      <c r="P582" s="148" t="n"/>
      <c r="Q582" s="148" t="n"/>
      <c r="R582" s="148" t="n"/>
      <c r="S582" s="148" t="n"/>
      <c r="T582" s="148" t="n"/>
      <c r="U582" s="149">
        <f>IF(AND('Master Stock'!D582&lt;&gt;"",'Master Stock'!H582="OCCUPIED",ISNUMBER('Master Stock'!J582),'Master Stock'!K582=""),SUMPRODUCT(--('Master Stock'!$D$2:$D$1000&lt;&gt;""),--('Master Stock'!$H$2:$H$1000="OCCUPIED"),--ISNUMBER('Master Stock'!$J$2:$J$1000),--('Master Stock'!$K$2:$K$1000=""),--('Master Stock'!$J$2:$J$1000&lt;'Master Stock'!J582))+COUNTIFS('Master Stock'!$J$2:J582,'Master Stock'!J582,'Master Stock'!$D$2:D582,"&lt;&gt;",'Master Stock'!$H$2:H582,"OCCUPIED",'Master Stock'!$K$2:K582,""),"")</f>
        <v/>
      </c>
      <c r="V582" s="149">
        <f>IF(AND('Master Stock'!D582&lt;&gt;"",'Master Stock'!H582="OCCUPIED",ISNUMBER('Master Stock'!L582),'Master Stock'!L582&lt;TODAY()-30),SUMPRODUCT(--('Master Stock'!$D$2:$D$1000&lt;&gt;""),--('Master Stock'!$H$2:$H$1000="OCCUPIED"),--ISNUMBER('Master Stock'!$L$2:$L$1000),--('Master Stock'!$L$2:$L$1000&lt;TODAY()-30),--('Master Stock'!$L$2:$L$1000&lt;'Master Stock'!L582))+COUNTIFS('Master Stock'!$L$2:L582,'Master Stock'!L582,'Master Stock'!$D$2:D582,"&lt;&gt;",'Master Stock'!$H$2:H582,"OCCUPIED"),"")</f>
        <v/>
      </c>
      <c r="W582" s="149" t="n"/>
      <c r="X582" s="149" t="n"/>
      <c r="Y582" s="149" t="n"/>
      <c r="Z582" s="149" t="n"/>
    </row>
    <row r="583" ht="15.75" customHeight="1" s="236">
      <c r="A583" s="148" t="n"/>
      <c r="B583" s="148" t="n"/>
      <c r="C583" s="124" t="n"/>
      <c r="D583" s="148" t="n"/>
      <c r="E583" s="148" t="n"/>
      <c r="F583" s="148" t="n"/>
      <c r="G583" s="124" t="n"/>
      <c r="H583" s="148" t="n"/>
      <c r="I583" s="148" t="n"/>
      <c r="J583" s="148" t="n"/>
      <c r="K583" s="148" t="n"/>
      <c r="L583" s="148" t="n"/>
      <c r="M583" s="148" t="n"/>
      <c r="N583" s="148" t="n"/>
      <c r="O583" s="148" t="n"/>
      <c r="P583" s="148" t="n"/>
      <c r="Q583" s="148" t="n"/>
      <c r="R583" s="148" t="n"/>
      <c r="S583" s="148" t="n"/>
      <c r="T583" s="148" t="n"/>
      <c r="U583" s="149">
        <f>IF(AND('Master Stock'!D583&lt;&gt;"",'Master Stock'!H583="OCCUPIED",ISNUMBER('Master Stock'!J583),'Master Stock'!K583=""),SUMPRODUCT(--('Master Stock'!$D$2:$D$1000&lt;&gt;""),--('Master Stock'!$H$2:$H$1000="OCCUPIED"),--ISNUMBER('Master Stock'!$J$2:$J$1000),--('Master Stock'!$K$2:$K$1000=""),--('Master Stock'!$J$2:$J$1000&lt;'Master Stock'!J583))+COUNTIFS('Master Stock'!$J$2:J583,'Master Stock'!J583,'Master Stock'!$D$2:D583,"&lt;&gt;",'Master Stock'!$H$2:H583,"OCCUPIED",'Master Stock'!$K$2:K583,""),"")</f>
        <v/>
      </c>
      <c r="V583" s="149">
        <f>IF(AND('Master Stock'!D583&lt;&gt;"",'Master Stock'!H583="OCCUPIED",ISNUMBER('Master Stock'!L583),'Master Stock'!L583&lt;TODAY()-30),SUMPRODUCT(--('Master Stock'!$D$2:$D$1000&lt;&gt;""),--('Master Stock'!$H$2:$H$1000="OCCUPIED"),--ISNUMBER('Master Stock'!$L$2:$L$1000),--('Master Stock'!$L$2:$L$1000&lt;TODAY()-30),--('Master Stock'!$L$2:$L$1000&lt;'Master Stock'!L583))+COUNTIFS('Master Stock'!$L$2:L583,'Master Stock'!L583,'Master Stock'!$D$2:D583,"&lt;&gt;",'Master Stock'!$H$2:H583,"OCCUPIED"),"")</f>
        <v/>
      </c>
      <c r="W583" s="149" t="n"/>
      <c r="X583" s="149" t="n"/>
      <c r="Y583" s="149" t="n"/>
      <c r="Z583" s="149" t="n"/>
    </row>
    <row r="584" ht="15.75" customHeight="1" s="236">
      <c r="A584" s="148" t="n"/>
      <c r="B584" s="148" t="n"/>
      <c r="C584" s="124" t="n"/>
      <c r="D584" s="148" t="n"/>
      <c r="E584" s="148" t="n"/>
      <c r="F584" s="148" t="n"/>
      <c r="G584" s="124" t="n"/>
      <c r="H584" s="148" t="n"/>
      <c r="I584" s="148" t="n"/>
      <c r="J584" s="148" t="n"/>
      <c r="K584" s="148" t="n"/>
      <c r="L584" s="148" t="n"/>
      <c r="M584" s="148" t="n"/>
      <c r="N584" s="148" t="n"/>
      <c r="O584" s="148" t="n"/>
      <c r="P584" s="148" t="n"/>
      <c r="Q584" s="148" t="n"/>
      <c r="R584" s="148" t="n"/>
      <c r="S584" s="148" t="n"/>
      <c r="T584" s="148" t="n"/>
      <c r="U584" s="149">
        <f>IF(AND('Master Stock'!D584&lt;&gt;"",'Master Stock'!H584="OCCUPIED",ISNUMBER('Master Stock'!J584),'Master Stock'!K584=""),SUMPRODUCT(--('Master Stock'!$D$2:$D$1000&lt;&gt;""),--('Master Stock'!$H$2:$H$1000="OCCUPIED"),--ISNUMBER('Master Stock'!$J$2:$J$1000),--('Master Stock'!$K$2:$K$1000=""),--('Master Stock'!$J$2:$J$1000&lt;'Master Stock'!J584))+COUNTIFS('Master Stock'!$J$2:J584,'Master Stock'!J584,'Master Stock'!$D$2:D584,"&lt;&gt;",'Master Stock'!$H$2:H584,"OCCUPIED",'Master Stock'!$K$2:K584,""),"")</f>
        <v/>
      </c>
      <c r="V584" s="149">
        <f>IF(AND('Master Stock'!D584&lt;&gt;"",'Master Stock'!H584="OCCUPIED",ISNUMBER('Master Stock'!L584),'Master Stock'!L584&lt;TODAY()-30),SUMPRODUCT(--('Master Stock'!$D$2:$D$1000&lt;&gt;""),--('Master Stock'!$H$2:$H$1000="OCCUPIED"),--ISNUMBER('Master Stock'!$L$2:$L$1000),--('Master Stock'!$L$2:$L$1000&lt;TODAY()-30),--('Master Stock'!$L$2:$L$1000&lt;'Master Stock'!L584))+COUNTIFS('Master Stock'!$L$2:L584,'Master Stock'!L584,'Master Stock'!$D$2:D584,"&lt;&gt;",'Master Stock'!$H$2:H584,"OCCUPIED"),"")</f>
        <v/>
      </c>
      <c r="W584" s="149" t="n"/>
      <c r="X584" s="149" t="n"/>
      <c r="Y584" s="149" t="n"/>
      <c r="Z584" s="149" t="n"/>
    </row>
    <row r="585" ht="15.75" customHeight="1" s="236">
      <c r="A585" s="148" t="n"/>
      <c r="B585" s="148" t="n"/>
      <c r="C585" s="124" t="n"/>
      <c r="D585" s="148" t="n"/>
      <c r="E585" s="148" t="n"/>
      <c r="F585" s="148" t="n"/>
      <c r="G585" s="124" t="n"/>
      <c r="H585" s="148" t="n"/>
      <c r="I585" s="148" t="n"/>
      <c r="J585" s="148" t="n"/>
      <c r="K585" s="148" t="n"/>
      <c r="L585" s="148" t="n"/>
      <c r="M585" s="148" t="n"/>
      <c r="N585" s="148" t="n"/>
      <c r="O585" s="148" t="n"/>
      <c r="P585" s="148" t="n"/>
      <c r="Q585" s="148" t="n"/>
      <c r="R585" s="148" t="n"/>
      <c r="S585" s="148" t="n"/>
      <c r="T585" s="148" t="n"/>
      <c r="U585" s="149">
        <f>IF(AND('Master Stock'!D585&lt;&gt;"",'Master Stock'!H585="OCCUPIED",ISNUMBER('Master Stock'!J585),'Master Stock'!K585=""),SUMPRODUCT(--('Master Stock'!$D$2:$D$1000&lt;&gt;""),--('Master Stock'!$H$2:$H$1000="OCCUPIED"),--ISNUMBER('Master Stock'!$J$2:$J$1000),--('Master Stock'!$K$2:$K$1000=""),--('Master Stock'!$J$2:$J$1000&lt;'Master Stock'!J585))+COUNTIFS('Master Stock'!$J$2:J585,'Master Stock'!J585,'Master Stock'!$D$2:D585,"&lt;&gt;",'Master Stock'!$H$2:H585,"OCCUPIED",'Master Stock'!$K$2:K585,""),"")</f>
        <v/>
      </c>
      <c r="V585" s="149">
        <f>IF(AND('Master Stock'!D585&lt;&gt;"",'Master Stock'!H585="OCCUPIED",ISNUMBER('Master Stock'!L585),'Master Stock'!L585&lt;TODAY()-30),SUMPRODUCT(--('Master Stock'!$D$2:$D$1000&lt;&gt;""),--('Master Stock'!$H$2:$H$1000="OCCUPIED"),--ISNUMBER('Master Stock'!$L$2:$L$1000),--('Master Stock'!$L$2:$L$1000&lt;TODAY()-30),--('Master Stock'!$L$2:$L$1000&lt;'Master Stock'!L585))+COUNTIFS('Master Stock'!$L$2:L585,'Master Stock'!L585,'Master Stock'!$D$2:D585,"&lt;&gt;",'Master Stock'!$H$2:H585,"OCCUPIED"),"")</f>
        <v/>
      </c>
      <c r="W585" s="149" t="n"/>
      <c r="X585" s="149" t="n"/>
      <c r="Y585" s="149" t="n"/>
      <c r="Z585" s="149" t="n"/>
    </row>
    <row r="586" ht="15.75" customHeight="1" s="236">
      <c r="A586" s="148" t="n"/>
      <c r="B586" s="148" t="n"/>
      <c r="C586" s="124" t="n"/>
      <c r="D586" s="148" t="n"/>
      <c r="E586" s="148" t="n"/>
      <c r="F586" s="148" t="n"/>
      <c r="G586" s="124" t="n"/>
      <c r="H586" s="148" t="n"/>
      <c r="I586" s="148" t="n"/>
      <c r="J586" s="148" t="n"/>
      <c r="K586" s="148" t="n"/>
      <c r="L586" s="148" t="n"/>
      <c r="M586" s="148" t="n"/>
      <c r="N586" s="148" t="n"/>
      <c r="O586" s="148" t="n"/>
      <c r="P586" s="148" t="n"/>
      <c r="Q586" s="148" t="n"/>
      <c r="R586" s="148" t="n"/>
      <c r="S586" s="148" t="n"/>
      <c r="T586" s="148" t="n"/>
      <c r="U586" s="149">
        <f>IF(AND('Master Stock'!D586&lt;&gt;"",'Master Stock'!H586="OCCUPIED",ISNUMBER('Master Stock'!J586),'Master Stock'!K586=""),SUMPRODUCT(--('Master Stock'!$D$2:$D$1000&lt;&gt;""),--('Master Stock'!$H$2:$H$1000="OCCUPIED"),--ISNUMBER('Master Stock'!$J$2:$J$1000),--('Master Stock'!$K$2:$K$1000=""),--('Master Stock'!$J$2:$J$1000&lt;'Master Stock'!J586))+COUNTIFS('Master Stock'!$J$2:J586,'Master Stock'!J586,'Master Stock'!$D$2:D586,"&lt;&gt;",'Master Stock'!$H$2:H586,"OCCUPIED",'Master Stock'!$K$2:K586,""),"")</f>
        <v/>
      </c>
      <c r="V586" s="149">
        <f>IF(AND('Master Stock'!D586&lt;&gt;"",'Master Stock'!H586="OCCUPIED",ISNUMBER('Master Stock'!L586),'Master Stock'!L586&lt;TODAY()-30),SUMPRODUCT(--('Master Stock'!$D$2:$D$1000&lt;&gt;""),--('Master Stock'!$H$2:$H$1000="OCCUPIED"),--ISNUMBER('Master Stock'!$L$2:$L$1000),--('Master Stock'!$L$2:$L$1000&lt;TODAY()-30),--('Master Stock'!$L$2:$L$1000&lt;'Master Stock'!L586))+COUNTIFS('Master Stock'!$L$2:L586,'Master Stock'!L586,'Master Stock'!$D$2:D586,"&lt;&gt;",'Master Stock'!$H$2:H586,"OCCUPIED"),"")</f>
        <v/>
      </c>
      <c r="W586" s="149" t="n"/>
      <c r="X586" s="149" t="n"/>
      <c r="Y586" s="149" t="n"/>
      <c r="Z586" s="149" t="n"/>
    </row>
    <row r="587" ht="15.75" customHeight="1" s="236">
      <c r="A587" s="148" t="n"/>
      <c r="B587" s="148" t="n"/>
      <c r="C587" s="124" t="n"/>
      <c r="D587" s="148" t="n"/>
      <c r="E587" s="148" t="n"/>
      <c r="F587" s="148" t="n"/>
      <c r="G587" s="124" t="n"/>
      <c r="H587" s="148" t="n"/>
      <c r="I587" s="148" t="n"/>
      <c r="J587" s="148" t="n"/>
      <c r="K587" s="148" t="n"/>
      <c r="L587" s="148" t="n"/>
      <c r="M587" s="148" t="n"/>
      <c r="N587" s="148" t="n"/>
      <c r="O587" s="148" t="n"/>
      <c r="P587" s="148" t="n"/>
      <c r="Q587" s="148" t="n"/>
      <c r="R587" s="148" t="n"/>
      <c r="S587" s="148" t="n"/>
      <c r="T587" s="148" t="n"/>
      <c r="U587" s="149">
        <f>IF(AND('Master Stock'!D587&lt;&gt;"",'Master Stock'!H587="OCCUPIED",ISNUMBER('Master Stock'!J587),'Master Stock'!K587=""),SUMPRODUCT(--('Master Stock'!$D$2:$D$1000&lt;&gt;""),--('Master Stock'!$H$2:$H$1000="OCCUPIED"),--ISNUMBER('Master Stock'!$J$2:$J$1000),--('Master Stock'!$K$2:$K$1000=""),--('Master Stock'!$J$2:$J$1000&lt;'Master Stock'!J587))+COUNTIFS('Master Stock'!$J$2:J587,'Master Stock'!J587,'Master Stock'!$D$2:D587,"&lt;&gt;",'Master Stock'!$H$2:H587,"OCCUPIED",'Master Stock'!$K$2:K587,""),"")</f>
        <v/>
      </c>
      <c r="V587" s="149">
        <f>IF(AND('Master Stock'!D587&lt;&gt;"",'Master Stock'!H587="OCCUPIED",ISNUMBER('Master Stock'!L587),'Master Stock'!L587&lt;TODAY()-30),SUMPRODUCT(--('Master Stock'!$D$2:$D$1000&lt;&gt;""),--('Master Stock'!$H$2:$H$1000="OCCUPIED"),--ISNUMBER('Master Stock'!$L$2:$L$1000),--('Master Stock'!$L$2:$L$1000&lt;TODAY()-30),--('Master Stock'!$L$2:$L$1000&lt;'Master Stock'!L587))+COUNTIFS('Master Stock'!$L$2:L587,'Master Stock'!L587,'Master Stock'!$D$2:D587,"&lt;&gt;",'Master Stock'!$H$2:H587,"OCCUPIED"),"")</f>
        <v/>
      </c>
      <c r="W587" s="149" t="n"/>
      <c r="X587" s="149" t="n"/>
      <c r="Y587" s="149" t="n"/>
      <c r="Z587" s="149" t="n"/>
    </row>
    <row r="588" ht="15.75" customHeight="1" s="236">
      <c r="A588" s="148" t="n"/>
      <c r="B588" s="148" t="n"/>
      <c r="C588" s="124" t="n"/>
      <c r="D588" s="148" t="n"/>
      <c r="E588" s="148" t="n"/>
      <c r="F588" s="148" t="n"/>
      <c r="G588" s="124" t="n"/>
      <c r="H588" s="148" t="n"/>
      <c r="I588" s="148" t="n"/>
      <c r="J588" s="148" t="n"/>
      <c r="K588" s="148" t="n"/>
      <c r="L588" s="148" t="n"/>
      <c r="M588" s="148" t="n"/>
      <c r="N588" s="148" t="n"/>
      <c r="O588" s="148" t="n"/>
      <c r="P588" s="148" t="n"/>
      <c r="Q588" s="148" t="n"/>
      <c r="R588" s="148" t="n"/>
      <c r="S588" s="148" t="n"/>
      <c r="T588" s="148" t="n"/>
      <c r="U588" s="149">
        <f>IF(AND('Master Stock'!D588&lt;&gt;"",'Master Stock'!H588="OCCUPIED",ISNUMBER('Master Stock'!J588),'Master Stock'!K588=""),SUMPRODUCT(--('Master Stock'!$D$2:$D$1000&lt;&gt;""),--('Master Stock'!$H$2:$H$1000="OCCUPIED"),--ISNUMBER('Master Stock'!$J$2:$J$1000),--('Master Stock'!$K$2:$K$1000=""),--('Master Stock'!$J$2:$J$1000&lt;'Master Stock'!J588))+COUNTIFS('Master Stock'!$J$2:J588,'Master Stock'!J588,'Master Stock'!$D$2:D588,"&lt;&gt;",'Master Stock'!$H$2:H588,"OCCUPIED",'Master Stock'!$K$2:K588,""),"")</f>
        <v/>
      </c>
      <c r="V588" s="149">
        <f>IF(AND('Master Stock'!D588&lt;&gt;"",'Master Stock'!H588="OCCUPIED",ISNUMBER('Master Stock'!L588),'Master Stock'!L588&lt;TODAY()-30),SUMPRODUCT(--('Master Stock'!$D$2:$D$1000&lt;&gt;""),--('Master Stock'!$H$2:$H$1000="OCCUPIED"),--ISNUMBER('Master Stock'!$L$2:$L$1000),--('Master Stock'!$L$2:$L$1000&lt;TODAY()-30),--('Master Stock'!$L$2:$L$1000&lt;'Master Stock'!L588))+COUNTIFS('Master Stock'!$L$2:L588,'Master Stock'!L588,'Master Stock'!$D$2:D588,"&lt;&gt;",'Master Stock'!$H$2:H588,"OCCUPIED"),"")</f>
        <v/>
      </c>
      <c r="W588" s="149" t="n"/>
      <c r="X588" s="149" t="n"/>
      <c r="Y588" s="149" t="n"/>
      <c r="Z588" s="149" t="n"/>
    </row>
    <row r="589" ht="15.75" customHeight="1" s="236">
      <c r="A589" s="148" t="n"/>
      <c r="B589" s="148" t="n"/>
      <c r="C589" s="124" t="n"/>
      <c r="D589" s="148" t="n"/>
      <c r="E589" s="148" t="n"/>
      <c r="F589" s="148" t="n"/>
      <c r="G589" s="124" t="n"/>
      <c r="H589" s="148" t="n"/>
      <c r="I589" s="148" t="n"/>
      <c r="J589" s="148" t="n"/>
      <c r="K589" s="148" t="n"/>
      <c r="L589" s="148" t="n"/>
      <c r="M589" s="148" t="n"/>
      <c r="N589" s="148" t="n"/>
      <c r="O589" s="148" t="n"/>
      <c r="P589" s="148" t="n"/>
      <c r="Q589" s="148" t="n"/>
      <c r="R589" s="148" t="n"/>
      <c r="S589" s="148" t="n"/>
      <c r="T589" s="148" t="n"/>
      <c r="U589" s="149">
        <f>IF(AND('Master Stock'!D589&lt;&gt;"",'Master Stock'!H589="OCCUPIED",ISNUMBER('Master Stock'!J589),'Master Stock'!K589=""),SUMPRODUCT(--('Master Stock'!$D$2:$D$1000&lt;&gt;""),--('Master Stock'!$H$2:$H$1000="OCCUPIED"),--ISNUMBER('Master Stock'!$J$2:$J$1000),--('Master Stock'!$K$2:$K$1000=""),--('Master Stock'!$J$2:$J$1000&lt;'Master Stock'!J589))+COUNTIFS('Master Stock'!$J$2:J589,'Master Stock'!J589,'Master Stock'!$D$2:D589,"&lt;&gt;",'Master Stock'!$H$2:H589,"OCCUPIED",'Master Stock'!$K$2:K589,""),"")</f>
        <v/>
      </c>
      <c r="V589" s="149">
        <f>IF(AND('Master Stock'!D589&lt;&gt;"",'Master Stock'!H589="OCCUPIED",ISNUMBER('Master Stock'!L589),'Master Stock'!L589&lt;TODAY()-30),SUMPRODUCT(--('Master Stock'!$D$2:$D$1000&lt;&gt;""),--('Master Stock'!$H$2:$H$1000="OCCUPIED"),--ISNUMBER('Master Stock'!$L$2:$L$1000),--('Master Stock'!$L$2:$L$1000&lt;TODAY()-30),--('Master Stock'!$L$2:$L$1000&lt;'Master Stock'!L589))+COUNTIFS('Master Stock'!$L$2:L589,'Master Stock'!L589,'Master Stock'!$D$2:D589,"&lt;&gt;",'Master Stock'!$H$2:H589,"OCCUPIED"),"")</f>
        <v/>
      </c>
      <c r="W589" s="149" t="n"/>
      <c r="X589" s="149" t="n"/>
      <c r="Y589" s="149" t="n"/>
      <c r="Z589" s="149" t="n"/>
    </row>
    <row r="590" ht="15.75" customHeight="1" s="236">
      <c r="A590" s="148" t="n"/>
      <c r="B590" s="148" t="n"/>
      <c r="C590" s="124" t="n"/>
      <c r="D590" s="148" t="n"/>
      <c r="E590" s="148" t="n"/>
      <c r="F590" s="148" t="n"/>
      <c r="G590" s="124" t="n"/>
      <c r="H590" s="148" t="n"/>
      <c r="I590" s="148" t="n"/>
      <c r="J590" s="148" t="n"/>
      <c r="K590" s="148" t="n"/>
      <c r="L590" s="148" t="n"/>
      <c r="M590" s="148" t="n"/>
      <c r="N590" s="148" t="n"/>
      <c r="O590" s="148" t="n"/>
      <c r="P590" s="148" t="n"/>
      <c r="Q590" s="148" t="n"/>
      <c r="R590" s="148" t="n"/>
      <c r="S590" s="148" t="n"/>
      <c r="T590" s="148" t="n"/>
      <c r="U590" s="149">
        <f>IF(AND('Master Stock'!D590&lt;&gt;"",'Master Stock'!H590="OCCUPIED",ISNUMBER('Master Stock'!J590),'Master Stock'!K590=""),SUMPRODUCT(--('Master Stock'!$D$2:$D$1000&lt;&gt;""),--('Master Stock'!$H$2:$H$1000="OCCUPIED"),--ISNUMBER('Master Stock'!$J$2:$J$1000),--('Master Stock'!$K$2:$K$1000=""),--('Master Stock'!$J$2:$J$1000&lt;'Master Stock'!J590))+COUNTIFS('Master Stock'!$J$2:J590,'Master Stock'!J590,'Master Stock'!$D$2:D590,"&lt;&gt;",'Master Stock'!$H$2:H590,"OCCUPIED",'Master Stock'!$K$2:K590,""),"")</f>
        <v/>
      </c>
      <c r="V590" s="149">
        <f>IF(AND('Master Stock'!D590&lt;&gt;"",'Master Stock'!H590="OCCUPIED",ISNUMBER('Master Stock'!L590),'Master Stock'!L590&lt;TODAY()-30),SUMPRODUCT(--('Master Stock'!$D$2:$D$1000&lt;&gt;""),--('Master Stock'!$H$2:$H$1000="OCCUPIED"),--ISNUMBER('Master Stock'!$L$2:$L$1000),--('Master Stock'!$L$2:$L$1000&lt;TODAY()-30),--('Master Stock'!$L$2:$L$1000&lt;'Master Stock'!L590))+COUNTIFS('Master Stock'!$L$2:L590,'Master Stock'!L590,'Master Stock'!$D$2:D590,"&lt;&gt;",'Master Stock'!$H$2:H590,"OCCUPIED"),"")</f>
        <v/>
      </c>
      <c r="W590" s="149" t="n"/>
      <c r="X590" s="149" t="n"/>
      <c r="Y590" s="149" t="n"/>
      <c r="Z590" s="149" t="n"/>
    </row>
    <row r="591" ht="15.75" customHeight="1" s="236">
      <c r="A591" s="148" t="n"/>
      <c r="B591" s="148" t="n"/>
      <c r="C591" s="124" t="n"/>
      <c r="D591" s="148" t="n"/>
      <c r="E591" s="148" t="n"/>
      <c r="F591" s="148" t="n"/>
      <c r="G591" s="124" t="n"/>
      <c r="H591" s="148" t="n"/>
      <c r="I591" s="148" t="n"/>
      <c r="J591" s="148" t="n"/>
      <c r="K591" s="148" t="n"/>
      <c r="L591" s="148" t="n"/>
      <c r="M591" s="148" t="n"/>
      <c r="N591" s="148" t="n"/>
      <c r="O591" s="148" t="n"/>
      <c r="P591" s="148" t="n"/>
      <c r="Q591" s="148" t="n"/>
      <c r="R591" s="148" t="n"/>
      <c r="S591" s="148" t="n"/>
      <c r="T591" s="148" t="n"/>
      <c r="U591" s="149">
        <f>IF(AND('Master Stock'!D591&lt;&gt;"",'Master Stock'!H591="OCCUPIED",ISNUMBER('Master Stock'!J591),'Master Stock'!K591=""),SUMPRODUCT(--('Master Stock'!$D$2:$D$1000&lt;&gt;""),--('Master Stock'!$H$2:$H$1000="OCCUPIED"),--ISNUMBER('Master Stock'!$J$2:$J$1000),--('Master Stock'!$K$2:$K$1000=""),--('Master Stock'!$J$2:$J$1000&lt;'Master Stock'!J591))+COUNTIFS('Master Stock'!$J$2:J591,'Master Stock'!J591,'Master Stock'!$D$2:D591,"&lt;&gt;",'Master Stock'!$H$2:H591,"OCCUPIED",'Master Stock'!$K$2:K591,""),"")</f>
        <v/>
      </c>
      <c r="V591" s="149">
        <f>IF(AND('Master Stock'!D591&lt;&gt;"",'Master Stock'!H591="OCCUPIED",ISNUMBER('Master Stock'!L591),'Master Stock'!L591&lt;TODAY()-30),SUMPRODUCT(--('Master Stock'!$D$2:$D$1000&lt;&gt;""),--('Master Stock'!$H$2:$H$1000="OCCUPIED"),--ISNUMBER('Master Stock'!$L$2:$L$1000),--('Master Stock'!$L$2:$L$1000&lt;TODAY()-30),--('Master Stock'!$L$2:$L$1000&lt;'Master Stock'!L591))+COUNTIFS('Master Stock'!$L$2:L591,'Master Stock'!L591,'Master Stock'!$D$2:D591,"&lt;&gt;",'Master Stock'!$H$2:H591,"OCCUPIED"),"")</f>
        <v/>
      </c>
      <c r="W591" s="149" t="n"/>
      <c r="X591" s="149" t="n"/>
      <c r="Y591" s="149" t="n"/>
      <c r="Z591" s="149" t="n"/>
    </row>
    <row r="592" ht="15.75" customHeight="1" s="236">
      <c r="A592" s="148" t="n"/>
      <c r="B592" s="148" t="n"/>
      <c r="C592" s="124" t="n"/>
      <c r="D592" s="148" t="n"/>
      <c r="E592" s="148" t="n"/>
      <c r="F592" s="148" t="n"/>
      <c r="G592" s="124" t="n"/>
      <c r="H592" s="148" t="n"/>
      <c r="I592" s="148" t="n"/>
      <c r="J592" s="148" t="n"/>
      <c r="K592" s="148" t="n"/>
      <c r="L592" s="148" t="n"/>
      <c r="M592" s="148" t="n"/>
      <c r="N592" s="148" t="n"/>
      <c r="O592" s="148" t="n"/>
      <c r="P592" s="148" t="n"/>
      <c r="Q592" s="148" t="n"/>
      <c r="R592" s="148" t="n"/>
      <c r="S592" s="148" t="n"/>
      <c r="T592" s="148" t="n"/>
      <c r="U592" s="149">
        <f>IF(AND('Master Stock'!D592&lt;&gt;"",'Master Stock'!H592="OCCUPIED",ISNUMBER('Master Stock'!J592),'Master Stock'!K592=""),SUMPRODUCT(--('Master Stock'!$D$2:$D$1000&lt;&gt;""),--('Master Stock'!$H$2:$H$1000="OCCUPIED"),--ISNUMBER('Master Stock'!$J$2:$J$1000),--('Master Stock'!$K$2:$K$1000=""),--('Master Stock'!$J$2:$J$1000&lt;'Master Stock'!J592))+COUNTIFS('Master Stock'!$J$2:J592,'Master Stock'!J592,'Master Stock'!$D$2:D592,"&lt;&gt;",'Master Stock'!$H$2:H592,"OCCUPIED",'Master Stock'!$K$2:K592,""),"")</f>
        <v/>
      </c>
      <c r="V592" s="149">
        <f>IF(AND('Master Stock'!D592&lt;&gt;"",'Master Stock'!H592="OCCUPIED",ISNUMBER('Master Stock'!L592),'Master Stock'!L592&lt;TODAY()-30),SUMPRODUCT(--('Master Stock'!$D$2:$D$1000&lt;&gt;""),--('Master Stock'!$H$2:$H$1000="OCCUPIED"),--ISNUMBER('Master Stock'!$L$2:$L$1000),--('Master Stock'!$L$2:$L$1000&lt;TODAY()-30),--('Master Stock'!$L$2:$L$1000&lt;'Master Stock'!L592))+COUNTIFS('Master Stock'!$L$2:L592,'Master Stock'!L592,'Master Stock'!$D$2:D592,"&lt;&gt;",'Master Stock'!$H$2:H592,"OCCUPIED"),"")</f>
        <v/>
      </c>
      <c r="W592" s="149" t="n"/>
      <c r="X592" s="149" t="n"/>
      <c r="Y592" s="149" t="n"/>
      <c r="Z592" s="149" t="n"/>
    </row>
    <row r="593" ht="15.75" customHeight="1" s="236">
      <c r="A593" s="148" t="n"/>
      <c r="B593" s="148" t="n"/>
      <c r="C593" s="124" t="n"/>
      <c r="D593" s="148" t="n"/>
      <c r="E593" s="148" t="n"/>
      <c r="F593" s="148" t="n"/>
      <c r="G593" s="124" t="n"/>
      <c r="H593" s="148" t="n"/>
      <c r="I593" s="148" t="n"/>
      <c r="J593" s="148" t="n"/>
      <c r="K593" s="148" t="n"/>
      <c r="L593" s="148" t="n"/>
      <c r="M593" s="148" t="n"/>
      <c r="N593" s="148" t="n"/>
      <c r="O593" s="148" t="n"/>
      <c r="P593" s="148" t="n"/>
      <c r="Q593" s="148" t="n"/>
      <c r="R593" s="148" t="n"/>
      <c r="S593" s="148" t="n"/>
      <c r="T593" s="148" t="n"/>
      <c r="U593" s="149">
        <f>IF(AND('Master Stock'!D593&lt;&gt;"",'Master Stock'!H593="OCCUPIED",ISNUMBER('Master Stock'!J593),'Master Stock'!K593=""),SUMPRODUCT(--('Master Stock'!$D$2:$D$1000&lt;&gt;""),--('Master Stock'!$H$2:$H$1000="OCCUPIED"),--ISNUMBER('Master Stock'!$J$2:$J$1000),--('Master Stock'!$K$2:$K$1000=""),--('Master Stock'!$J$2:$J$1000&lt;'Master Stock'!J593))+COUNTIFS('Master Stock'!$J$2:J593,'Master Stock'!J593,'Master Stock'!$D$2:D593,"&lt;&gt;",'Master Stock'!$H$2:H593,"OCCUPIED",'Master Stock'!$K$2:K593,""),"")</f>
        <v/>
      </c>
      <c r="V593" s="149">
        <f>IF(AND('Master Stock'!D593&lt;&gt;"",'Master Stock'!H593="OCCUPIED",ISNUMBER('Master Stock'!L593),'Master Stock'!L593&lt;TODAY()-30),SUMPRODUCT(--('Master Stock'!$D$2:$D$1000&lt;&gt;""),--('Master Stock'!$H$2:$H$1000="OCCUPIED"),--ISNUMBER('Master Stock'!$L$2:$L$1000),--('Master Stock'!$L$2:$L$1000&lt;TODAY()-30),--('Master Stock'!$L$2:$L$1000&lt;'Master Stock'!L593))+COUNTIFS('Master Stock'!$L$2:L593,'Master Stock'!L593,'Master Stock'!$D$2:D593,"&lt;&gt;",'Master Stock'!$H$2:H593,"OCCUPIED"),"")</f>
        <v/>
      </c>
      <c r="W593" s="149" t="n"/>
      <c r="X593" s="149" t="n"/>
      <c r="Y593" s="149" t="n"/>
      <c r="Z593" s="149" t="n"/>
    </row>
    <row r="594" ht="15.75" customHeight="1" s="236">
      <c r="A594" s="148" t="n"/>
      <c r="B594" s="148" t="n"/>
      <c r="C594" s="124" t="n"/>
      <c r="D594" s="148" t="n"/>
      <c r="E594" s="148" t="n"/>
      <c r="F594" s="148" t="n"/>
      <c r="G594" s="124" t="n"/>
      <c r="H594" s="148" t="n"/>
      <c r="I594" s="148" t="n"/>
      <c r="J594" s="148" t="n"/>
      <c r="K594" s="148" t="n"/>
      <c r="L594" s="148" t="n"/>
      <c r="M594" s="148" t="n"/>
      <c r="N594" s="148" t="n"/>
      <c r="O594" s="148" t="n"/>
      <c r="P594" s="148" t="n"/>
      <c r="Q594" s="148" t="n"/>
      <c r="R594" s="148" t="n"/>
      <c r="S594" s="148" t="n"/>
      <c r="T594" s="148" t="n"/>
      <c r="U594" s="149">
        <f>IF(AND('Master Stock'!D594&lt;&gt;"",'Master Stock'!H594="OCCUPIED",ISNUMBER('Master Stock'!J594),'Master Stock'!K594=""),SUMPRODUCT(--('Master Stock'!$D$2:$D$1000&lt;&gt;""),--('Master Stock'!$H$2:$H$1000="OCCUPIED"),--ISNUMBER('Master Stock'!$J$2:$J$1000),--('Master Stock'!$K$2:$K$1000=""),--('Master Stock'!$J$2:$J$1000&lt;'Master Stock'!J594))+COUNTIFS('Master Stock'!$J$2:J594,'Master Stock'!J594,'Master Stock'!$D$2:D594,"&lt;&gt;",'Master Stock'!$H$2:H594,"OCCUPIED",'Master Stock'!$K$2:K594,""),"")</f>
        <v/>
      </c>
      <c r="V594" s="149">
        <f>IF(AND('Master Stock'!D594&lt;&gt;"",'Master Stock'!H594="OCCUPIED",ISNUMBER('Master Stock'!L594),'Master Stock'!L594&lt;TODAY()-30),SUMPRODUCT(--('Master Stock'!$D$2:$D$1000&lt;&gt;""),--('Master Stock'!$H$2:$H$1000="OCCUPIED"),--ISNUMBER('Master Stock'!$L$2:$L$1000),--('Master Stock'!$L$2:$L$1000&lt;TODAY()-30),--('Master Stock'!$L$2:$L$1000&lt;'Master Stock'!L594))+COUNTIFS('Master Stock'!$L$2:L594,'Master Stock'!L594,'Master Stock'!$D$2:D594,"&lt;&gt;",'Master Stock'!$H$2:H594,"OCCUPIED"),"")</f>
        <v/>
      </c>
      <c r="W594" s="149" t="n"/>
      <c r="X594" s="149" t="n"/>
      <c r="Y594" s="149" t="n"/>
      <c r="Z594" s="149" t="n"/>
    </row>
    <row r="595" ht="15.75" customHeight="1" s="236">
      <c r="A595" s="148" t="n"/>
      <c r="B595" s="148" t="n"/>
      <c r="C595" s="124" t="n"/>
      <c r="D595" s="148" t="n"/>
      <c r="E595" s="148" t="n"/>
      <c r="F595" s="148" t="n"/>
      <c r="G595" s="124" t="n"/>
      <c r="H595" s="148" t="n"/>
      <c r="I595" s="148" t="n"/>
      <c r="J595" s="148" t="n"/>
      <c r="K595" s="148" t="n"/>
      <c r="L595" s="148" t="n"/>
      <c r="M595" s="148" t="n"/>
      <c r="N595" s="148" t="n"/>
      <c r="O595" s="148" t="n"/>
      <c r="P595" s="148" t="n"/>
      <c r="Q595" s="148" t="n"/>
      <c r="R595" s="148" t="n"/>
      <c r="S595" s="148" t="n"/>
      <c r="T595" s="148" t="n"/>
      <c r="U595" s="149">
        <f>IF(AND('Master Stock'!D595&lt;&gt;"",'Master Stock'!H595="OCCUPIED",ISNUMBER('Master Stock'!J595),'Master Stock'!K595=""),SUMPRODUCT(--('Master Stock'!$D$2:$D$1000&lt;&gt;""),--('Master Stock'!$H$2:$H$1000="OCCUPIED"),--ISNUMBER('Master Stock'!$J$2:$J$1000),--('Master Stock'!$K$2:$K$1000=""),--('Master Stock'!$J$2:$J$1000&lt;'Master Stock'!J595))+COUNTIFS('Master Stock'!$J$2:J595,'Master Stock'!J595,'Master Stock'!$D$2:D595,"&lt;&gt;",'Master Stock'!$H$2:H595,"OCCUPIED",'Master Stock'!$K$2:K595,""),"")</f>
        <v/>
      </c>
      <c r="V595" s="149">
        <f>IF(AND('Master Stock'!D595&lt;&gt;"",'Master Stock'!H595="OCCUPIED",ISNUMBER('Master Stock'!L595),'Master Stock'!L595&lt;TODAY()-30),SUMPRODUCT(--('Master Stock'!$D$2:$D$1000&lt;&gt;""),--('Master Stock'!$H$2:$H$1000="OCCUPIED"),--ISNUMBER('Master Stock'!$L$2:$L$1000),--('Master Stock'!$L$2:$L$1000&lt;TODAY()-30),--('Master Stock'!$L$2:$L$1000&lt;'Master Stock'!L595))+COUNTIFS('Master Stock'!$L$2:L595,'Master Stock'!L595,'Master Stock'!$D$2:D595,"&lt;&gt;",'Master Stock'!$H$2:H595,"OCCUPIED"),"")</f>
        <v/>
      </c>
      <c r="W595" s="149" t="n"/>
      <c r="X595" s="149" t="n"/>
      <c r="Y595" s="149" t="n"/>
      <c r="Z595" s="149" t="n"/>
    </row>
    <row r="596" ht="15.75" customHeight="1" s="236">
      <c r="A596" s="148" t="n"/>
      <c r="B596" s="148" t="n"/>
      <c r="C596" s="124" t="n"/>
      <c r="D596" s="148" t="n"/>
      <c r="E596" s="148" t="n"/>
      <c r="F596" s="148" t="n"/>
      <c r="G596" s="124" t="n"/>
      <c r="H596" s="148" t="n"/>
      <c r="I596" s="148" t="n"/>
      <c r="J596" s="148" t="n"/>
      <c r="K596" s="148" t="n"/>
      <c r="L596" s="148" t="n"/>
      <c r="M596" s="148" t="n"/>
      <c r="N596" s="148" t="n"/>
      <c r="O596" s="148" t="n"/>
      <c r="P596" s="148" t="n"/>
      <c r="Q596" s="148" t="n"/>
      <c r="R596" s="148" t="n"/>
      <c r="S596" s="148" t="n"/>
      <c r="T596" s="148" t="n"/>
      <c r="U596" s="149">
        <f>IF(AND('Master Stock'!D596&lt;&gt;"",'Master Stock'!H596="OCCUPIED",ISNUMBER('Master Stock'!J596),'Master Stock'!K596=""),SUMPRODUCT(--('Master Stock'!$D$2:$D$1000&lt;&gt;""),--('Master Stock'!$H$2:$H$1000="OCCUPIED"),--ISNUMBER('Master Stock'!$J$2:$J$1000),--('Master Stock'!$K$2:$K$1000=""),--('Master Stock'!$J$2:$J$1000&lt;'Master Stock'!J596))+COUNTIFS('Master Stock'!$J$2:J596,'Master Stock'!J596,'Master Stock'!$D$2:D596,"&lt;&gt;",'Master Stock'!$H$2:H596,"OCCUPIED",'Master Stock'!$K$2:K596,""),"")</f>
        <v/>
      </c>
      <c r="V596" s="149">
        <f>IF(AND('Master Stock'!D596&lt;&gt;"",'Master Stock'!H596="OCCUPIED",ISNUMBER('Master Stock'!L596),'Master Stock'!L596&lt;TODAY()-30),SUMPRODUCT(--('Master Stock'!$D$2:$D$1000&lt;&gt;""),--('Master Stock'!$H$2:$H$1000="OCCUPIED"),--ISNUMBER('Master Stock'!$L$2:$L$1000),--('Master Stock'!$L$2:$L$1000&lt;TODAY()-30),--('Master Stock'!$L$2:$L$1000&lt;'Master Stock'!L596))+COUNTIFS('Master Stock'!$L$2:L596,'Master Stock'!L596,'Master Stock'!$D$2:D596,"&lt;&gt;",'Master Stock'!$H$2:H596,"OCCUPIED"),"")</f>
        <v/>
      </c>
      <c r="W596" s="149" t="n"/>
      <c r="X596" s="149" t="n"/>
      <c r="Y596" s="149" t="n"/>
      <c r="Z596" s="149" t="n"/>
    </row>
    <row r="597" ht="15.75" customHeight="1" s="236">
      <c r="A597" s="148" t="n"/>
      <c r="B597" s="148" t="n"/>
      <c r="C597" s="124" t="n"/>
      <c r="D597" s="148" t="n"/>
      <c r="E597" s="148" t="n"/>
      <c r="F597" s="148" t="n"/>
      <c r="G597" s="124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9">
        <f>IF(AND('Master Stock'!D597&lt;&gt;"",'Master Stock'!H597="OCCUPIED",ISNUMBER('Master Stock'!J597),'Master Stock'!K597=""),SUMPRODUCT(--('Master Stock'!$D$2:$D$1000&lt;&gt;""),--('Master Stock'!$H$2:$H$1000="OCCUPIED"),--ISNUMBER('Master Stock'!$J$2:$J$1000),--('Master Stock'!$K$2:$K$1000=""),--('Master Stock'!$J$2:$J$1000&lt;'Master Stock'!J597))+COUNTIFS('Master Stock'!$J$2:J597,'Master Stock'!J597,'Master Stock'!$D$2:D597,"&lt;&gt;",'Master Stock'!$H$2:H597,"OCCUPIED",'Master Stock'!$K$2:K597,""),"")</f>
        <v/>
      </c>
      <c r="V597" s="149">
        <f>IF(AND('Master Stock'!D597&lt;&gt;"",'Master Stock'!H597="OCCUPIED",ISNUMBER('Master Stock'!L597),'Master Stock'!L597&lt;TODAY()-30),SUMPRODUCT(--('Master Stock'!$D$2:$D$1000&lt;&gt;""),--('Master Stock'!$H$2:$H$1000="OCCUPIED"),--ISNUMBER('Master Stock'!$L$2:$L$1000),--('Master Stock'!$L$2:$L$1000&lt;TODAY()-30),--('Master Stock'!$L$2:$L$1000&lt;'Master Stock'!L597))+COUNTIFS('Master Stock'!$L$2:L597,'Master Stock'!L597,'Master Stock'!$D$2:D597,"&lt;&gt;",'Master Stock'!$H$2:H597,"OCCUPIED"),"")</f>
        <v/>
      </c>
      <c r="W597" s="149" t="n"/>
      <c r="X597" s="149" t="n"/>
      <c r="Y597" s="149" t="n"/>
      <c r="Z597" s="149" t="n"/>
    </row>
    <row r="598" ht="15.75" customHeight="1" s="236">
      <c r="A598" s="148" t="n"/>
      <c r="B598" s="148" t="n"/>
      <c r="C598" s="124" t="n"/>
      <c r="D598" s="148" t="n"/>
      <c r="E598" s="148" t="n"/>
      <c r="F598" s="148" t="n"/>
      <c r="G598" s="124" t="n"/>
      <c r="H598" s="148" t="n"/>
      <c r="I598" s="148" t="n"/>
      <c r="J598" s="148" t="n"/>
      <c r="K598" s="148" t="n"/>
      <c r="L598" s="148" t="n"/>
      <c r="M598" s="148" t="n"/>
      <c r="N598" s="148" t="n"/>
      <c r="O598" s="148" t="n"/>
      <c r="P598" s="148" t="n"/>
      <c r="Q598" s="148" t="n"/>
      <c r="R598" s="148" t="n"/>
      <c r="S598" s="148" t="n"/>
      <c r="T598" s="148" t="n"/>
      <c r="U598" s="149">
        <f>IF(AND('Master Stock'!D598&lt;&gt;"",'Master Stock'!H598="OCCUPIED",ISNUMBER('Master Stock'!J598),'Master Stock'!K598=""),SUMPRODUCT(--('Master Stock'!$D$2:$D$1000&lt;&gt;""),--('Master Stock'!$H$2:$H$1000="OCCUPIED"),--ISNUMBER('Master Stock'!$J$2:$J$1000),--('Master Stock'!$K$2:$K$1000=""),--('Master Stock'!$J$2:$J$1000&lt;'Master Stock'!J598))+COUNTIFS('Master Stock'!$J$2:J598,'Master Stock'!J598,'Master Stock'!$D$2:D598,"&lt;&gt;",'Master Stock'!$H$2:H598,"OCCUPIED",'Master Stock'!$K$2:K598,""),"")</f>
        <v/>
      </c>
      <c r="V598" s="149">
        <f>IF(AND('Master Stock'!D598&lt;&gt;"",'Master Stock'!H598="OCCUPIED",ISNUMBER('Master Stock'!L598),'Master Stock'!L598&lt;TODAY()-30),SUMPRODUCT(--('Master Stock'!$D$2:$D$1000&lt;&gt;""),--('Master Stock'!$H$2:$H$1000="OCCUPIED"),--ISNUMBER('Master Stock'!$L$2:$L$1000),--('Master Stock'!$L$2:$L$1000&lt;TODAY()-30),--('Master Stock'!$L$2:$L$1000&lt;'Master Stock'!L598))+COUNTIFS('Master Stock'!$L$2:L598,'Master Stock'!L598,'Master Stock'!$D$2:D598,"&lt;&gt;",'Master Stock'!$H$2:H598,"OCCUPIED"),"")</f>
        <v/>
      </c>
      <c r="W598" s="149" t="n"/>
      <c r="X598" s="149" t="n"/>
      <c r="Y598" s="149" t="n"/>
      <c r="Z598" s="149" t="n"/>
    </row>
    <row r="599" ht="15.75" customHeight="1" s="236">
      <c r="A599" s="148" t="n"/>
      <c r="B599" s="148" t="n"/>
      <c r="C599" s="124" t="n"/>
      <c r="D599" s="148" t="n"/>
      <c r="E599" s="148" t="n"/>
      <c r="F599" s="148" t="n"/>
      <c r="G599" s="124" t="n"/>
      <c r="H599" s="148" t="n"/>
      <c r="I599" s="148" t="n"/>
      <c r="J599" s="148" t="n"/>
      <c r="K599" s="148" t="n"/>
      <c r="L599" s="148" t="n"/>
      <c r="M599" s="148" t="n"/>
      <c r="N599" s="148" t="n"/>
      <c r="O599" s="148" t="n"/>
      <c r="P599" s="148" t="n"/>
      <c r="Q599" s="148" t="n"/>
      <c r="R599" s="148" t="n"/>
      <c r="S599" s="148" t="n"/>
      <c r="T599" s="148" t="n"/>
      <c r="U599" s="149">
        <f>IF(AND('Master Stock'!D599&lt;&gt;"",'Master Stock'!H599="OCCUPIED",ISNUMBER('Master Stock'!J599),'Master Stock'!K599=""),SUMPRODUCT(--('Master Stock'!$D$2:$D$1000&lt;&gt;""),--('Master Stock'!$H$2:$H$1000="OCCUPIED"),--ISNUMBER('Master Stock'!$J$2:$J$1000),--('Master Stock'!$K$2:$K$1000=""),--('Master Stock'!$J$2:$J$1000&lt;'Master Stock'!J599))+COUNTIFS('Master Stock'!$J$2:J599,'Master Stock'!J599,'Master Stock'!$D$2:D599,"&lt;&gt;",'Master Stock'!$H$2:H599,"OCCUPIED",'Master Stock'!$K$2:K599,""),"")</f>
        <v/>
      </c>
      <c r="V599" s="149">
        <f>IF(AND('Master Stock'!D599&lt;&gt;"",'Master Stock'!H599="OCCUPIED",ISNUMBER('Master Stock'!L599),'Master Stock'!L599&lt;TODAY()-30),SUMPRODUCT(--('Master Stock'!$D$2:$D$1000&lt;&gt;""),--('Master Stock'!$H$2:$H$1000="OCCUPIED"),--ISNUMBER('Master Stock'!$L$2:$L$1000),--('Master Stock'!$L$2:$L$1000&lt;TODAY()-30),--('Master Stock'!$L$2:$L$1000&lt;'Master Stock'!L599))+COUNTIFS('Master Stock'!$L$2:L599,'Master Stock'!L599,'Master Stock'!$D$2:D599,"&lt;&gt;",'Master Stock'!$H$2:H599,"OCCUPIED"),"")</f>
        <v/>
      </c>
      <c r="W599" s="149" t="n"/>
      <c r="X599" s="149" t="n"/>
      <c r="Y599" s="149" t="n"/>
      <c r="Z599" s="149" t="n"/>
    </row>
    <row r="600" ht="15.75" customHeight="1" s="236">
      <c r="A600" s="148" t="n"/>
      <c r="B600" s="148" t="n"/>
      <c r="C600" s="124" t="n"/>
      <c r="D600" s="148" t="n"/>
      <c r="E600" s="148" t="n"/>
      <c r="F600" s="148" t="n"/>
      <c r="G600" s="124" t="n"/>
      <c r="H600" s="148" t="n"/>
      <c r="I600" s="148" t="n"/>
      <c r="J600" s="148" t="n"/>
      <c r="K600" s="148" t="n"/>
      <c r="L600" s="148" t="n"/>
      <c r="M600" s="148" t="n"/>
      <c r="N600" s="148" t="n"/>
      <c r="O600" s="148" t="n"/>
      <c r="P600" s="148" t="n"/>
      <c r="Q600" s="148" t="n"/>
      <c r="R600" s="148" t="n"/>
      <c r="S600" s="148" t="n"/>
      <c r="T600" s="148" t="n"/>
      <c r="U600" s="149">
        <f>IF(AND('Master Stock'!D600&lt;&gt;"",'Master Stock'!H600="OCCUPIED",ISNUMBER('Master Stock'!J600),'Master Stock'!K600=""),SUMPRODUCT(--('Master Stock'!$D$2:$D$1000&lt;&gt;""),--('Master Stock'!$H$2:$H$1000="OCCUPIED"),--ISNUMBER('Master Stock'!$J$2:$J$1000),--('Master Stock'!$K$2:$K$1000=""),--('Master Stock'!$J$2:$J$1000&lt;'Master Stock'!J600))+COUNTIFS('Master Stock'!$J$2:J600,'Master Stock'!J600,'Master Stock'!$D$2:D600,"&lt;&gt;",'Master Stock'!$H$2:H600,"OCCUPIED",'Master Stock'!$K$2:K600,""),"")</f>
        <v/>
      </c>
      <c r="V600" s="149">
        <f>IF(AND('Master Stock'!D600&lt;&gt;"",'Master Stock'!H600="OCCUPIED",ISNUMBER('Master Stock'!L600),'Master Stock'!L600&lt;TODAY()-30),SUMPRODUCT(--('Master Stock'!$D$2:$D$1000&lt;&gt;""),--('Master Stock'!$H$2:$H$1000="OCCUPIED"),--ISNUMBER('Master Stock'!$L$2:$L$1000),--('Master Stock'!$L$2:$L$1000&lt;TODAY()-30),--('Master Stock'!$L$2:$L$1000&lt;'Master Stock'!L600))+COUNTIFS('Master Stock'!$L$2:L600,'Master Stock'!L600,'Master Stock'!$D$2:D600,"&lt;&gt;",'Master Stock'!$H$2:H600,"OCCUPIED"),"")</f>
        <v/>
      </c>
      <c r="W600" s="149" t="n"/>
      <c r="X600" s="149" t="n"/>
      <c r="Y600" s="149" t="n"/>
      <c r="Z600" s="149" t="n"/>
    </row>
    <row r="601" ht="15.75" customHeight="1" s="236">
      <c r="A601" s="148" t="n"/>
      <c r="B601" s="148" t="n"/>
      <c r="C601" s="124" t="n"/>
      <c r="D601" s="148" t="n"/>
      <c r="E601" s="148" t="n"/>
      <c r="F601" s="148" t="n"/>
      <c r="G601" s="124" t="n"/>
      <c r="H601" s="148" t="n"/>
      <c r="I601" s="148" t="n"/>
      <c r="J601" s="148" t="n"/>
      <c r="K601" s="148" t="n"/>
      <c r="L601" s="148" t="n"/>
      <c r="M601" s="148" t="n"/>
      <c r="N601" s="148" t="n"/>
      <c r="O601" s="148" t="n"/>
      <c r="P601" s="148" t="n"/>
      <c r="Q601" s="148" t="n"/>
      <c r="R601" s="148" t="n"/>
      <c r="S601" s="148" t="n"/>
      <c r="T601" s="148" t="n"/>
      <c r="U601" s="149">
        <f>IF(AND('Master Stock'!D601&lt;&gt;"",'Master Stock'!H601="OCCUPIED",ISNUMBER('Master Stock'!J601),'Master Stock'!K601=""),SUMPRODUCT(--('Master Stock'!$D$2:$D$1000&lt;&gt;""),--('Master Stock'!$H$2:$H$1000="OCCUPIED"),--ISNUMBER('Master Stock'!$J$2:$J$1000),--('Master Stock'!$K$2:$K$1000=""),--('Master Stock'!$J$2:$J$1000&lt;'Master Stock'!J601))+COUNTIFS('Master Stock'!$J$2:J601,'Master Stock'!J601,'Master Stock'!$D$2:D601,"&lt;&gt;",'Master Stock'!$H$2:H601,"OCCUPIED",'Master Stock'!$K$2:K601,""),"")</f>
        <v/>
      </c>
      <c r="V601" s="149">
        <f>IF(AND('Master Stock'!D601&lt;&gt;"",'Master Stock'!H601="OCCUPIED",ISNUMBER('Master Stock'!L601),'Master Stock'!L601&lt;TODAY()-30),SUMPRODUCT(--('Master Stock'!$D$2:$D$1000&lt;&gt;""),--('Master Stock'!$H$2:$H$1000="OCCUPIED"),--ISNUMBER('Master Stock'!$L$2:$L$1000),--('Master Stock'!$L$2:$L$1000&lt;TODAY()-30),--('Master Stock'!$L$2:$L$1000&lt;'Master Stock'!L601))+COUNTIFS('Master Stock'!$L$2:L601,'Master Stock'!L601,'Master Stock'!$D$2:D601,"&lt;&gt;",'Master Stock'!$H$2:H601,"OCCUPIED"),"")</f>
        <v/>
      </c>
      <c r="W601" s="149" t="n"/>
      <c r="X601" s="149" t="n"/>
      <c r="Y601" s="149" t="n"/>
      <c r="Z601" s="149" t="n"/>
    </row>
    <row r="602" ht="15.75" customHeight="1" s="236">
      <c r="A602" s="148" t="n"/>
      <c r="B602" s="148" t="n"/>
      <c r="C602" s="124" t="n"/>
      <c r="D602" s="148" t="n"/>
      <c r="E602" s="148" t="n"/>
      <c r="F602" s="148" t="n"/>
      <c r="G602" s="124" t="n"/>
      <c r="H602" s="148" t="n"/>
      <c r="I602" s="148" t="n"/>
      <c r="J602" s="148" t="n"/>
      <c r="K602" s="148" t="n"/>
      <c r="L602" s="148" t="n"/>
      <c r="M602" s="148" t="n"/>
      <c r="N602" s="148" t="n"/>
      <c r="O602" s="148" t="n"/>
      <c r="P602" s="148" t="n"/>
      <c r="Q602" s="148" t="n"/>
      <c r="R602" s="148" t="n"/>
      <c r="S602" s="148" t="n"/>
      <c r="T602" s="148" t="n"/>
      <c r="U602" s="149">
        <f>IF(AND('Master Stock'!D602&lt;&gt;"",'Master Stock'!H602="OCCUPIED",ISNUMBER('Master Stock'!J602),'Master Stock'!K602=""),SUMPRODUCT(--('Master Stock'!$D$2:$D$1000&lt;&gt;""),--('Master Stock'!$H$2:$H$1000="OCCUPIED"),--ISNUMBER('Master Stock'!$J$2:$J$1000),--('Master Stock'!$K$2:$K$1000=""),--('Master Stock'!$J$2:$J$1000&lt;'Master Stock'!J602))+COUNTIFS('Master Stock'!$J$2:J602,'Master Stock'!J602,'Master Stock'!$D$2:D602,"&lt;&gt;",'Master Stock'!$H$2:H602,"OCCUPIED",'Master Stock'!$K$2:K602,""),"")</f>
        <v/>
      </c>
      <c r="V602" s="149">
        <f>IF(AND('Master Stock'!D602&lt;&gt;"",'Master Stock'!H602="OCCUPIED",ISNUMBER('Master Stock'!L602),'Master Stock'!L602&lt;TODAY()-30),SUMPRODUCT(--('Master Stock'!$D$2:$D$1000&lt;&gt;""),--('Master Stock'!$H$2:$H$1000="OCCUPIED"),--ISNUMBER('Master Stock'!$L$2:$L$1000),--('Master Stock'!$L$2:$L$1000&lt;TODAY()-30),--('Master Stock'!$L$2:$L$1000&lt;'Master Stock'!L602))+COUNTIFS('Master Stock'!$L$2:L602,'Master Stock'!L602,'Master Stock'!$D$2:D602,"&lt;&gt;",'Master Stock'!$H$2:H602,"OCCUPIED"),"")</f>
        <v/>
      </c>
      <c r="W602" s="149" t="n"/>
      <c r="X602" s="149" t="n"/>
      <c r="Y602" s="149" t="n"/>
      <c r="Z602" s="149" t="n"/>
    </row>
    <row r="603" ht="15.75" customHeight="1" s="236">
      <c r="A603" s="148" t="n"/>
      <c r="B603" s="148" t="n"/>
      <c r="C603" s="124" t="n"/>
      <c r="D603" s="148" t="n"/>
      <c r="E603" s="148" t="n"/>
      <c r="F603" s="148" t="n"/>
      <c r="G603" s="124" t="n"/>
      <c r="H603" s="148" t="n"/>
      <c r="I603" s="148" t="n"/>
      <c r="J603" s="148" t="n"/>
      <c r="K603" s="148" t="n"/>
      <c r="L603" s="148" t="n"/>
      <c r="M603" s="148" t="n"/>
      <c r="N603" s="148" t="n"/>
      <c r="O603" s="148" t="n"/>
      <c r="P603" s="148" t="n"/>
      <c r="Q603" s="148" t="n"/>
      <c r="R603" s="148" t="n"/>
      <c r="S603" s="148" t="n"/>
      <c r="T603" s="148" t="n"/>
      <c r="U603" s="149">
        <f>IF(AND('Master Stock'!D603&lt;&gt;"",'Master Stock'!H603="OCCUPIED",ISNUMBER('Master Stock'!J603),'Master Stock'!K603=""),SUMPRODUCT(--('Master Stock'!$D$2:$D$1000&lt;&gt;""),--('Master Stock'!$H$2:$H$1000="OCCUPIED"),--ISNUMBER('Master Stock'!$J$2:$J$1000),--('Master Stock'!$K$2:$K$1000=""),--('Master Stock'!$J$2:$J$1000&lt;'Master Stock'!J603))+COUNTIFS('Master Stock'!$J$2:J603,'Master Stock'!J603,'Master Stock'!$D$2:D603,"&lt;&gt;",'Master Stock'!$H$2:H603,"OCCUPIED",'Master Stock'!$K$2:K603,""),"")</f>
        <v/>
      </c>
      <c r="V603" s="149">
        <f>IF(AND('Master Stock'!D603&lt;&gt;"",'Master Stock'!H603="OCCUPIED",ISNUMBER('Master Stock'!L603),'Master Stock'!L603&lt;TODAY()-30),SUMPRODUCT(--('Master Stock'!$D$2:$D$1000&lt;&gt;""),--('Master Stock'!$H$2:$H$1000="OCCUPIED"),--ISNUMBER('Master Stock'!$L$2:$L$1000),--('Master Stock'!$L$2:$L$1000&lt;TODAY()-30),--('Master Stock'!$L$2:$L$1000&lt;'Master Stock'!L603))+COUNTIFS('Master Stock'!$L$2:L603,'Master Stock'!L603,'Master Stock'!$D$2:D603,"&lt;&gt;",'Master Stock'!$H$2:H603,"OCCUPIED"),"")</f>
        <v/>
      </c>
      <c r="W603" s="149" t="n"/>
      <c r="X603" s="149" t="n"/>
      <c r="Y603" s="149" t="n"/>
      <c r="Z603" s="149" t="n"/>
    </row>
    <row r="604" ht="15.75" customHeight="1" s="236">
      <c r="A604" s="148" t="n"/>
      <c r="B604" s="148" t="n"/>
      <c r="C604" s="124" t="n"/>
      <c r="D604" s="148" t="n"/>
      <c r="E604" s="148" t="n"/>
      <c r="F604" s="148" t="n"/>
      <c r="G604" s="124" t="n"/>
      <c r="H604" s="148" t="n"/>
      <c r="I604" s="148" t="n"/>
      <c r="J604" s="148" t="n"/>
      <c r="K604" s="148" t="n"/>
      <c r="L604" s="148" t="n"/>
      <c r="M604" s="148" t="n"/>
      <c r="N604" s="148" t="n"/>
      <c r="O604" s="148" t="n"/>
      <c r="P604" s="148" t="n"/>
      <c r="Q604" s="148" t="n"/>
      <c r="R604" s="148" t="n"/>
      <c r="S604" s="148" t="n"/>
      <c r="T604" s="148" t="n"/>
      <c r="U604" s="149">
        <f>IF(AND('Master Stock'!D604&lt;&gt;"",'Master Stock'!H604="OCCUPIED",ISNUMBER('Master Stock'!J604),'Master Stock'!K604=""),SUMPRODUCT(--('Master Stock'!$D$2:$D$1000&lt;&gt;""),--('Master Stock'!$H$2:$H$1000="OCCUPIED"),--ISNUMBER('Master Stock'!$J$2:$J$1000),--('Master Stock'!$K$2:$K$1000=""),--('Master Stock'!$J$2:$J$1000&lt;'Master Stock'!J604))+COUNTIFS('Master Stock'!$J$2:J604,'Master Stock'!J604,'Master Stock'!$D$2:D604,"&lt;&gt;",'Master Stock'!$H$2:H604,"OCCUPIED",'Master Stock'!$K$2:K604,""),"")</f>
        <v/>
      </c>
      <c r="V604" s="149">
        <f>IF(AND('Master Stock'!D604&lt;&gt;"",'Master Stock'!H604="OCCUPIED",ISNUMBER('Master Stock'!L604),'Master Stock'!L604&lt;TODAY()-30),SUMPRODUCT(--('Master Stock'!$D$2:$D$1000&lt;&gt;""),--('Master Stock'!$H$2:$H$1000="OCCUPIED"),--ISNUMBER('Master Stock'!$L$2:$L$1000),--('Master Stock'!$L$2:$L$1000&lt;TODAY()-30),--('Master Stock'!$L$2:$L$1000&lt;'Master Stock'!L604))+COUNTIFS('Master Stock'!$L$2:L604,'Master Stock'!L604,'Master Stock'!$D$2:D604,"&lt;&gt;",'Master Stock'!$H$2:H604,"OCCUPIED"),"")</f>
        <v/>
      </c>
      <c r="W604" s="149" t="n"/>
      <c r="X604" s="149" t="n"/>
      <c r="Y604" s="149" t="n"/>
      <c r="Z604" s="149" t="n"/>
    </row>
    <row r="605" ht="15.75" customHeight="1" s="236">
      <c r="A605" s="148" t="n"/>
      <c r="B605" s="148" t="n"/>
      <c r="C605" s="124" t="n"/>
      <c r="D605" s="148" t="n"/>
      <c r="E605" s="148" t="n"/>
      <c r="F605" s="148" t="n"/>
      <c r="G605" s="124" t="n"/>
      <c r="H605" s="148" t="n"/>
      <c r="I605" s="148" t="n"/>
      <c r="J605" s="148" t="n"/>
      <c r="K605" s="148" t="n"/>
      <c r="L605" s="148" t="n"/>
      <c r="M605" s="148" t="n"/>
      <c r="N605" s="148" t="n"/>
      <c r="O605" s="148" t="n"/>
      <c r="P605" s="148" t="n"/>
      <c r="Q605" s="148" t="n"/>
      <c r="R605" s="148" t="n"/>
      <c r="S605" s="148" t="n"/>
      <c r="T605" s="148" t="n"/>
      <c r="U605" s="149">
        <f>IF(AND('Master Stock'!D605&lt;&gt;"",'Master Stock'!H605="OCCUPIED",ISNUMBER('Master Stock'!J605),'Master Stock'!K605=""),SUMPRODUCT(--('Master Stock'!$D$2:$D$1000&lt;&gt;""),--('Master Stock'!$H$2:$H$1000="OCCUPIED"),--ISNUMBER('Master Stock'!$J$2:$J$1000),--('Master Stock'!$K$2:$K$1000=""),--('Master Stock'!$J$2:$J$1000&lt;'Master Stock'!J605))+COUNTIFS('Master Stock'!$J$2:J605,'Master Stock'!J605,'Master Stock'!$D$2:D605,"&lt;&gt;",'Master Stock'!$H$2:H605,"OCCUPIED",'Master Stock'!$K$2:K605,""),"")</f>
        <v/>
      </c>
      <c r="V605" s="149">
        <f>IF(AND('Master Stock'!D605&lt;&gt;"",'Master Stock'!H605="OCCUPIED",ISNUMBER('Master Stock'!L605),'Master Stock'!L605&lt;TODAY()-30),SUMPRODUCT(--('Master Stock'!$D$2:$D$1000&lt;&gt;""),--('Master Stock'!$H$2:$H$1000="OCCUPIED"),--ISNUMBER('Master Stock'!$L$2:$L$1000),--('Master Stock'!$L$2:$L$1000&lt;TODAY()-30),--('Master Stock'!$L$2:$L$1000&lt;'Master Stock'!L605))+COUNTIFS('Master Stock'!$L$2:L605,'Master Stock'!L605,'Master Stock'!$D$2:D605,"&lt;&gt;",'Master Stock'!$H$2:H605,"OCCUPIED"),"")</f>
        <v/>
      </c>
      <c r="W605" s="149" t="n"/>
      <c r="X605" s="149" t="n"/>
      <c r="Y605" s="149" t="n"/>
      <c r="Z605" s="149" t="n"/>
    </row>
    <row r="606" ht="15.75" customHeight="1" s="236">
      <c r="A606" s="148" t="n"/>
      <c r="B606" s="148" t="n"/>
      <c r="C606" s="124" t="n"/>
      <c r="D606" s="148" t="n"/>
      <c r="E606" s="148" t="n"/>
      <c r="F606" s="148" t="n"/>
      <c r="G606" s="124" t="n"/>
      <c r="H606" s="148" t="n"/>
      <c r="I606" s="148" t="n"/>
      <c r="J606" s="148" t="n"/>
      <c r="K606" s="148" t="n"/>
      <c r="L606" s="148" t="n"/>
      <c r="M606" s="148" t="n"/>
      <c r="N606" s="148" t="n"/>
      <c r="O606" s="148" t="n"/>
      <c r="P606" s="148" t="n"/>
      <c r="Q606" s="148" t="n"/>
      <c r="R606" s="148" t="n"/>
      <c r="S606" s="148" t="n"/>
      <c r="T606" s="148" t="n"/>
      <c r="U606" s="149">
        <f>IF(AND('Master Stock'!D606&lt;&gt;"",'Master Stock'!H606="OCCUPIED",ISNUMBER('Master Stock'!J606),'Master Stock'!K606=""),SUMPRODUCT(--('Master Stock'!$D$2:$D$1000&lt;&gt;""),--('Master Stock'!$H$2:$H$1000="OCCUPIED"),--ISNUMBER('Master Stock'!$J$2:$J$1000),--('Master Stock'!$K$2:$K$1000=""),--('Master Stock'!$J$2:$J$1000&lt;'Master Stock'!J606))+COUNTIFS('Master Stock'!$J$2:J606,'Master Stock'!J606,'Master Stock'!$D$2:D606,"&lt;&gt;",'Master Stock'!$H$2:H606,"OCCUPIED",'Master Stock'!$K$2:K606,""),"")</f>
        <v/>
      </c>
      <c r="V606" s="149">
        <f>IF(AND('Master Stock'!D606&lt;&gt;"",'Master Stock'!H606="OCCUPIED",ISNUMBER('Master Stock'!L606),'Master Stock'!L606&lt;TODAY()-30),SUMPRODUCT(--('Master Stock'!$D$2:$D$1000&lt;&gt;""),--('Master Stock'!$H$2:$H$1000="OCCUPIED"),--ISNUMBER('Master Stock'!$L$2:$L$1000),--('Master Stock'!$L$2:$L$1000&lt;TODAY()-30),--('Master Stock'!$L$2:$L$1000&lt;'Master Stock'!L606))+COUNTIFS('Master Stock'!$L$2:L606,'Master Stock'!L606,'Master Stock'!$D$2:D606,"&lt;&gt;",'Master Stock'!$H$2:H606,"OCCUPIED"),"")</f>
        <v/>
      </c>
      <c r="W606" s="149" t="n"/>
      <c r="X606" s="149" t="n"/>
      <c r="Y606" s="149" t="n"/>
      <c r="Z606" s="149" t="n"/>
    </row>
    <row r="607" ht="15.75" customHeight="1" s="236">
      <c r="A607" s="148" t="n"/>
      <c r="B607" s="148" t="n"/>
      <c r="C607" s="124" t="n"/>
      <c r="D607" s="148" t="n"/>
      <c r="E607" s="148" t="n"/>
      <c r="F607" s="148" t="n"/>
      <c r="G607" s="124" t="n"/>
      <c r="H607" s="148" t="n"/>
      <c r="I607" s="148" t="n"/>
      <c r="J607" s="148" t="n"/>
      <c r="K607" s="148" t="n"/>
      <c r="L607" s="148" t="n"/>
      <c r="M607" s="148" t="n"/>
      <c r="N607" s="148" t="n"/>
      <c r="O607" s="148" t="n"/>
      <c r="P607" s="148" t="n"/>
      <c r="Q607" s="148" t="n"/>
      <c r="R607" s="148" t="n"/>
      <c r="S607" s="148" t="n"/>
      <c r="T607" s="148" t="n"/>
      <c r="U607" s="149">
        <f>IF(AND('Master Stock'!D607&lt;&gt;"",'Master Stock'!H607="OCCUPIED",ISNUMBER('Master Stock'!J607),'Master Stock'!K607=""),SUMPRODUCT(--('Master Stock'!$D$2:$D$1000&lt;&gt;""),--('Master Stock'!$H$2:$H$1000="OCCUPIED"),--ISNUMBER('Master Stock'!$J$2:$J$1000),--('Master Stock'!$K$2:$K$1000=""),--('Master Stock'!$J$2:$J$1000&lt;'Master Stock'!J607))+COUNTIFS('Master Stock'!$J$2:J607,'Master Stock'!J607,'Master Stock'!$D$2:D607,"&lt;&gt;",'Master Stock'!$H$2:H607,"OCCUPIED",'Master Stock'!$K$2:K607,""),"")</f>
        <v/>
      </c>
      <c r="V607" s="149">
        <f>IF(AND('Master Stock'!D607&lt;&gt;"",'Master Stock'!H607="OCCUPIED",ISNUMBER('Master Stock'!L607),'Master Stock'!L607&lt;TODAY()-30),SUMPRODUCT(--('Master Stock'!$D$2:$D$1000&lt;&gt;""),--('Master Stock'!$H$2:$H$1000="OCCUPIED"),--ISNUMBER('Master Stock'!$L$2:$L$1000),--('Master Stock'!$L$2:$L$1000&lt;TODAY()-30),--('Master Stock'!$L$2:$L$1000&lt;'Master Stock'!L607))+COUNTIFS('Master Stock'!$L$2:L607,'Master Stock'!L607,'Master Stock'!$D$2:D607,"&lt;&gt;",'Master Stock'!$H$2:H607,"OCCUPIED"),"")</f>
        <v/>
      </c>
      <c r="W607" s="149" t="n"/>
      <c r="X607" s="149" t="n"/>
      <c r="Y607" s="149" t="n"/>
      <c r="Z607" s="149" t="n"/>
    </row>
    <row r="608" ht="15.75" customHeight="1" s="236">
      <c r="A608" s="148" t="n"/>
      <c r="B608" s="148" t="n"/>
      <c r="C608" s="124" t="n"/>
      <c r="D608" s="148" t="n"/>
      <c r="E608" s="148" t="n"/>
      <c r="F608" s="148" t="n"/>
      <c r="G608" s="124" t="n"/>
      <c r="H608" s="148" t="n"/>
      <c r="I608" s="148" t="n"/>
      <c r="J608" s="148" t="n"/>
      <c r="K608" s="148" t="n"/>
      <c r="L608" s="148" t="n"/>
      <c r="M608" s="148" t="n"/>
      <c r="N608" s="148" t="n"/>
      <c r="O608" s="148" t="n"/>
      <c r="P608" s="148" t="n"/>
      <c r="Q608" s="148" t="n"/>
      <c r="R608" s="148" t="n"/>
      <c r="S608" s="148" t="n"/>
      <c r="T608" s="148" t="n"/>
      <c r="U608" s="149">
        <f>IF(AND('Master Stock'!D608&lt;&gt;"",'Master Stock'!H608="OCCUPIED",ISNUMBER('Master Stock'!J608),'Master Stock'!K608=""),SUMPRODUCT(--('Master Stock'!$D$2:$D$1000&lt;&gt;""),--('Master Stock'!$H$2:$H$1000="OCCUPIED"),--ISNUMBER('Master Stock'!$J$2:$J$1000),--('Master Stock'!$K$2:$K$1000=""),--('Master Stock'!$J$2:$J$1000&lt;'Master Stock'!J608))+COUNTIFS('Master Stock'!$J$2:J608,'Master Stock'!J608,'Master Stock'!$D$2:D608,"&lt;&gt;",'Master Stock'!$H$2:H608,"OCCUPIED",'Master Stock'!$K$2:K608,""),"")</f>
        <v/>
      </c>
      <c r="V608" s="149">
        <f>IF(AND('Master Stock'!D608&lt;&gt;"",'Master Stock'!H608="OCCUPIED",ISNUMBER('Master Stock'!L608),'Master Stock'!L608&lt;TODAY()-30),SUMPRODUCT(--('Master Stock'!$D$2:$D$1000&lt;&gt;""),--('Master Stock'!$H$2:$H$1000="OCCUPIED"),--ISNUMBER('Master Stock'!$L$2:$L$1000),--('Master Stock'!$L$2:$L$1000&lt;TODAY()-30),--('Master Stock'!$L$2:$L$1000&lt;'Master Stock'!L608))+COUNTIFS('Master Stock'!$L$2:L608,'Master Stock'!L608,'Master Stock'!$D$2:D608,"&lt;&gt;",'Master Stock'!$H$2:H608,"OCCUPIED"),"")</f>
        <v/>
      </c>
      <c r="W608" s="149" t="n"/>
      <c r="X608" s="149" t="n"/>
      <c r="Y608" s="149" t="n"/>
      <c r="Z608" s="149" t="n"/>
    </row>
    <row r="609" ht="15.75" customHeight="1" s="236">
      <c r="A609" s="148" t="n"/>
      <c r="B609" s="148" t="n"/>
      <c r="C609" s="124" t="n"/>
      <c r="D609" s="148" t="n"/>
      <c r="E609" s="148" t="n"/>
      <c r="F609" s="148" t="n"/>
      <c r="G609" s="124" t="n"/>
      <c r="H609" s="148" t="n"/>
      <c r="I609" s="148" t="n"/>
      <c r="J609" s="148" t="n"/>
      <c r="K609" s="148" t="n"/>
      <c r="L609" s="148" t="n"/>
      <c r="M609" s="148" t="n"/>
      <c r="N609" s="148" t="n"/>
      <c r="O609" s="148" t="n"/>
      <c r="P609" s="148" t="n"/>
      <c r="Q609" s="148" t="n"/>
      <c r="R609" s="148" t="n"/>
      <c r="S609" s="148" t="n"/>
      <c r="T609" s="148" t="n"/>
      <c r="U609" s="149">
        <f>IF(AND('Master Stock'!D609&lt;&gt;"",'Master Stock'!H609="OCCUPIED",ISNUMBER('Master Stock'!J609),'Master Stock'!K609=""),SUMPRODUCT(--('Master Stock'!$D$2:$D$1000&lt;&gt;""),--('Master Stock'!$H$2:$H$1000="OCCUPIED"),--ISNUMBER('Master Stock'!$J$2:$J$1000),--('Master Stock'!$K$2:$K$1000=""),--('Master Stock'!$J$2:$J$1000&lt;'Master Stock'!J609))+COUNTIFS('Master Stock'!$J$2:J609,'Master Stock'!J609,'Master Stock'!$D$2:D609,"&lt;&gt;",'Master Stock'!$H$2:H609,"OCCUPIED",'Master Stock'!$K$2:K609,""),"")</f>
        <v/>
      </c>
      <c r="V609" s="149">
        <f>IF(AND('Master Stock'!D609&lt;&gt;"",'Master Stock'!H609="OCCUPIED",ISNUMBER('Master Stock'!L609),'Master Stock'!L609&lt;TODAY()-30),SUMPRODUCT(--('Master Stock'!$D$2:$D$1000&lt;&gt;""),--('Master Stock'!$H$2:$H$1000="OCCUPIED"),--ISNUMBER('Master Stock'!$L$2:$L$1000),--('Master Stock'!$L$2:$L$1000&lt;TODAY()-30),--('Master Stock'!$L$2:$L$1000&lt;'Master Stock'!L609))+COUNTIFS('Master Stock'!$L$2:L609,'Master Stock'!L609,'Master Stock'!$D$2:D609,"&lt;&gt;",'Master Stock'!$H$2:H609,"OCCUPIED"),"")</f>
        <v/>
      </c>
      <c r="W609" s="149" t="n"/>
      <c r="X609" s="149" t="n"/>
      <c r="Y609" s="149" t="n"/>
      <c r="Z609" s="149" t="n"/>
    </row>
    <row r="610" ht="15.75" customHeight="1" s="236">
      <c r="A610" s="148" t="n"/>
      <c r="B610" s="148" t="n"/>
      <c r="C610" s="124" t="n"/>
      <c r="D610" s="148" t="n"/>
      <c r="E610" s="148" t="n"/>
      <c r="F610" s="148" t="n"/>
      <c r="G610" s="124" t="n"/>
      <c r="H610" s="148" t="n"/>
      <c r="I610" s="148" t="n"/>
      <c r="J610" s="148" t="n"/>
      <c r="K610" s="148" t="n"/>
      <c r="L610" s="148" t="n"/>
      <c r="M610" s="148" t="n"/>
      <c r="N610" s="148" t="n"/>
      <c r="O610" s="148" t="n"/>
      <c r="P610" s="148" t="n"/>
      <c r="Q610" s="148" t="n"/>
      <c r="R610" s="148" t="n"/>
      <c r="S610" s="148" t="n"/>
      <c r="T610" s="148" t="n"/>
      <c r="U610" s="149">
        <f>IF(AND('Master Stock'!D610&lt;&gt;"",'Master Stock'!H610="OCCUPIED",ISNUMBER('Master Stock'!J610),'Master Stock'!K610=""),SUMPRODUCT(--('Master Stock'!$D$2:$D$1000&lt;&gt;""),--('Master Stock'!$H$2:$H$1000="OCCUPIED"),--ISNUMBER('Master Stock'!$J$2:$J$1000),--('Master Stock'!$K$2:$K$1000=""),--('Master Stock'!$J$2:$J$1000&lt;'Master Stock'!J610))+COUNTIFS('Master Stock'!$J$2:J610,'Master Stock'!J610,'Master Stock'!$D$2:D610,"&lt;&gt;",'Master Stock'!$H$2:H610,"OCCUPIED",'Master Stock'!$K$2:K610,""),"")</f>
        <v/>
      </c>
      <c r="V610" s="149">
        <f>IF(AND('Master Stock'!D610&lt;&gt;"",'Master Stock'!H610="OCCUPIED",ISNUMBER('Master Stock'!L610),'Master Stock'!L610&lt;TODAY()-30),SUMPRODUCT(--('Master Stock'!$D$2:$D$1000&lt;&gt;""),--('Master Stock'!$H$2:$H$1000="OCCUPIED"),--ISNUMBER('Master Stock'!$L$2:$L$1000),--('Master Stock'!$L$2:$L$1000&lt;TODAY()-30),--('Master Stock'!$L$2:$L$1000&lt;'Master Stock'!L610))+COUNTIFS('Master Stock'!$L$2:L610,'Master Stock'!L610,'Master Stock'!$D$2:D610,"&lt;&gt;",'Master Stock'!$H$2:H610,"OCCUPIED"),"")</f>
        <v/>
      </c>
      <c r="W610" s="149" t="n"/>
      <c r="X610" s="149" t="n"/>
      <c r="Y610" s="149" t="n"/>
      <c r="Z610" s="149" t="n"/>
    </row>
    <row r="611" ht="15.75" customHeight="1" s="236">
      <c r="A611" s="148" t="n"/>
      <c r="B611" s="148" t="n"/>
      <c r="C611" s="124" t="n"/>
      <c r="D611" s="148" t="n"/>
      <c r="E611" s="148" t="n"/>
      <c r="F611" s="148" t="n"/>
      <c r="G611" s="124" t="n"/>
      <c r="H611" s="148" t="n"/>
      <c r="I611" s="148" t="n"/>
      <c r="J611" s="148" t="n"/>
      <c r="K611" s="148" t="n"/>
      <c r="L611" s="148" t="n"/>
      <c r="M611" s="148" t="n"/>
      <c r="N611" s="148" t="n"/>
      <c r="O611" s="148" t="n"/>
      <c r="P611" s="148" t="n"/>
      <c r="Q611" s="148" t="n"/>
      <c r="R611" s="148" t="n"/>
      <c r="S611" s="148" t="n"/>
      <c r="T611" s="148" t="n"/>
      <c r="U611" s="149">
        <f>IF(AND('Master Stock'!D611&lt;&gt;"",'Master Stock'!H611="OCCUPIED",ISNUMBER('Master Stock'!J611),'Master Stock'!K611=""),SUMPRODUCT(--('Master Stock'!$D$2:$D$1000&lt;&gt;""),--('Master Stock'!$H$2:$H$1000="OCCUPIED"),--ISNUMBER('Master Stock'!$J$2:$J$1000),--('Master Stock'!$K$2:$K$1000=""),--('Master Stock'!$J$2:$J$1000&lt;'Master Stock'!J611))+COUNTIFS('Master Stock'!$J$2:J611,'Master Stock'!J611,'Master Stock'!$D$2:D611,"&lt;&gt;",'Master Stock'!$H$2:H611,"OCCUPIED",'Master Stock'!$K$2:K611,""),"")</f>
        <v/>
      </c>
      <c r="V611" s="149">
        <f>IF(AND('Master Stock'!D611&lt;&gt;"",'Master Stock'!H611="OCCUPIED",ISNUMBER('Master Stock'!L611),'Master Stock'!L611&lt;TODAY()-30),SUMPRODUCT(--('Master Stock'!$D$2:$D$1000&lt;&gt;""),--('Master Stock'!$H$2:$H$1000="OCCUPIED"),--ISNUMBER('Master Stock'!$L$2:$L$1000),--('Master Stock'!$L$2:$L$1000&lt;TODAY()-30),--('Master Stock'!$L$2:$L$1000&lt;'Master Stock'!L611))+COUNTIFS('Master Stock'!$L$2:L611,'Master Stock'!L611,'Master Stock'!$D$2:D611,"&lt;&gt;",'Master Stock'!$H$2:H611,"OCCUPIED"),"")</f>
        <v/>
      </c>
      <c r="W611" s="149" t="n"/>
      <c r="X611" s="149" t="n"/>
      <c r="Y611" s="149" t="n"/>
      <c r="Z611" s="149" t="n"/>
    </row>
    <row r="612" ht="15.75" customHeight="1" s="236">
      <c r="A612" s="148" t="n"/>
      <c r="B612" s="148" t="n"/>
      <c r="C612" s="124" t="n"/>
      <c r="D612" s="148" t="n"/>
      <c r="E612" s="148" t="n"/>
      <c r="F612" s="148" t="n"/>
      <c r="G612" s="124" t="n"/>
      <c r="H612" s="148" t="n"/>
      <c r="I612" s="148" t="n"/>
      <c r="J612" s="148" t="n"/>
      <c r="K612" s="148" t="n"/>
      <c r="L612" s="148" t="n"/>
      <c r="M612" s="148" t="n"/>
      <c r="N612" s="148" t="n"/>
      <c r="O612" s="148" t="n"/>
      <c r="P612" s="148" t="n"/>
      <c r="Q612" s="148" t="n"/>
      <c r="R612" s="148" t="n"/>
      <c r="S612" s="148" t="n"/>
      <c r="T612" s="148" t="n"/>
      <c r="U612" s="149">
        <f>IF(AND('Master Stock'!D612&lt;&gt;"",'Master Stock'!H612="OCCUPIED",ISNUMBER('Master Stock'!J612),'Master Stock'!K612=""),SUMPRODUCT(--('Master Stock'!$D$2:$D$1000&lt;&gt;""),--('Master Stock'!$H$2:$H$1000="OCCUPIED"),--ISNUMBER('Master Stock'!$J$2:$J$1000),--('Master Stock'!$K$2:$K$1000=""),--('Master Stock'!$J$2:$J$1000&lt;'Master Stock'!J612))+COUNTIFS('Master Stock'!$J$2:J612,'Master Stock'!J612,'Master Stock'!$D$2:D612,"&lt;&gt;",'Master Stock'!$H$2:H612,"OCCUPIED",'Master Stock'!$K$2:K612,""),"")</f>
        <v/>
      </c>
      <c r="V612" s="149">
        <f>IF(AND('Master Stock'!D612&lt;&gt;"",'Master Stock'!H612="OCCUPIED",ISNUMBER('Master Stock'!L612),'Master Stock'!L612&lt;TODAY()-30),SUMPRODUCT(--('Master Stock'!$D$2:$D$1000&lt;&gt;""),--('Master Stock'!$H$2:$H$1000="OCCUPIED"),--ISNUMBER('Master Stock'!$L$2:$L$1000),--('Master Stock'!$L$2:$L$1000&lt;TODAY()-30),--('Master Stock'!$L$2:$L$1000&lt;'Master Stock'!L612))+COUNTIFS('Master Stock'!$L$2:L612,'Master Stock'!L612,'Master Stock'!$D$2:D612,"&lt;&gt;",'Master Stock'!$H$2:H612,"OCCUPIED"),"")</f>
        <v/>
      </c>
      <c r="W612" s="149" t="n"/>
      <c r="X612" s="149" t="n"/>
      <c r="Y612" s="149" t="n"/>
      <c r="Z612" s="149" t="n"/>
    </row>
    <row r="613" ht="15.75" customHeight="1" s="236">
      <c r="A613" s="148" t="n"/>
      <c r="B613" s="148" t="n"/>
      <c r="C613" s="124" t="n"/>
      <c r="D613" s="148" t="n"/>
      <c r="E613" s="148" t="n"/>
      <c r="F613" s="148" t="n"/>
      <c r="G613" s="124" t="n"/>
      <c r="H613" s="148" t="n"/>
      <c r="I613" s="148" t="n"/>
      <c r="J613" s="148" t="n"/>
      <c r="K613" s="148" t="n"/>
      <c r="L613" s="148" t="n"/>
      <c r="M613" s="148" t="n"/>
      <c r="N613" s="148" t="n"/>
      <c r="O613" s="148" t="n"/>
      <c r="P613" s="148" t="n"/>
      <c r="Q613" s="148" t="n"/>
      <c r="R613" s="148" t="n"/>
      <c r="S613" s="148" t="n"/>
      <c r="T613" s="148" t="n"/>
      <c r="U613" s="149">
        <f>IF(AND('Master Stock'!D613&lt;&gt;"",'Master Stock'!H613="OCCUPIED",ISNUMBER('Master Stock'!J613),'Master Stock'!K613=""),SUMPRODUCT(--('Master Stock'!$D$2:$D$1000&lt;&gt;""),--('Master Stock'!$H$2:$H$1000="OCCUPIED"),--ISNUMBER('Master Stock'!$J$2:$J$1000),--('Master Stock'!$K$2:$K$1000=""),--('Master Stock'!$J$2:$J$1000&lt;'Master Stock'!J613))+COUNTIFS('Master Stock'!$J$2:J613,'Master Stock'!J613,'Master Stock'!$D$2:D613,"&lt;&gt;",'Master Stock'!$H$2:H613,"OCCUPIED",'Master Stock'!$K$2:K613,""),"")</f>
        <v/>
      </c>
      <c r="V613" s="149">
        <f>IF(AND('Master Stock'!D613&lt;&gt;"",'Master Stock'!H613="OCCUPIED",ISNUMBER('Master Stock'!L613),'Master Stock'!L613&lt;TODAY()-30),SUMPRODUCT(--('Master Stock'!$D$2:$D$1000&lt;&gt;""),--('Master Stock'!$H$2:$H$1000="OCCUPIED"),--ISNUMBER('Master Stock'!$L$2:$L$1000),--('Master Stock'!$L$2:$L$1000&lt;TODAY()-30),--('Master Stock'!$L$2:$L$1000&lt;'Master Stock'!L613))+COUNTIFS('Master Stock'!$L$2:L613,'Master Stock'!L613,'Master Stock'!$D$2:D613,"&lt;&gt;",'Master Stock'!$H$2:H613,"OCCUPIED"),"")</f>
        <v/>
      </c>
      <c r="W613" s="149" t="n"/>
      <c r="X613" s="149" t="n"/>
      <c r="Y613" s="149" t="n"/>
      <c r="Z613" s="149" t="n"/>
    </row>
    <row r="614" ht="15.75" customHeight="1" s="236">
      <c r="A614" s="148" t="n"/>
      <c r="B614" s="148" t="n"/>
      <c r="C614" s="124" t="n"/>
      <c r="D614" s="148" t="n"/>
      <c r="E614" s="148" t="n"/>
      <c r="F614" s="148" t="n"/>
      <c r="G614" s="124" t="n"/>
      <c r="H614" s="148" t="n"/>
      <c r="I614" s="148" t="n"/>
      <c r="J614" s="148" t="n"/>
      <c r="K614" s="148" t="n"/>
      <c r="L614" s="148" t="n"/>
      <c r="M614" s="148" t="n"/>
      <c r="N614" s="148" t="n"/>
      <c r="O614" s="148" t="n"/>
      <c r="P614" s="148" t="n"/>
      <c r="Q614" s="148" t="n"/>
      <c r="R614" s="148" t="n"/>
      <c r="S614" s="148" t="n"/>
      <c r="T614" s="148" t="n"/>
      <c r="U614" s="149">
        <f>IF(AND('Master Stock'!D614&lt;&gt;"",'Master Stock'!H614="OCCUPIED",ISNUMBER('Master Stock'!J614),'Master Stock'!K614=""),SUMPRODUCT(--('Master Stock'!$D$2:$D$1000&lt;&gt;""),--('Master Stock'!$H$2:$H$1000="OCCUPIED"),--ISNUMBER('Master Stock'!$J$2:$J$1000),--('Master Stock'!$K$2:$K$1000=""),--('Master Stock'!$J$2:$J$1000&lt;'Master Stock'!J614))+COUNTIFS('Master Stock'!$J$2:J614,'Master Stock'!J614,'Master Stock'!$D$2:D614,"&lt;&gt;",'Master Stock'!$H$2:H614,"OCCUPIED",'Master Stock'!$K$2:K614,""),"")</f>
        <v/>
      </c>
      <c r="V614" s="149">
        <f>IF(AND('Master Stock'!D614&lt;&gt;"",'Master Stock'!H614="OCCUPIED",ISNUMBER('Master Stock'!L614),'Master Stock'!L614&lt;TODAY()-30),SUMPRODUCT(--('Master Stock'!$D$2:$D$1000&lt;&gt;""),--('Master Stock'!$H$2:$H$1000="OCCUPIED"),--ISNUMBER('Master Stock'!$L$2:$L$1000),--('Master Stock'!$L$2:$L$1000&lt;TODAY()-30),--('Master Stock'!$L$2:$L$1000&lt;'Master Stock'!L614))+COUNTIFS('Master Stock'!$L$2:L614,'Master Stock'!L614,'Master Stock'!$D$2:D614,"&lt;&gt;",'Master Stock'!$H$2:H614,"OCCUPIED"),"")</f>
        <v/>
      </c>
      <c r="W614" s="149" t="n"/>
      <c r="X614" s="149" t="n"/>
      <c r="Y614" s="149" t="n"/>
      <c r="Z614" s="149" t="n"/>
    </row>
    <row r="615" ht="15.75" customHeight="1" s="236">
      <c r="A615" s="148" t="n"/>
      <c r="B615" s="148" t="n"/>
      <c r="C615" s="124" t="n"/>
      <c r="D615" s="148" t="n"/>
      <c r="E615" s="148" t="n"/>
      <c r="F615" s="148" t="n"/>
      <c r="G615" s="124" t="n"/>
      <c r="H615" s="148" t="n"/>
      <c r="I615" s="148" t="n"/>
      <c r="J615" s="148" t="n"/>
      <c r="K615" s="148" t="n"/>
      <c r="L615" s="148" t="n"/>
      <c r="M615" s="148" t="n"/>
      <c r="N615" s="148" t="n"/>
      <c r="O615" s="148" t="n"/>
      <c r="P615" s="148" t="n"/>
      <c r="Q615" s="148" t="n"/>
      <c r="R615" s="148" t="n"/>
      <c r="S615" s="148" t="n"/>
      <c r="T615" s="148" t="n"/>
      <c r="U615" s="149">
        <f>IF(AND('Master Stock'!D615&lt;&gt;"",'Master Stock'!H615="OCCUPIED",ISNUMBER('Master Stock'!J615),'Master Stock'!K615=""),SUMPRODUCT(--('Master Stock'!$D$2:$D$1000&lt;&gt;""),--('Master Stock'!$H$2:$H$1000="OCCUPIED"),--ISNUMBER('Master Stock'!$J$2:$J$1000),--('Master Stock'!$K$2:$K$1000=""),--('Master Stock'!$J$2:$J$1000&lt;'Master Stock'!J615))+COUNTIFS('Master Stock'!$J$2:J615,'Master Stock'!J615,'Master Stock'!$D$2:D615,"&lt;&gt;",'Master Stock'!$H$2:H615,"OCCUPIED",'Master Stock'!$K$2:K615,""),"")</f>
        <v/>
      </c>
      <c r="V615" s="149">
        <f>IF(AND('Master Stock'!D615&lt;&gt;"",'Master Stock'!H615="OCCUPIED",ISNUMBER('Master Stock'!L615),'Master Stock'!L615&lt;TODAY()-30),SUMPRODUCT(--('Master Stock'!$D$2:$D$1000&lt;&gt;""),--('Master Stock'!$H$2:$H$1000="OCCUPIED"),--ISNUMBER('Master Stock'!$L$2:$L$1000),--('Master Stock'!$L$2:$L$1000&lt;TODAY()-30),--('Master Stock'!$L$2:$L$1000&lt;'Master Stock'!L615))+COUNTIFS('Master Stock'!$L$2:L615,'Master Stock'!L615,'Master Stock'!$D$2:D615,"&lt;&gt;",'Master Stock'!$H$2:H615,"OCCUPIED"),"")</f>
        <v/>
      </c>
      <c r="W615" s="149" t="n"/>
      <c r="X615" s="149" t="n"/>
      <c r="Y615" s="149" t="n"/>
      <c r="Z615" s="149" t="n"/>
    </row>
    <row r="616" ht="15.75" customHeight="1" s="236">
      <c r="A616" s="148" t="n"/>
      <c r="B616" s="148" t="n"/>
      <c r="C616" s="124" t="n"/>
      <c r="D616" s="148" t="n"/>
      <c r="E616" s="148" t="n"/>
      <c r="F616" s="148" t="n"/>
      <c r="G616" s="124" t="n"/>
      <c r="H616" s="148" t="n"/>
      <c r="I616" s="148" t="n"/>
      <c r="J616" s="148" t="n"/>
      <c r="K616" s="148" t="n"/>
      <c r="L616" s="148" t="n"/>
      <c r="M616" s="148" t="n"/>
      <c r="N616" s="148" t="n"/>
      <c r="O616" s="148" t="n"/>
      <c r="P616" s="148" t="n"/>
      <c r="Q616" s="148" t="n"/>
      <c r="R616" s="148" t="n"/>
      <c r="S616" s="148" t="n"/>
      <c r="T616" s="148" t="n"/>
      <c r="U616" s="149">
        <f>IF(AND('Master Stock'!D616&lt;&gt;"",'Master Stock'!H616="OCCUPIED",ISNUMBER('Master Stock'!J616),'Master Stock'!K616=""),SUMPRODUCT(--('Master Stock'!$D$2:$D$1000&lt;&gt;""),--('Master Stock'!$H$2:$H$1000="OCCUPIED"),--ISNUMBER('Master Stock'!$J$2:$J$1000),--('Master Stock'!$K$2:$K$1000=""),--('Master Stock'!$J$2:$J$1000&lt;'Master Stock'!J616))+COUNTIFS('Master Stock'!$J$2:J616,'Master Stock'!J616,'Master Stock'!$D$2:D616,"&lt;&gt;",'Master Stock'!$H$2:H616,"OCCUPIED",'Master Stock'!$K$2:K616,""),"")</f>
        <v/>
      </c>
      <c r="V616" s="149">
        <f>IF(AND('Master Stock'!D616&lt;&gt;"",'Master Stock'!H616="OCCUPIED",ISNUMBER('Master Stock'!L616),'Master Stock'!L616&lt;TODAY()-30),SUMPRODUCT(--('Master Stock'!$D$2:$D$1000&lt;&gt;""),--('Master Stock'!$H$2:$H$1000="OCCUPIED"),--ISNUMBER('Master Stock'!$L$2:$L$1000),--('Master Stock'!$L$2:$L$1000&lt;TODAY()-30),--('Master Stock'!$L$2:$L$1000&lt;'Master Stock'!L616))+COUNTIFS('Master Stock'!$L$2:L616,'Master Stock'!L616,'Master Stock'!$D$2:D616,"&lt;&gt;",'Master Stock'!$H$2:H616,"OCCUPIED"),"")</f>
        <v/>
      </c>
      <c r="W616" s="149" t="n"/>
      <c r="X616" s="149" t="n"/>
      <c r="Y616" s="149" t="n"/>
      <c r="Z616" s="149" t="n"/>
    </row>
    <row r="617" ht="15.75" customHeight="1" s="236">
      <c r="A617" s="148" t="n"/>
      <c r="B617" s="148" t="n"/>
      <c r="C617" s="124" t="n"/>
      <c r="D617" s="148" t="n"/>
      <c r="E617" s="148" t="n"/>
      <c r="F617" s="148" t="n"/>
      <c r="G617" s="124" t="n"/>
      <c r="H617" s="148" t="n"/>
      <c r="I617" s="148" t="n"/>
      <c r="J617" s="148" t="n"/>
      <c r="K617" s="148" t="n"/>
      <c r="L617" s="148" t="n"/>
      <c r="M617" s="148" t="n"/>
      <c r="N617" s="148" t="n"/>
      <c r="O617" s="148" t="n"/>
      <c r="P617" s="148" t="n"/>
      <c r="Q617" s="148" t="n"/>
      <c r="R617" s="148" t="n"/>
      <c r="S617" s="148" t="n"/>
      <c r="T617" s="148" t="n"/>
      <c r="U617" s="149">
        <f>IF(AND('Master Stock'!D617&lt;&gt;"",'Master Stock'!H617="OCCUPIED",ISNUMBER('Master Stock'!J617),'Master Stock'!K617=""),SUMPRODUCT(--('Master Stock'!$D$2:$D$1000&lt;&gt;""),--('Master Stock'!$H$2:$H$1000="OCCUPIED"),--ISNUMBER('Master Stock'!$J$2:$J$1000),--('Master Stock'!$K$2:$K$1000=""),--('Master Stock'!$J$2:$J$1000&lt;'Master Stock'!J617))+COUNTIFS('Master Stock'!$J$2:J617,'Master Stock'!J617,'Master Stock'!$D$2:D617,"&lt;&gt;",'Master Stock'!$H$2:H617,"OCCUPIED",'Master Stock'!$K$2:K617,""),"")</f>
        <v/>
      </c>
      <c r="V617" s="149">
        <f>IF(AND('Master Stock'!D617&lt;&gt;"",'Master Stock'!H617="OCCUPIED",ISNUMBER('Master Stock'!L617),'Master Stock'!L617&lt;TODAY()-30),SUMPRODUCT(--('Master Stock'!$D$2:$D$1000&lt;&gt;""),--('Master Stock'!$H$2:$H$1000="OCCUPIED"),--ISNUMBER('Master Stock'!$L$2:$L$1000),--('Master Stock'!$L$2:$L$1000&lt;TODAY()-30),--('Master Stock'!$L$2:$L$1000&lt;'Master Stock'!L617))+COUNTIFS('Master Stock'!$L$2:L617,'Master Stock'!L617,'Master Stock'!$D$2:D617,"&lt;&gt;",'Master Stock'!$H$2:H617,"OCCUPIED"),"")</f>
        <v/>
      </c>
      <c r="W617" s="149" t="n"/>
      <c r="X617" s="149" t="n"/>
      <c r="Y617" s="149" t="n"/>
      <c r="Z617" s="149" t="n"/>
    </row>
    <row r="618" ht="15.75" customHeight="1" s="236">
      <c r="A618" s="148" t="n"/>
      <c r="B618" s="148" t="n"/>
      <c r="C618" s="124" t="n"/>
      <c r="D618" s="148" t="n"/>
      <c r="E618" s="148" t="n"/>
      <c r="F618" s="148" t="n"/>
      <c r="G618" s="124" t="n"/>
      <c r="H618" s="148" t="n"/>
      <c r="I618" s="148" t="n"/>
      <c r="J618" s="148" t="n"/>
      <c r="K618" s="148" t="n"/>
      <c r="L618" s="148" t="n"/>
      <c r="M618" s="148" t="n"/>
      <c r="N618" s="148" t="n"/>
      <c r="O618" s="148" t="n"/>
      <c r="P618" s="148" t="n"/>
      <c r="Q618" s="148" t="n"/>
      <c r="R618" s="148" t="n"/>
      <c r="S618" s="148" t="n"/>
      <c r="T618" s="148" t="n"/>
      <c r="U618" s="149">
        <f>IF(AND('Master Stock'!D618&lt;&gt;"",'Master Stock'!H618="OCCUPIED",ISNUMBER('Master Stock'!J618),'Master Stock'!K618=""),SUMPRODUCT(--('Master Stock'!$D$2:$D$1000&lt;&gt;""),--('Master Stock'!$H$2:$H$1000="OCCUPIED"),--ISNUMBER('Master Stock'!$J$2:$J$1000),--('Master Stock'!$K$2:$K$1000=""),--('Master Stock'!$J$2:$J$1000&lt;'Master Stock'!J618))+COUNTIFS('Master Stock'!$J$2:J618,'Master Stock'!J618,'Master Stock'!$D$2:D618,"&lt;&gt;",'Master Stock'!$H$2:H618,"OCCUPIED",'Master Stock'!$K$2:K618,""),"")</f>
        <v/>
      </c>
      <c r="V618" s="149">
        <f>IF(AND('Master Stock'!D618&lt;&gt;"",'Master Stock'!H618="OCCUPIED",ISNUMBER('Master Stock'!L618),'Master Stock'!L618&lt;TODAY()-30),SUMPRODUCT(--('Master Stock'!$D$2:$D$1000&lt;&gt;""),--('Master Stock'!$H$2:$H$1000="OCCUPIED"),--ISNUMBER('Master Stock'!$L$2:$L$1000),--('Master Stock'!$L$2:$L$1000&lt;TODAY()-30),--('Master Stock'!$L$2:$L$1000&lt;'Master Stock'!L618))+COUNTIFS('Master Stock'!$L$2:L618,'Master Stock'!L618,'Master Stock'!$D$2:D618,"&lt;&gt;",'Master Stock'!$H$2:H618,"OCCUPIED"),"")</f>
        <v/>
      </c>
      <c r="W618" s="149" t="n"/>
      <c r="X618" s="149" t="n"/>
      <c r="Y618" s="149" t="n"/>
      <c r="Z618" s="149" t="n"/>
    </row>
    <row r="619" ht="15.75" customHeight="1" s="236">
      <c r="A619" s="148" t="n"/>
      <c r="B619" s="148" t="n"/>
      <c r="C619" s="124" t="n"/>
      <c r="D619" s="148" t="n"/>
      <c r="E619" s="148" t="n"/>
      <c r="F619" s="148" t="n"/>
      <c r="G619" s="124" t="n"/>
      <c r="H619" s="148" t="n"/>
      <c r="I619" s="148" t="n"/>
      <c r="J619" s="148" t="n"/>
      <c r="K619" s="148" t="n"/>
      <c r="L619" s="148" t="n"/>
      <c r="M619" s="148" t="n"/>
      <c r="N619" s="148" t="n"/>
      <c r="O619" s="148" t="n"/>
      <c r="P619" s="148" t="n"/>
      <c r="Q619" s="148" t="n"/>
      <c r="R619" s="148" t="n"/>
      <c r="S619" s="148" t="n"/>
      <c r="T619" s="148" t="n"/>
      <c r="U619" s="149">
        <f>IF(AND('Master Stock'!D619&lt;&gt;"",'Master Stock'!H619="OCCUPIED",ISNUMBER('Master Stock'!J619),'Master Stock'!K619=""),SUMPRODUCT(--('Master Stock'!$D$2:$D$1000&lt;&gt;""),--('Master Stock'!$H$2:$H$1000="OCCUPIED"),--ISNUMBER('Master Stock'!$J$2:$J$1000),--('Master Stock'!$K$2:$K$1000=""),--('Master Stock'!$J$2:$J$1000&lt;'Master Stock'!J619))+COUNTIFS('Master Stock'!$J$2:J619,'Master Stock'!J619,'Master Stock'!$D$2:D619,"&lt;&gt;",'Master Stock'!$H$2:H619,"OCCUPIED",'Master Stock'!$K$2:K619,""),"")</f>
        <v/>
      </c>
      <c r="V619" s="149">
        <f>IF(AND('Master Stock'!D619&lt;&gt;"",'Master Stock'!H619="OCCUPIED",ISNUMBER('Master Stock'!L619),'Master Stock'!L619&lt;TODAY()-30),SUMPRODUCT(--('Master Stock'!$D$2:$D$1000&lt;&gt;""),--('Master Stock'!$H$2:$H$1000="OCCUPIED"),--ISNUMBER('Master Stock'!$L$2:$L$1000),--('Master Stock'!$L$2:$L$1000&lt;TODAY()-30),--('Master Stock'!$L$2:$L$1000&lt;'Master Stock'!L619))+COUNTIFS('Master Stock'!$L$2:L619,'Master Stock'!L619,'Master Stock'!$D$2:D619,"&lt;&gt;",'Master Stock'!$H$2:H619,"OCCUPIED"),"")</f>
        <v/>
      </c>
      <c r="W619" s="149" t="n"/>
      <c r="X619" s="149" t="n"/>
      <c r="Y619" s="149" t="n"/>
      <c r="Z619" s="149" t="n"/>
    </row>
    <row r="620" ht="15.75" customHeight="1" s="236">
      <c r="A620" s="148" t="n"/>
      <c r="B620" s="148" t="n"/>
      <c r="C620" s="124" t="n"/>
      <c r="D620" s="148" t="n"/>
      <c r="E620" s="148" t="n"/>
      <c r="F620" s="148" t="n"/>
      <c r="G620" s="124" t="n"/>
      <c r="H620" s="148" t="n"/>
      <c r="I620" s="148" t="n"/>
      <c r="J620" s="148" t="n"/>
      <c r="K620" s="148" t="n"/>
      <c r="L620" s="148" t="n"/>
      <c r="M620" s="148" t="n"/>
      <c r="N620" s="148" t="n"/>
      <c r="O620" s="148" t="n"/>
      <c r="P620" s="148" t="n"/>
      <c r="Q620" s="148" t="n"/>
      <c r="R620" s="148" t="n"/>
      <c r="S620" s="148" t="n"/>
      <c r="T620" s="148" t="n"/>
      <c r="U620" s="149">
        <f>IF(AND('Master Stock'!D620&lt;&gt;"",'Master Stock'!H620="OCCUPIED",ISNUMBER('Master Stock'!J620),'Master Stock'!K620=""),SUMPRODUCT(--('Master Stock'!$D$2:$D$1000&lt;&gt;""),--('Master Stock'!$H$2:$H$1000="OCCUPIED"),--ISNUMBER('Master Stock'!$J$2:$J$1000),--('Master Stock'!$K$2:$K$1000=""),--('Master Stock'!$J$2:$J$1000&lt;'Master Stock'!J620))+COUNTIFS('Master Stock'!$J$2:J620,'Master Stock'!J620,'Master Stock'!$D$2:D620,"&lt;&gt;",'Master Stock'!$H$2:H620,"OCCUPIED",'Master Stock'!$K$2:K620,""),"")</f>
        <v/>
      </c>
      <c r="V620" s="149">
        <f>IF(AND('Master Stock'!D620&lt;&gt;"",'Master Stock'!H620="OCCUPIED",ISNUMBER('Master Stock'!L620),'Master Stock'!L620&lt;TODAY()-30),SUMPRODUCT(--('Master Stock'!$D$2:$D$1000&lt;&gt;""),--('Master Stock'!$H$2:$H$1000="OCCUPIED"),--ISNUMBER('Master Stock'!$L$2:$L$1000),--('Master Stock'!$L$2:$L$1000&lt;TODAY()-30),--('Master Stock'!$L$2:$L$1000&lt;'Master Stock'!L620))+COUNTIFS('Master Stock'!$L$2:L620,'Master Stock'!L620,'Master Stock'!$D$2:D620,"&lt;&gt;",'Master Stock'!$H$2:H620,"OCCUPIED"),"")</f>
        <v/>
      </c>
      <c r="W620" s="149" t="n"/>
      <c r="X620" s="149" t="n"/>
      <c r="Y620" s="149" t="n"/>
      <c r="Z620" s="149" t="n"/>
    </row>
    <row r="621" ht="15.75" customHeight="1" s="236">
      <c r="A621" s="148" t="n"/>
      <c r="B621" s="148" t="n"/>
      <c r="C621" s="124" t="n"/>
      <c r="D621" s="148" t="n"/>
      <c r="E621" s="148" t="n"/>
      <c r="F621" s="148" t="n"/>
      <c r="G621" s="124" t="n"/>
      <c r="H621" s="148" t="n"/>
      <c r="I621" s="148" t="n"/>
      <c r="J621" s="148" t="n"/>
      <c r="K621" s="148" t="n"/>
      <c r="L621" s="148" t="n"/>
      <c r="M621" s="148" t="n"/>
      <c r="N621" s="148" t="n"/>
      <c r="O621" s="148" t="n"/>
      <c r="P621" s="148" t="n"/>
      <c r="Q621" s="148" t="n"/>
      <c r="R621" s="148" t="n"/>
      <c r="S621" s="148" t="n"/>
      <c r="T621" s="148" t="n"/>
      <c r="U621" s="149">
        <f>IF(AND('Master Stock'!D621&lt;&gt;"",'Master Stock'!H621="OCCUPIED",ISNUMBER('Master Stock'!J621),'Master Stock'!K621=""),SUMPRODUCT(--('Master Stock'!$D$2:$D$1000&lt;&gt;""),--('Master Stock'!$H$2:$H$1000="OCCUPIED"),--ISNUMBER('Master Stock'!$J$2:$J$1000),--('Master Stock'!$K$2:$K$1000=""),--('Master Stock'!$J$2:$J$1000&lt;'Master Stock'!J621))+COUNTIFS('Master Stock'!$J$2:J621,'Master Stock'!J621,'Master Stock'!$D$2:D621,"&lt;&gt;",'Master Stock'!$H$2:H621,"OCCUPIED",'Master Stock'!$K$2:K621,""),"")</f>
        <v/>
      </c>
      <c r="V621" s="149">
        <f>IF(AND('Master Stock'!D621&lt;&gt;"",'Master Stock'!H621="OCCUPIED",ISNUMBER('Master Stock'!L621),'Master Stock'!L621&lt;TODAY()-30),SUMPRODUCT(--('Master Stock'!$D$2:$D$1000&lt;&gt;""),--('Master Stock'!$H$2:$H$1000="OCCUPIED"),--ISNUMBER('Master Stock'!$L$2:$L$1000),--('Master Stock'!$L$2:$L$1000&lt;TODAY()-30),--('Master Stock'!$L$2:$L$1000&lt;'Master Stock'!L621))+COUNTIFS('Master Stock'!$L$2:L621,'Master Stock'!L621,'Master Stock'!$D$2:D621,"&lt;&gt;",'Master Stock'!$H$2:H621,"OCCUPIED"),"")</f>
        <v/>
      </c>
      <c r="W621" s="149" t="n"/>
      <c r="X621" s="149" t="n"/>
      <c r="Y621" s="149" t="n"/>
      <c r="Z621" s="149" t="n"/>
    </row>
    <row r="622" ht="15.75" customHeight="1" s="236">
      <c r="A622" s="148" t="n"/>
      <c r="B622" s="148" t="n"/>
      <c r="C622" s="124" t="n"/>
      <c r="D622" s="148" t="n"/>
      <c r="E622" s="148" t="n"/>
      <c r="F622" s="148" t="n"/>
      <c r="G622" s="124" t="n"/>
      <c r="H622" s="148" t="n"/>
      <c r="I622" s="148" t="n"/>
      <c r="J622" s="148" t="n"/>
      <c r="K622" s="148" t="n"/>
      <c r="L622" s="148" t="n"/>
      <c r="M622" s="148" t="n"/>
      <c r="N622" s="148" t="n"/>
      <c r="O622" s="148" t="n"/>
      <c r="P622" s="148" t="n"/>
      <c r="Q622" s="148" t="n"/>
      <c r="R622" s="148" t="n"/>
      <c r="S622" s="148" t="n"/>
      <c r="T622" s="148" t="n"/>
      <c r="U622" s="149">
        <f>IF(AND('Master Stock'!D622&lt;&gt;"",'Master Stock'!H622="OCCUPIED",ISNUMBER('Master Stock'!J622),'Master Stock'!K622=""),SUMPRODUCT(--('Master Stock'!$D$2:$D$1000&lt;&gt;""),--('Master Stock'!$H$2:$H$1000="OCCUPIED"),--ISNUMBER('Master Stock'!$J$2:$J$1000),--('Master Stock'!$K$2:$K$1000=""),--('Master Stock'!$J$2:$J$1000&lt;'Master Stock'!J622))+COUNTIFS('Master Stock'!$J$2:J622,'Master Stock'!J622,'Master Stock'!$D$2:D622,"&lt;&gt;",'Master Stock'!$H$2:H622,"OCCUPIED",'Master Stock'!$K$2:K622,""),"")</f>
        <v/>
      </c>
      <c r="V622" s="149">
        <f>IF(AND('Master Stock'!D622&lt;&gt;"",'Master Stock'!H622="OCCUPIED",ISNUMBER('Master Stock'!L622),'Master Stock'!L622&lt;TODAY()-30),SUMPRODUCT(--('Master Stock'!$D$2:$D$1000&lt;&gt;""),--('Master Stock'!$H$2:$H$1000="OCCUPIED"),--ISNUMBER('Master Stock'!$L$2:$L$1000),--('Master Stock'!$L$2:$L$1000&lt;TODAY()-30),--('Master Stock'!$L$2:$L$1000&lt;'Master Stock'!L622))+COUNTIFS('Master Stock'!$L$2:L622,'Master Stock'!L622,'Master Stock'!$D$2:D622,"&lt;&gt;",'Master Stock'!$H$2:H622,"OCCUPIED"),"")</f>
        <v/>
      </c>
      <c r="W622" s="149" t="n"/>
      <c r="X622" s="149" t="n"/>
      <c r="Y622" s="149" t="n"/>
      <c r="Z622" s="149" t="n"/>
    </row>
    <row r="623" ht="15.75" customHeight="1" s="236">
      <c r="A623" s="148" t="n"/>
      <c r="B623" s="148" t="n"/>
      <c r="C623" s="124" t="n"/>
      <c r="D623" s="148" t="n"/>
      <c r="E623" s="148" t="n"/>
      <c r="F623" s="148" t="n"/>
      <c r="G623" s="124" t="n"/>
      <c r="H623" s="148" t="n"/>
      <c r="I623" s="148" t="n"/>
      <c r="J623" s="148" t="n"/>
      <c r="K623" s="148" t="n"/>
      <c r="L623" s="148" t="n"/>
      <c r="M623" s="148" t="n"/>
      <c r="N623" s="148" t="n"/>
      <c r="O623" s="148" t="n"/>
      <c r="P623" s="148" t="n"/>
      <c r="Q623" s="148" t="n"/>
      <c r="R623" s="148" t="n"/>
      <c r="S623" s="148" t="n"/>
      <c r="T623" s="148" t="n"/>
      <c r="U623" s="149">
        <f>IF(AND('Master Stock'!D623&lt;&gt;"",'Master Stock'!H623="OCCUPIED",ISNUMBER('Master Stock'!J623),'Master Stock'!K623=""),SUMPRODUCT(--('Master Stock'!$D$2:$D$1000&lt;&gt;""),--('Master Stock'!$H$2:$H$1000="OCCUPIED"),--ISNUMBER('Master Stock'!$J$2:$J$1000),--('Master Stock'!$K$2:$K$1000=""),--('Master Stock'!$J$2:$J$1000&lt;'Master Stock'!J623))+COUNTIFS('Master Stock'!$J$2:J623,'Master Stock'!J623,'Master Stock'!$D$2:D623,"&lt;&gt;",'Master Stock'!$H$2:H623,"OCCUPIED",'Master Stock'!$K$2:K623,""),"")</f>
        <v/>
      </c>
      <c r="V623" s="149">
        <f>IF(AND('Master Stock'!D623&lt;&gt;"",'Master Stock'!H623="OCCUPIED",ISNUMBER('Master Stock'!L623),'Master Stock'!L623&lt;TODAY()-30),SUMPRODUCT(--('Master Stock'!$D$2:$D$1000&lt;&gt;""),--('Master Stock'!$H$2:$H$1000="OCCUPIED"),--ISNUMBER('Master Stock'!$L$2:$L$1000),--('Master Stock'!$L$2:$L$1000&lt;TODAY()-30),--('Master Stock'!$L$2:$L$1000&lt;'Master Stock'!L623))+COUNTIFS('Master Stock'!$L$2:L623,'Master Stock'!L623,'Master Stock'!$D$2:D623,"&lt;&gt;",'Master Stock'!$H$2:H623,"OCCUPIED"),"")</f>
        <v/>
      </c>
      <c r="W623" s="149" t="n"/>
      <c r="X623" s="149" t="n"/>
      <c r="Y623" s="149" t="n"/>
      <c r="Z623" s="149" t="n"/>
    </row>
    <row r="624" ht="15.75" customHeight="1" s="236">
      <c r="A624" s="148" t="n"/>
      <c r="B624" s="148" t="n"/>
      <c r="C624" s="124" t="n"/>
      <c r="D624" s="148" t="n"/>
      <c r="E624" s="148" t="n"/>
      <c r="F624" s="148" t="n"/>
      <c r="G624" s="124" t="n"/>
      <c r="H624" s="148" t="n"/>
      <c r="I624" s="148" t="n"/>
      <c r="J624" s="148" t="n"/>
      <c r="K624" s="148" t="n"/>
      <c r="L624" s="148" t="n"/>
      <c r="M624" s="148" t="n"/>
      <c r="N624" s="148" t="n"/>
      <c r="O624" s="148" t="n"/>
      <c r="P624" s="148" t="n"/>
      <c r="Q624" s="148" t="n"/>
      <c r="R624" s="148" t="n"/>
      <c r="S624" s="148" t="n"/>
      <c r="T624" s="148" t="n"/>
      <c r="U624" s="149">
        <f>IF(AND('Master Stock'!D624&lt;&gt;"",'Master Stock'!H624="OCCUPIED",ISNUMBER('Master Stock'!J624),'Master Stock'!K624=""),SUMPRODUCT(--('Master Stock'!$D$2:$D$1000&lt;&gt;""),--('Master Stock'!$H$2:$H$1000="OCCUPIED"),--ISNUMBER('Master Stock'!$J$2:$J$1000),--('Master Stock'!$K$2:$K$1000=""),--('Master Stock'!$J$2:$J$1000&lt;'Master Stock'!J624))+COUNTIFS('Master Stock'!$J$2:J624,'Master Stock'!J624,'Master Stock'!$D$2:D624,"&lt;&gt;",'Master Stock'!$H$2:H624,"OCCUPIED",'Master Stock'!$K$2:K624,""),"")</f>
        <v/>
      </c>
      <c r="V624" s="149">
        <f>IF(AND('Master Stock'!D624&lt;&gt;"",'Master Stock'!H624="OCCUPIED",ISNUMBER('Master Stock'!L624),'Master Stock'!L624&lt;TODAY()-30),SUMPRODUCT(--('Master Stock'!$D$2:$D$1000&lt;&gt;""),--('Master Stock'!$H$2:$H$1000="OCCUPIED"),--ISNUMBER('Master Stock'!$L$2:$L$1000),--('Master Stock'!$L$2:$L$1000&lt;TODAY()-30),--('Master Stock'!$L$2:$L$1000&lt;'Master Stock'!L624))+COUNTIFS('Master Stock'!$L$2:L624,'Master Stock'!L624,'Master Stock'!$D$2:D624,"&lt;&gt;",'Master Stock'!$H$2:H624,"OCCUPIED"),"")</f>
        <v/>
      </c>
      <c r="W624" s="149" t="n"/>
      <c r="X624" s="149" t="n"/>
      <c r="Y624" s="149" t="n"/>
      <c r="Z624" s="149" t="n"/>
    </row>
    <row r="625" ht="15.75" customHeight="1" s="236">
      <c r="A625" s="148" t="n"/>
      <c r="B625" s="148" t="n"/>
      <c r="C625" s="124" t="n"/>
      <c r="D625" s="148" t="n"/>
      <c r="E625" s="148" t="n"/>
      <c r="F625" s="148" t="n"/>
      <c r="G625" s="124" t="n"/>
      <c r="H625" s="148" t="n"/>
      <c r="I625" s="148" t="n"/>
      <c r="J625" s="148" t="n"/>
      <c r="K625" s="148" t="n"/>
      <c r="L625" s="148" t="n"/>
      <c r="M625" s="148" t="n"/>
      <c r="N625" s="148" t="n"/>
      <c r="O625" s="148" t="n"/>
      <c r="P625" s="148" t="n"/>
      <c r="Q625" s="148" t="n"/>
      <c r="R625" s="148" t="n"/>
      <c r="S625" s="148" t="n"/>
      <c r="T625" s="148" t="n"/>
      <c r="U625" s="149">
        <f>IF(AND('Master Stock'!D625&lt;&gt;"",'Master Stock'!H625="OCCUPIED",ISNUMBER('Master Stock'!J625),'Master Stock'!K625=""),SUMPRODUCT(--('Master Stock'!$D$2:$D$1000&lt;&gt;""),--('Master Stock'!$H$2:$H$1000="OCCUPIED"),--ISNUMBER('Master Stock'!$J$2:$J$1000),--('Master Stock'!$K$2:$K$1000=""),--('Master Stock'!$J$2:$J$1000&lt;'Master Stock'!J625))+COUNTIFS('Master Stock'!$J$2:J625,'Master Stock'!J625,'Master Stock'!$D$2:D625,"&lt;&gt;",'Master Stock'!$H$2:H625,"OCCUPIED",'Master Stock'!$K$2:K625,""),"")</f>
        <v/>
      </c>
      <c r="V625" s="149">
        <f>IF(AND('Master Stock'!D625&lt;&gt;"",'Master Stock'!H625="OCCUPIED",ISNUMBER('Master Stock'!L625),'Master Stock'!L625&lt;TODAY()-30),SUMPRODUCT(--('Master Stock'!$D$2:$D$1000&lt;&gt;""),--('Master Stock'!$H$2:$H$1000="OCCUPIED"),--ISNUMBER('Master Stock'!$L$2:$L$1000),--('Master Stock'!$L$2:$L$1000&lt;TODAY()-30),--('Master Stock'!$L$2:$L$1000&lt;'Master Stock'!L625))+COUNTIFS('Master Stock'!$L$2:L625,'Master Stock'!L625,'Master Stock'!$D$2:D625,"&lt;&gt;",'Master Stock'!$H$2:H625,"OCCUPIED"),"")</f>
        <v/>
      </c>
      <c r="W625" s="149" t="n"/>
      <c r="X625" s="149" t="n"/>
      <c r="Y625" s="149" t="n"/>
      <c r="Z625" s="149" t="n"/>
    </row>
    <row r="626" ht="15.75" customHeight="1" s="236">
      <c r="A626" s="148" t="n"/>
      <c r="B626" s="148" t="n"/>
      <c r="C626" s="124" t="n"/>
      <c r="D626" s="148" t="n"/>
      <c r="E626" s="148" t="n"/>
      <c r="F626" s="148" t="n"/>
      <c r="G626" s="124" t="n"/>
      <c r="H626" s="148" t="n"/>
      <c r="I626" s="148" t="n"/>
      <c r="J626" s="148" t="n"/>
      <c r="K626" s="148" t="n"/>
      <c r="L626" s="148" t="n"/>
      <c r="M626" s="148" t="n"/>
      <c r="N626" s="148" t="n"/>
      <c r="O626" s="148" t="n"/>
      <c r="P626" s="148" t="n"/>
      <c r="Q626" s="148" t="n"/>
      <c r="R626" s="148" t="n"/>
      <c r="S626" s="148" t="n"/>
      <c r="T626" s="148" t="n"/>
      <c r="U626" s="149">
        <f>IF(AND('Master Stock'!D626&lt;&gt;"",'Master Stock'!H626="OCCUPIED",ISNUMBER('Master Stock'!J626),'Master Stock'!K626=""),SUMPRODUCT(--('Master Stock'!$D$2:$D$1000&lt;&gt;""),--('Master Stock'!$H$2:$H$1000="OCCUPIED"),--ISNUMBER('Master Stock'!$J$2:$J$1000),--('Master Stock'!$K$2:$K$1000=""),--('Master Stock'!$J$2:$J$1000&lt;'Master Stock'!J626))+COUNTIFS('Master Stock'!$J$2:J626,'Master Stock'!J626,'Master Stock'!$D$2:D626,"&lt;&gt;",'Master Stock'!$H$2:H626,"OCCUPIED",'Master Stock'!$K$2:K626,""),"")</f>
        <v/>
      </c>
      <c r="V626" s="149">
        <f>IF(AND('Master Stock'!D626&lt;&gt;"",'Master Stock'!H626="OCCUPIED",ISNUMBER('Master Stock'!L626),'Master Stock'!L626&lt;TODAY()-30),SUMPRODUCT(--('Master Stock'!$D$2:$D$1000&lt;&gt;""),--('Master Stock'!$H$2:$H$1000="OCCUPIED"),--ISNUMBER('Master Stock'!$L$2:$L$1000),--('Master Stock'!$L$2:$L$1000&lt;TODAY()-30),--('Master Stock'!$L$2:$L$1000&lt;'Master Stock'!L626))+COUNTIFS('Master Stock'!$L$2:L626,'Master Stock'!L626,'Master Stock'!$D$2:D626,"&lt;&gt;",'Master Stock'!$H$2:H626,"OCCUPIED"),"")</f>
        <v/>
      </c>
      <c r="W626" s="149" t="n"/>
      <c r="X626" s="149" t="n"/>
      <c r="Y626" s="149" t="n"/>
      <c r="Z626" s="149" t="n"/>
    </row>
    <row r="627" ht="15.75" customHeight="1" s="236">
      <c r="A627" s="148" t="n"/>
      <c r="B627" s="148" t="n"/>
      <c r="C627" s="124" t="n"/>
      <c r="D627" s="148" t="n"/>
      <c r="E627" s="148" t="n"/>
      <c r="F627" s="148" t="n"/>
      <c r="G627" s="124" t="n"/>
      <c r="H627" s="148" t="n"/>
      <c r="I627" s="148" t="n"/>
      <c r="J627" s="148" t="n"/>
      <c r="K627" s="148" t="n"/>
      <c r="L627" s="148" t="n"/>
      <c r="M627" s="148" t="n"/>
      <c r="N627" s="148" t="n"/>
      <c r="O627" s="148" t="n"/>
      <c r="P627" s="148" t="n"/>
      <c r="Q627" s="148" t="n"/>
      <c r="R627" s="148" t="n"/>
      <c r="S627" s="148" t="n"/>
      <c r="T627" s="148" t="n"/>
      <c r="U627" s="149">
        <f>IF(AND('Master Stock'!D627&lt;&gt;"",'Master Stock'!H627="OCCUPIED",ISNUMBER('Master Stock'!J627),'Master Stock'!K627=""),SUMPRODUCT(--('Master Stock'!$D$2:$D$1000&lt;&gt;""),--('Master Stock'!$H$2:$H$1000="OCCUPIED"),--ISNUMBER('Master Stock'!$J$2:$J$1000),--('Master Stock'!$K$2:$K$1000=""),--('Master Stock'!$J$2:$J$1000&lt;'Master Stock'!J627))+COUNTIFS('Master Stock'!$J$2:J627,'Master Stock'!J627,'Master Stock'!$D$2:D627,"&lt;&gt;",'Master Stock'!$H$2:H627,"OCCUPIED",'Master Stock'!$K$2:K627,""),"")</f>
        <v/>
      </c>
      <c r="V627" s="149">
        <f>IF(AND('Master Stock'!D627&lt;&gt;"",'Master Stock'!H627="OCCUPIED",ISNUMBER('Master Stock'!L627),'Master Stock'!L627&lt;TODAY()-30),SUMPRODUCT(--('Master Stock'!$D$2:$D$1000&lt;&gt;""),--('Master Stock'!$H$2:$H$1000="OCCUPIED"),--ISNUMBER('Master Stock'!$L$2:$L$1000),--('Master Stock'!$L$2:$L$1000&lt;TODAY()-30),--('Master Stock'!$L$2:$L$1000&lt;'Master Stock'!L627))+COUNTIFS('Master Stock'!$L$2:L627,'Master Stock'!L627,'Master Stock'!$D$2:D627,"&lt;&gt;",'Master Stock'!$H$2:H627,"OCCUPIED"),"")</f>
        <v/>
      </c>
      <c r="W627" s="149" t="n"/>
      <c r="X627" s="149" t="n"/>
      <c r="Y627" s="149" t="n"/>
      <c r="Z627" s="149" t="n"/>
    </row>
    <row r="628" ht="15.75" customHeight="1" s="236">
      <c r="A628" s="148" t="n"/>
      <c r="B628" s="148" t="n"/>
      <c r="C628" s="124" t="n"/>
      <c r="D628" s="148" t="n"/>
      <c r="E628" s="148" t="n"/>
      <c r="F628" s="148" t="n"/>
      <c r="G628" s="124" t="n"/>
      <c r="H628" s="148" t="n"/>
      <c r="I628" s="148" t="n"/>
      <c r="J628" s="148" t="n"/>
      <c r="K628" s="148" t="n"/>
      <c r="L628" s="148" t="n"/>
      <c r="M628" s="148" t="n"/>
      <c r="N628" s="148" t="n"/>
      <c r="O628" s="148" t="n"/>
      <c r="P628" s="148" t="n"/>
      <c r="Q628" s="148" t="n"/>
      <c r="R628" s="148" t="n"/>
      <c r="S628" s="148" t="n"/>
      <c r="T628" s="148" t="n"/>
      <c r="U628" s="149">
        <f>IF(AND('Master Stock'!D628&lt;&gt;"",'Master Stock'!H628="OCCUPIED",ISNUMBER('Master Stock'!J628),'Master Stock'!K628=""),SUMPRODUCT(--('Master Stock'!$D$2:$D$1000&lt;&gt;""),--('Master Stock'!$H$2:$H$1000="OCCUPIED"),--ISNUMBER('Master Stock'!$J$2:$J$1000),--('Master Stock'!$K$2:$K$1000=""),--('Master Stock'!$J$2:$J$1000&lt;'Master Stock'!J628))+COUNTIFS('Master Stock'!$J$2:J628,'Master Stock'!J628,'Master Stock'!$D$2:D628,"&lt;&gt;",'Master Stock'!$H$2:H628,"OCCUPIED",'Master Stock'!$K$2:K628,""),"")</f>
        <v/>
      </c>
      <c r="V628" s="149">
        <f>IF(AND('Master Stock'!D628&lt;&gt;"",'Master Stock'!H628="OCCUPIED",ISNUMBER('Master Stock'!L628),'Master Stock'!L628&lt;TODAY()-30),SUMPRODUCT(--('Master Stock'!$D$2:$D$1000&lt;&gt;""),--('Master Stock'!$H$2:$H$1000="OCCUPIED"),--ISNUMBER('Master Stock'!$L$2:$L$1000),--('Master Stock'!$L$2:$L$1000&lt;TODAY()-30),--('Master Stock'!$L$2:$L$1000&lt;'Master Stock'!L628))+COUNTIFS('Master Stock'!$L$2:L628,'Master Stock'!L628,'Master Stock'!$D$2:D628,"&lt;&gt;",'Master Stock'!$H$2:H628,"OCCUPIED"),"")</f>
        <v/>
      </c>
      <c r="W628" s="149" t="n"/>
      <c r="X628" s="149" t="n"/>
      <c r="Y628" s="149" t="n"/>
      <c r="Z628" s="149" t="n"/>
    </row>
    <row r="629" ht="15.75" customHeight="1" s="236">
      <c r="A629" s="148" t="n"/>
      <c r="B629" s="148" t="n"/>
      <c r="C629" s="124" t="n"/>
      <c r="D629" s="148" t="n"/>
      <c r="E629" s="148" t="n"/>
      <c r="F629" s="148" t="n"/>
      <c r="G629" s="124" t="n"/>
      <c r="H629" s="148" t="n"/>
      <c r="I629" s="148" t="n"/>
      <c r="J629" s="148" t="n"/>
      <c r="K629" s="148" t="n"/>
      <c r="L629" s="148" t="n"/>
      <c r="M629" s="148" t="n"/>
      <c r="N629" s="148" t="n"/>
      <c r="O629" s="148" t="n"/>
      <c r="P629" s="148" t="n"/>
      <c r="Q629" s="148" t="n"/>
      <c r="R629" s="148" t="n"/>
      <c r="S629" s="148" t="n"/>
      <c r="T629" s="148" t="n"/>
      <c r="U629" s="149">
        <f>IF(AND('Master Stock'!D629&lt;&gt;"",'Master Stock'!H629="OCCUPIED",ISNUMBER('Master Stock'!J629),'Master Stock'!K629=""),SUMPRODUCT(--('Master Stock'!$D$2:$D$1000&lt;&gt;""),--('Master Stock'!$H$2:$H$1000="OCCUPIED"),--ISNUMBER('Master Stock'!$J$2:$J$1000),--('Master Stock'!$K$2:$K$1000=""),--('Master Stock'!$J$2:$J$1000&lt;'Master Stock'!J629))+COUNTIFS('Master Stock'!$J$2:J629,'Master Stock'!J629,'Master Stock'!$D$2:D629,"&lt;&gt;",'Master Stock'!$H$2:H629,"OCCUPIED",'Master Stock'!$K$2:K629,""),"")</f>
        <v/>
      </c>
      <c r="V629" s="149">
        <f>IF(AND('Master Stock'!D629&lt;&gt;"",'Master Stock'!H629="OCCUPIED",ISNUMBER('Master Stock'!L629),'Master Stock'!L629&lt;TODAY()-30),SUMPRODUCT(--('Master Stock'!$D$2:$D$1000&lt;&gt;""),--('Master Stock'!$H$2:$H$1000="OCCUPIED"),--ISNUMBER('Master Stock'!$L$2:$L$1000),--('Master Stock'!$L$2:$L$1000&lt;TODAY()-30),--('Master Stock'!$L$2:$L$1000&lt;'Master Stock'!L629))+COUNTIFS('Master Stock'!$L$2:L629,'Master Stock'!L629,'Master Stock'!$D$2:D629,"&lt;&gt;",'Master Stock'!$H$2:H629,"OCCUPIED"),"")</f>
        <v/>
      </c>
      <c r="W629" s="149" t="n"/>
      <c r="X629" s="149" t="n"/>
      <c r="Y629" s="149" t="n"/>
      <c r="Z629" s="149" t="n"/>
    </row>
    <row r="630" ht="15.75" customHeight="1" s="236">
      <c r="A630" s="148" t="n"/>
      <c r="B630" s="148" t="n"/>
      <c r="C630" s="124" t="n"/>
      <c r="D630" s="148" t="n"/>
      <c r="E630" s="148" t="n"/>
      <c r="F630" s="148" t="n"/>
      <c r="G630" s="124" t="n"/>
      <c r="H630" s="148" t="n"/>
      <c r="I630" s="148" t="n"/>
      <c r="J630" s="148" t="n"/>
      <c r="K630" s="148" t="n"/>
      <c r="L630" s="148" t="n"/>
      <c r="M630" s="148" t="n"/>
      <c r="N630" s="148" t="n"/>
      <c r="O630" s="148" t="n"/>
      <c r="P630" s="148" t="n"/>
      <c r="Q630" s="148" t="n"/>
      <c r="R630" s="148" t="n"/>
      <c r="S630" s="148" t="n"/>
      <c r="T630" s="148" t="n"/>
      <c r="U630" s="149">
        <f>IF(AND('Master Stock'!D630&lt;&gt;"",'Master Stock'!H630="OCCUPIED",ISNUMBER('Master Stock'!J630),'Master Stock'!K630=""),SUMPRODUCT(--('Master Stock'!$D$2:$D$1000&lt;&gt;""),--('Master Stock'!$H$2:$H$1000="OCCUPIED"),--ISNUMBER('Master Stock'!$J$2:$J$1000),--('Master Stock'!$K$2:$K$1000=""),--('Master Stock'!$J$2:$J$1000&lt;'Master Stock'!J630))+COUNTIFS('Master Stock'!$J$2:J630,'Master Stock'!J630,'Master Stock'!$D$2:D630,"&lt;&gt;",'Master Stock'!$H$2:H630,"OCCUPIED",'Master Stock'!$K$2:K630,""),"")</f>
        <v/>
      </c>
      <c r="V630" s="149">
        <f>IF(AND('Master Stock'!D630&lt;&gt;"",'Master Stock'!H630="OCCUPIED",ISNUMBER('Master Stock'!L630),'Master Stock'!L630&lt;TODAY()-30),SUMPRODUCT(--('Master Stock'!$D$2:$D$1000&lt;&gt;""),--('Master Stock'!$H$2:$H$1000="OCCUPIED"),--ISNUMBER('Master Stock'!$L$2:$L$1000),--('Master Stock'!$L$2:$L$1000&lt;TODAY()-30),--('Master Stock'!$L$2:$L$1000&lt;'Master Stock'!L630))+COUNTIFS('Master Stock'!$L$2:L630,'Master Stock'!L630,'Master Stock'!$D$2:D630,"&lt;&gt;",'Master Stock'!$H$2:H630,"OCCUPIED"),"")</f>
        <v/>
      </c>
      <c r="W630" s="149" t="n"/>
      <c r="X630" s="149" t="n"/>
      <c r="Y630" s="149" t="n"/>
      <c r="Z630" s="149" t="n"/>
    </row>
    <row r="631" ht="15.75" customHeight="1" s="236">
      <c r="A631" s="148" t="n"/>
      <c r="B631" s="148" t="n"/>
      <c r="C631" s="124" t="n"/>
      <c r="D631" s="148" t="n"/>
      <c r="E631" s="148" t="n"/>
      <c r="F631" s="148" t="n"/>
      <c r="G631" s="124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9">
        <f>IF(AND('Master Stock'!D631&lt;&gt;"",'Master Stock'!H631="OCCUPIED",ISNUMBER('Master Stock'!J631),'Master Stock'!K631=""),SUMPRODUCT(--('Master Stock'!$D$2:$D$1000&lt;&gt;""),--('Master Stock'!$H$2:$H$1000="OCCUPIED"),--ISNUMBER('Master Stock'!$J$2:$J$1000),--('Master Stock'!$K$2:$K$1000=""),--('Master Stock'!$J$2:$J$1000&lt;'Master Stock'!J631))+COUNTIFS('Master Stock'!$J$2:J631,'Master Stock'!J631,'Master Stock'!$D$2:D631,"&lt;&gt;",'Master Stock'!$H$2:H631,"OCCUPIED",'Master Stock'!$K$2:K631,""),"")</f>
        <v/>
      </c>
      <c r="V631" s="149">
        <f>IF(AND('Master Stock'!D631&lt;&gt;"",'Master Stock'!H631="OCCUPIED",ISNUMBER('Master Stock'!L631),'Master Stock'!L631&lt;TODAY()-30),SUMPRODUCT(--('Master Stock'!$D$2:$D$1000&lt;&gt;""),--('Master Stock'!$H$2:$H$1000="OCCUPIED"),--ISNUMBER('Master Stock'!$L$2:$L$1000),--('Master Stock'!$L$2:$L$1000&lt;TODAY()-30),--('Master Stock'!$L$2:$L$1000&lt;'Master Stock'!L631))+COUNTIFS('Master Stock'!$L$2:L631,'Master Stock'!L631,'Master Stock'!$D$2:D631,"&lt;&gt;",'Master Stock'!$H$2:H631,"OCCUPIED"),"")</f>
        <v/>
      </c>
      <c r="W631" s="149" t="n"/>
      <c r="X631" s="149" t="n"/>
      <c r="Y631" s="149" t="n"/>
      <c r="Z631" s="149" t="n"/>
    </row>
    <row r="632" ht="15.75" customHeight="1" s="236">
      <c r="A632" s="148" t="n"/>
      <c r="B632" s="148" t="n"/>
      <c r="C632" s="124" t="n"/>
      <c r="D632" s="148" t="n"/>
      <c r="E632" s="148" t="n"/>
      <c r="F632" s="148" t="n"/>
      <c r="G632" s="124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9">
        <f>IF(AND('Master Stock'!D632&lt;&gt;"",'Master Stock'!H632="OCCUPIED",ISNUMBER('Master Stock'!J632),'Master Stock'!K632=""),SUMPRODUCT(--('Master Stock'!$D$2:$D$1000&lt;&gt;""),--('Master Stock'!$H$2:$H$1000="OCCUPIED"),--ISNUMBER('Master Stock'!$J$2:$J$1000),--('Master Stock'!$K$2:$K$1000=""),--('Master Stock'!$J$2:$J$1000&lt;'Master Stock'!J632))+COUNTIFS('Master Stock'!$J$2:J632,'Master Stock'!J632,'Master Stock'!$D$2:D632,"&lt;&gt;",'Master Stock'!$H$2:H632,"OCCUPIED",'Master Stock'!$K$2:K632,""),"")</f>
        <v/>
      </c>
      <c r="V632" s="149">
        <f>IF(AND('Master Stock'!D632&lt;&gt;"",'Master Stock'!H632="OCCUPIED",ISNUMBER('Master Stock'!L632),'Master Stock'!L632&lt;TODAY()-30),SUMPRODUCT(--('Master Stock'!$D$2:$D$1000&lt;&gt;""),--('Master Stock'!$H$2:$H$1000="OCCUPIED"),--ISNUMBER('Master Stock'!$L$2:$L$1000),--('Master Stock'!$L$2:$L$1000&lt;TODAY()-30),--('Master Stock'!$L$2:$L$1000&lt;'Master Stock'!L632))+COUNTIFS('Master Stock'!$L$2:L632,'Master Stock'!L632,'Master Stock'!$D$2:D632,"&lt;&gt;",'Master Stock'!$H$2:H632,"OCCUPIED"),"")</f>
        <v/>
      </c>
      <c r="W632" s="149" t="n"/>
      <c r="X632" s="149" t="n"/>
      <c r="Y632" s="149" t="n"/>
      <c r="Z632" s="149" t="n"/>
    </row>
    <row r="633" ht="15.75" customHeight="1" s="236">
      <c r="A633" s="148" t="n"/>
      <c r="B633" s="148" t="n"/>
      <c r="C633" s="124" t="n"/>
      <c r="D633" s="148" t="n"/>
      <c r="E633" s="148" t="n"/>
      <c r="F633" s="148" t="n"/>
      <c r="G633" s="124" t="n"/>
      <c r="H633" s="148" t="n"/>
      <c r="I633" s="148" t="n"/>
      <c r="J633" s="148" t="n"/>
      <c r="K633" s="148" t="n"/>
      <c r="L633" s="148" t="n"/>
      <c r="M633" s="148" t="n"/>
      <c r="N633" s="148" t="n"/>
      <c r="O633" s="148" t="n"/>
      <c r="P633" s="148" t="n"/>
      <c r="Q633" s="148" t="n"/>
      <c r="R633" s="148" t="n"/>
      <c r="S633" s="148" t="n"/>
      <c r="T633" s="148" t="n"/>
      <c r="U633" s="149">
        <f>IF(AND('Master Stock'!D633&lt;&gt;"",'Master Stock'!H633="OCCUPIED",ISNUMBER('Master Stock'!J633),'Master Stock'!K633=""),SUMPRODUCT(--('Master Stock'!$D$2:$D$1000&lt;&gt;""),--('Master Stock'!$H$2:$H$1000="OCCUPIED"),--ISNUMBER('Master Stock'!$J$2:$J$1000),--('Master Stock'!$K$2:$K$1000=""),--('Master Stock'!$J$2:$J$1000&lt;'Master Stock'!J633))+COUNTIFS('Master Stock'!$J$2:J633,'Master Stock'!J633,'Master Stock'!$D$2:D633,"&lt;&gt;",'Master Stock'!$H$2:H633,"OCCUPIED",'Master Stock'!$K$2:K633,""),"")</f>
        <v/>
      </c>
      <c r="V633" s="149">
        <f>IF(AND('Master Stock'!D633&lt;&gt;"",'Master Stock'!H633="OCCUPIED",ISNUMBER('Master Stock'!L633),'Master Stock'!L633&lt;TODAY()-30),SUMPRODUCT(--('Master Stock'!$D$2:$D$1000&lt;&gt;""),--('Master Stock'!$H$2:$H$1000="OCCUPIED"),--ISNUMBER('Master Stock'!$L$2:$L$1000),--('Master Stock'!$L$2:$L$1000&lt;TODAY()-30),--('Master Stock'!$L$2:$L$1000&lt;'Master Stock'!L633))+COUNTIFS('Master Stock'!$L$2:L633,'Master Stock'!L633,'Master Stock'!$D$2:D633,"&lt;&gt;",'Master Stock'!$H$2:H633,"OCCUPIED"),"")</f>
        <v/>
      </c>
      <c r="W633" s="149" t="n"/>
      <c r="X633" s="149" t="n"/>
      <c r="Y633" s="149" t="n"/>
      <c r="Z633" s="149" t="n"/>
    </row>
    <row r="634" ht="15.75" customHeight="1" s="236">
      <c r="A634" s="148" t="n"/>
      <c r="B634" s="148" t="n"/>
      <c r="C634" s="124" t="n"/>
      <c r="D634" s="148" t="n"/>
      <c r="E634" s="148" t="n"/>
      <c r="F634" s="148" t="n"/>
      <c r="G634" s="124" t="n"/>
      <c r="H634" s="148" t="n"/>
      <c r="I634" s="148" t="n"/>
      <c r="J634" s="148" t="n"/>
      <c r="K634" s="148" t="n"/>
      <c r="L634" s="148" t="n"/>
      <c r="M634" s="148" t="n"/>
      <c r="N634" s="148" t="n"/>
      <c r="O634" s="148" t="n"/>
      <c r="P634" s="148" t="n"/>
      <c r="Q634" s="148" t="n"/>
      <c r="R634" s="148" t="n"/>
      <c r="S634" s="148" t="n"/>
      <c r="T634" s="148" t="n"/>
      <c r="U634" s="149">
        <f>IF(AND('Master Stock'!D634&lt;&gt;"",'Master Stock'!H634="OCCUPIED",ISNUMBER('Master Stock'!J634),'Master Stock'!K634=""),SUMPRODUCT(--('Master Stock'!$D$2:$D$1000&lt;&gt;""),--('Master Stock'!$H$2:$H$1000="OCCUPIED"),--ISNUMBER('Master Stock'!$J$2:$J$1000),--('Master Stock'!$K$2:$K$1000=""),--('Master Stock'!$J$2:$J$1000&lt;'Master Stock'!J634))+COUNTIFS('Master Stock'!$J$2:J634,'Master Stock'!J634,'Master Stock'!$D$2:D634,"&lt;&gt;",'Master Stock'!$H$2:H634,"OCCUPIED",'Master Stock'!$K$2:K634,""),"")</f>
        <v/>
      </c>
      <c r="V634" s="149">
        <f>IF(AND('Master Stock'!D634&lt;&gt;"",'Master Stock'!H634="OCCUPIED",ISNUMBER('Master Stock'!L634),'Master Stock'!L634&lt;TODAY()-30),SUMPRODUCT(--('Master Stock'!$D$2:$D$1000&lt;&gt;""),--('Master Stock'!$H$2:$H$1000="OCCUPIED"),--ISNUMBER('Master Stock'!$L$2:$L$1000),--('Master Stock'!$L$2:$L$1000&lt;TODAY()-30),--('Master Stock'!$L$2:$L$1000&lt;'Master Stock'!L634))+COUNTIFS('Master Stock'!$L$2:L634,'Master Stock'!L634,'Master Stock'!$D$2:D634,"&lt;&gt;",'Master Stock'!$H$2:H634,"OCCUPIED"),"")</f>
        <v/>
      </c>
      <c r="W634" s="149" t="n"/>
      <c r="X634" s="149" t="n"/>
      <c r="Y634" s="149" t="n"/>
      <c r="Z634" s="149" t="n"/>
    </row>
    <row r="635" ht="15.75" customHeight="1" s="236">
      <c r="A635" s="148" t="n"/>
      <c r="B635" s="148" t="n"/>
      <c r="C635" s="124" t="n"/>
      <c r="D635" s="148" t="n"/>
      <c r="E635" s="148" t="n"/>
      <c r="F635" s="148" t="n"/>
      <c r="G635" s="124" t="n"/>
      <c r="H635" s="148" t="n"/>
      <c r="I635" s="148" t="n"/>
      <c r="J635" s="148" t="n"/>
      <c r="K635" s="148" t="n"/>
      <c r="L635" s="148" t="n"/>
      <c r="M635" s="148" t="n"/>
      <c r="N635" s="148" t="n"/>
      <c r="O635" s="148" t="n"/>
      <c r="P635" s="148" t="n"/>
      <c r="Q635" s="148" t="n"/>
      <c r="R635" s="148" t="n"/>
      <c r="S635" s="148" t="n"/>
      <c r="T635" s="148" t="n"/>
      <c r="U635" s="149">
        <f>IF(AND('Master Stock'!D635&lt;&gt;"",'Master Stock'!H635="OCCUPIED",ISNUMBER('Master Stock'!J635),'Master Stock'!K635=""),SUMPRODUCT(--('Master Stock'!$D$2:$D$1000&lt;&gt;""),--('Master Stock'!$H$2:$H$1000="OCCUPIED"),--ISNUMBER('Master Stock'!$J$2:$J$1000),--('Master Stock'!$K$2:$K$1000=""),--('Master Stock'!$J$2:$J$1000&lt;'Master Stock'!J635))+COUNTIFS('Master Stock'!$J$2:J635,'Master Stock'!J635,'Master Stock'!$D$2:D635,"&lt;&gt;",'Master Stock'!$H$2:H635,"OCCUPIED",'Master Stock'!$K$2:K635,""),"")</f>
        <v/>
      </c>
      <c r="V635" s="149">
        <f>IF(AND('Master Stock'!D635&lt;&gt;"",'Master Stock'!H635="OCCUPIED",ISNUMBER('Master Stock'!L635),'Master Stock'!L635&lt;TODAY()-30),SUMPRODUCT(--('Master Stock'!$D$2:$D$1000&lt;&gt;""),--('Master Stock'!$H$2:$H$1000="OCCUPIED"),--ISNUMBER('Master Stock'!$L$2:$L$1000),--('Master Stock'!$L$2:$L$1000&lt;TODAY()-30),--('Master Stock'!$L$2:$L$1000&lt;'Master Stock'!L635))+COUNTIFS('Master Stock'!$L$2:L635,'Master Stock'!L635,'Master Stock'!$D$2:D635,"&lt;&gt;",'Master Stock'!$H$2:H635,"OCCUPIED"),"")</f>
        <v/>
      </c>
      <c r="W635" s="149" t="n"/>
      <c r="X635" s="149" t="n"/>
      <c r="Y635" s="149" t="n"/>
      <c r="Z635" s="149" t="n"/>
    </row>
    <row r="636" ht="15.75" customHeight="1" s="236">
      <c r="A636" s="148" t="n"/>
      <c r="B636" s="148" t="n"/>
      <c r="C636" s="124" t="n"/>
      <c r="D636" s="148" t="n"/>
      <c r="E636" s="148" t="n"/>
      <c r="F636" s="148" t="n"/>
      <c r="G636" s="124" t="n"/>
      <c r="H636" s="148" t="n"/>
      <c r="I636" s="148" t="n"/>
      <c r="J636" s="148" t="n"/>
      <c r="K636" s="148" t="n"/>
      <c r="L636" s="148" t="n"/>
      <c r="M636" s="148" t="n"/>
      <c r="N636" s="148" t="n"/>
      <c r="O636" s="148" t="n"/>
      <c r="P636" s="148" t="n"/>
      <c r="Q636" s="148" t="n"/>
      <c r="R636" s="148" t="n"/>
      <c r="S636" s="148" t="n"/>
      <c r="T636" s="148" t="n"/>
      <c r="U636" s="149">
        <f>IF(AND('Master Stock'!D636&lt;&gt;"",'Master Stock'!H636="OCCUPIED",ISNUMBER('Master Stock'!J636),'Master Stock'!K636=""),SUMPRODUCT(--('Master Stock'!$D$2:$D$1000&lt;&gt;""),--('Master Stock'!$H$2:$H$1000="OCCUPIED"),--ISNUMBER('Master Stock'!$J$2:$J$1000),--('Master Stock'!$K$2:$K$1000=""),--('Master Stock'!$J$2:$J$1000&lt;'Master Stock'!J636))+COUNTIFS('Master Stock'!$J$2:J636,'Master Stock'!J636,'Master Stock'!$D$2:D636,"&lt;&gt;",'Master Stock'!$H$2:H636,"OCCUPIED",'Master Stock'!$K$2:K636,""),"")</f>
        <v/>
      </c>
      <c r="V636" s="149">
        <f>IF(AND('Master Stock'!D636&lt;&gt;"",'Master Stock'!H636="OCCUPIED",ISNUMBER('Master Stock'!L636),'Master Stock'!L636&lt;TODAY()-30),SUMPRODUCT(--('Master Stock'!$D$2:$D$1000&lt;&gt;""),--('Master Stock'!$H$2:$H$1000="OCCUPIED"),--ISNUMBER('Master Stock'!$L$2:$L$1000),--('Master Stock'!$L$2:$L$1000&lt;TODAY()-30),--('Master Stock'!$L$2:$L$1000&lt;'Master Stock'!L636))+COUNTIFS('Master Stock'!$L$2:L636,'Master Stock'!L636,'Master Stock'!$D$2:D636,"&lt;&gt;",'Master Stock'!$H$2:H636,"OCCUPIED"),"")</f>
        <v/>
      </c>
      <c r="W636" s="149" t="n"/>
      <c r="X636" s="149" t="n"/>
      <c r="Y636" s="149" t="n"/>
      <c r="Z636" s="149" t="n"/>
    </row>
    <row r="637" ht="15.75" customHeight="1" s="236">
      <c r="A637" s="148" t="n"/>
      <c r="B637" s="148" t="n"/>
      <c r="C637" s="124" t="n"/>
      <c r="D637" s="148" t="n"/>
      <c r="E637" s="148" t="n"/>
      <c r="F637" s="148" t="n"/>
      <c r="G637" s="124" t="n"/>
      <c r="H637" s="148" t="n"/>
      <c r="I637" s="148" t="n"/>
      <c r="J637" s="148" t="n"/>
      <c r="K637" s="148" t="n"/>
      <c r="L637" s="148" t="n"/>
      <c r="M637" s="148" t="n"/>
      <c r="N637" s="148" t="n"/>
      <c r="O637" s="148" t="n"/>
      <c r="P637" s="148" t="n"/>
      <c r="Q637" s="148" t="n"/>
      <c r="R637" s="148" t="n"/>
      <c r="S637" s="148" t="n"/>
      <c r="T637" s="148" t="n"/>
      <c r="U637" s="149">
        <f>IF(AND('Master Stock'!D637&lt;&gt;"",'Master Stock'!H637="OCCUPIED",ISNUMBER('Master Stock'!J637),'Master Stock'!K637=""),SUMPRODUCT(--('Master Stock'!$D$2:$D$1000&lt;&gt;""),--('Master Stock'!$H$2:$H$1000="OCCUPIED"),--ISNUMBER('Master Stock'!$J$2:$J$1000),--('Master Stock'!$K$2:$K$1000=""),--('Master Stock'!$J$2:$J$1000&lt;'Master Stock'!J637))+COUNTIFS('Master Stock'!$J$2:J637,'Master Stock'!J637,'Master Stock'!$D$2:D637,"&lt;&gt;",'Master Stock'!$H$2:H637,"OCCUPIED",'Master Stock'!$K$2:K637,""),"")</f>
        <v/>
      </c>
      <c r="V637" s="149">
        <f>IF(AND('Master Stock'!D637&lt;&gt;"",'Master Stock'!H637="OCCUPIED",ISNUMBER('Master Stock'!L637),'Master Stock'!L637&lt;TODAY()-30),SUMPRODUCT(--('Master Stock'!$D$2:$D$1000&lt;&gt;""),--('Master Stock'!$H$2:$H$1000="OCCUPIED"),--ISNUMBER('Master Stock'!$L$2:$L$1000),--('Master Stock'!$L$2:$L$1000&lt;TODAY()-30),--('Master Stock'!$L$2:$L$1000&lt;'Master Stock'!L637))+COUNTIFS('Master Stock'!$L$2:L637,'Master Stock'!L637,'Master Stock'!$D$2:D637,"&lt;&gt;",'Master Stock'!$H$2:H637,"OCCUPIED"),"")</f>
        <v/>
      </c>
      <c r="W637" s="149" t="n"/>
      <c r="X637" s="149" t="n"/>
      <c r="Y637" s="149" t="n"/>
      <c r="Z637" s="149" t="n"/>
    </row>
    <row r="638" ht="15.75" customHeight="1" s="236">
      <c r="A638" s="148" t="n"/>
      <c r="B638" s="148" t="n"/>
      <c r="C638" s="124" t="n"/>
      <c r="D638" s="148" t="n"/>
      <c r="E638" s="148" t="n"/>
      <c r="F638" s="148" t="n"/>
      <c r="G638" s="124" t="n"/>
      <c r="H638" s="148" t="n"/>
      <c r="I638" s="148" t="n"/>
      <c r="J638" s="148" t="n"/>
      <c r="K638" s="148" t="n"/>
      <c r="L638" s="148" t="n"/>
      <c r="M638" s="148" t="n"/>
      <c r="N638" s="148" t="n"/>
      <c r="O638" s="148" t="n"/>
      <c r="P638" s="148" t="n"/>
      <c r="Q638" s="148" t="n"/>
      <c r="R638" s="148" t="n"/>
      <c r="S638" s="148" t="n"/>
      <c r="T638" s="148" t="n"/>
      <c r="U638" s="149">
        <f>IF(AND('Master Stock'!D638&lt;&gt;"",'Master Stock'!H638="OCCUPIED",ISNUMBER('Master Stock'!J638),'Master Stock'!K638=""),SUMPRODUCT(--('Master Stock'!$D$2:$D$1000&lt;&gt;""),--('Master Stock'!$H$2:$H$1000="OCCUPIED"),--ISNUMBER('Master Stock'!$J$2:$J$1000),--('Master Stock'!$K$2:$K$1000=""),--('Master Stock'!$J$2:$J$1000&lt;'Master Stock'!J638))+COUNTIFS('Master Stock'!$J$2:J638,'Master Stock'!J638,'Master Stock'!$D$2:D638,"&lt;&gt;",'Master Stock'!$H$2:H638,"OCCUPIED",'Master Stock'!$K$2:K638,""),"")</f>
        <v/>
      </c>
      <c r="V638" s="149">
        <f>IF(AND('Master Stock'!D638&lt;&gt;"",'Master Stock'!H638="OCCUPIED",ISNUMBER('Master Stock'!L638),'Master Stock'!L638&lt;TODAY()-30),SUMPRODUCT(--('Master Stock'!$D$2:$D$1000&lt;&gt;""),--('Master Stock'!$H$2:$H$1000="OCCUPIED"),--ISNUMBER('Master Stock'!$L$2:$L$1000),--('Master Stock'!$L$2:$L$1000&lt;TODAY()-30),--('Master Stock'!$L$2:$L$1000&lt;'Master Stock'!L638))+COUNTIFS('Master Stock'!$L$2:L638,'Master Stock'!L638,'Master Stock'!$D$2:D638,"&lt;&gt;",'Master Stock'!$H$2:H638,"OCCUPIED"),"")</f>
        <v/>
      </c>
      <c r="W638" s="149" t="n"/>
      <c r="X638" s="149" t="n"/>
      <c r="Y638" s="149" t="n"/>
      <c r="Z638" s="149" t="n"/>
    </row>
    <row r="639" ht="15.75" customHeight="1" s="236">
      <c r="A639" s="148" t="n"/>
      <c r="B639" s="148" t="n"/>
      <c r="C639" s="124" t="n"/>
      <c r="D639" s="148" t="n"/>
      <c r="E639" s="148" t="n"/>
      <c r="F639" s="148" t="n"/>
      <c r="G639" s="124" t="n"/>
      <c r="H639" s="148" t="n"/>
      <c r="I639" s="148" t="n"/>
      <c r="J639" s="148" t="n"/>
      <c r="K639" s="148" t="n"/>
      <c r="L639" s="148" t="n"/>
      <c r="M639" s="148" t="n"/>
      <c r="N639" s="148" t="n"/>
      <c r="O639" s="148" t="n"/>
      <c r="P639" s="148" t="n"/>
      <c r="Q639" s="148" t="n"/>
      <c r="R639" s="148" t="n"/>
      <c r="S639" s="148" t="n"/>
      <c r="T639" s="148" t="n"/>
      <c r="U639" s="149">
        <f>IF(AND('Master Stock'!D639&lt;&gt;"",'Master Stock'!H639="OCCUPIED",ISNUMBER('Master Stock'!J639),'Master Stock'!K639=""),SUMPRODUCT(--('Master Stock'!$D$2:$D$1000&lt;&gt;""),--('Master Stock'!$H$2:$H$1000="OCCUPIED"),--ISNUMBER('Master Stock'!$J$2:$J$1000),--('Master Stock'!$K$2:$K$1000=""),--('Master Stock'!$J$2:$J$1000&lt;'Master Stock'!J639))+COUNTIFS('Master Stock'!$J$2:J639,'Master Stock'!J639,'Master Stock'!$D$2:D639,"&lt;&gt;",'Master Stock'!$H$2:H639,"OCCUPIED",'Master Stock'!$K$2:K639,""),"")</f>
        <v/>
      </c>
      <c r="V639" s="149">
        <f>IF(AND('Master Stock'!D639&lt;&gt;"",'Master Stock'!H639="OCCUPIED",ISNUMBER('Master Stock'!L639),'Master Stock'!L639&lt;TODAY()-30),SUMPRODUCT(--('Master Stock'!$D$2:$D$1000&lt;&gt;""),--('Master Stock'!$H$2:$H$1000="OCCUPIED"),--ISNUMBER('Master Stock'!$L$2:$L$1000),--('Master Stock'!$L$2:$L$1000&lt;TODAY()-30),--('Master Stock'!$L$2:$L$1000&lt;'Master Stock'!L639))+COUNTIFS('Master Stock'!$L$2:L639,'Master Stock'!L639,'Master Stock'!$D$2:D639,"&lt;&gt;",'Master Stock'!$H$2:H639,"OCCUPIED"),"")</f>
        <v/>
      </c>
      <c r="W639" s="149" t="n"/>
      <c r="X639" s="149" t="n"/>
      <c r="Y639" s="149" t="n"/>
      <c r="Z639" s="149" t="n"/>
    </row>
    <row r="640" ht="15.75" customHeight="1" s="236">
      <c r="A640" s="148" t="n"/>
      <c r="B640" s="148" t="n"/>
      <c r="C640" s="124" t="n"/>
      <c r="D640" s="148" t="n"/>
      <c r="E640" s="148" t="n"/>
      <c r="F640" s="148" t="n"/>
      <c r="G640" s="124" t="n"/>
      <c r="H640" s="148" t="n"/>
      <c r="I640" s="148" t="n"/>
      <c r="J640" s="148" t="n"/>
      <c r="K640" s="148" t="n"/>
      <c r="L640" s="148" t="n"/>
      <c r="M640" s="148" t="n"/>
      <c r="N640" s="148" t="n"/>
      <c r="O640" s="148" t="n"/>
      <c r="P640" s="148" t="n"/>
      <c r="Q640" s="148" t="n"/>
      <c r="R640" s="148" t="n"/>
      <c r="S640" s="148" t="n"/>
      <c r="T640" s="148" t="n"/>
      <c r="U640" s="149">
        <f>IF(AND('Master Stock'!D640&lt;&gt;"",'Master Stock'!H640="OCCUPIED",ISNUMBER('Master Stock'!J640),'Master Stock'!K640=""),SUMPRODUCT(--('Master Stock'!$D$2:$D$1000&lt;&gt;""),--('Master Stock'!$H$2:$H$1000="OCCUPIED"),--ISNUMBER('Master Stock'!$J$2:$J$1000),--('Master Stock'!$K$2:$K$1000=""),--('Master Stock'!$J$2:$J$1000&lt;'Master Stock'!J640))+COUNTIFS('Master Stock'!$J$2:J640,'Master Stock'!J640,'Master Stock'!$D$2:D640,"&lt;&gt;",'Master Stock'!$H$2:H640,"OCCUPIED",'Master Stock'!$K$2:K640,""),"")</f>
        <v/>
      </c>
      <c r="V640" s="149">
        <f>IF(AND('Master Stock'!D640&lt;&gt;"",'Master Stock'!H640="OCCUPIED",ISNUMBER('Master Stock'!L640),'Master Stock'!L640&lt;TODAY()-30),SUMPRODUCT(--('Master Stock'!$D$2:$D$1000&lt;&gt;""),--('Master Stock'!$H$2:$H$1000="OCCUPIED"),--ISNUMBER('Master Stock'!$L$2:$L$1000),--('Master Stock'!$L$2:$L$1000&lt;TODAY()-30),--('Master Stock'!$L$2:$L$1000&lt;'Master Stock'!L640))+COUNTIFS('Master Stock'!$L$2:L640,'Master Stock'!L640,'Master Stock'!$D$2:D640,"&lt;&gt;",'Master Stock'!$H$2:H640,"OCCUPIED"),"")</f>
        <v/>
      </c>
      <c r="W640" s="149" t="n"/>
      <c r="X640" s="149" t="n"/>
      <c r="Y640" s="149" t="n"/>
      <c r="Z640" s="149" t="n"/>
    </row>
    <row r="641" ht="15.75" customHeight="1" s="236">
      <c r="A641" s="148" t="n"/>
      <c r="B641" s="148" t="n"/>
      <c r="C641" s="124" t="n"/>
      <c r="D641" s="148" t="n"/>
      <c r="E641" s="148" t="n"/>
      <c r="F641" s="148" t="n"/>
      <c r="G641" s="124" t="n"/>
      <c r="H641" s="148" t="n"/>
      <c r="I641" s="148" t="n"/>
      <c r="J641" s="148" t="n"/>
      <c r="K641" s="148" t="n"/>
      <c r="L641" s="148" t="n"/>
      <c r="M641" s="148" t="n"/>
      <c r="N641" s="148" t="n"/>
      <c r="O641" s="148" t="n"/>
      <c r="P641" s="148" t="n"/>
      <c r="Q641" s="148" t="n"/>
      <c r="R641" s="148" t="n"/>
      <c r="S641" s="148" t="n"/>
      <c r="T641" s="148" t="n"/>
      <c r="U641" s="149">
        <f>IF(AND('Master Stock'!D641&lt;&gt;"",'Master Stock'!H641="OCCUPIED",ISNUMBER('Master Stock'!J641),'Master Stock'!K641=""),SUMPRODUCT(--('Master Stock'!$D$2:$D$1000&lt;&gt;""),--('Master Stock'!$H$2:$H$1000="OCCUPIED"),--ISNUMBER('Master Stock'!$J$2:$J$1000),--('Master Stock'!$K$2:$K$1000=""),--('Master Stock'!$J$2:$J$1000&lt;'Master Stock'!J641))+COUNTIFS('Master Stock'!$J$2:J641,'Master Stock'!J641,'Master Stock'!$D$2:D641,"&lt;&gt;",'Master Stock'!$H$2:H641,"OCCUPIED",'Master Stock'!$K$2:K641,""),"")</f>
        <v/>
      </c>
      <c r="V641" s="149">
        <f>IF(AND('Master Stock'!D641&lt;&gt;"",'Master Stock'!H641="OCCUPIED",ISNUMBER('Master Stock'!L641),'Master Stock'!L641&lt;TODAY()-30),SUMPRODUCT(--('Master Stock'!$D$2:$D$1000&lt;&gt;""),--('Master Stock'!$H$2:$H$1000="OCCUPIED"),--ISNUMBER('Master Stock'!$L$2:$L$1000),--('Master Stock'!$L$2:$L$1000&lt;TODAY()-30),--('Master Stock'!$L$2:$L$1000&lt;'Master Stock'!L641))+COUNTIFS('Master Stock'!$L$2:L641,'Master Stock'!L641,'Master Stock'!$D$2:D641,"&lt;&gt;",'Master Stock'!$H$2:H641,"OCCUPIED"),"")</f>
        <v/>
      </c>
      <c r="W641" s="149" t="n"/>
      <c r="X641" s="149" t="n"/>
      <c r="Y641" s="149" t="n"/>
      <c r="Z641" s="149" t="n"/>
    </row>
    <row r="642" ht="15.75" customHeight="1" s="236">
      <c r="A642" s="148" t="n"/>
      <c r="B642" s="148" t="n"/>
      <c r="C642" s="124" t="n"/>
      <c r="D642" s="148" t="n"/>
      <c r="E642" s="148" t="n"/>
      <c r="F642" s="148" t="n"/>
      <c r="G642" s="124" t="n"/>
      <c r="H642" s="148" t="n"/>
      <c r="I642" s="148" t="n"/>
      <c r="J642" s="148" t="n"/>
      <c r="K642" s="148" t="n"/>
      <c r="L642" s="148" t="n"/>
      <c r="M642" s="148" t="n"/>
      <c r="N642" s="148" t="n"/>
      <c r="O642" s="148" t="n"/>
      <c r="P642" s="148" t="n"/>
      <c r="Q642" s="148" t="n"/>
      <c r="R642" s="148" t="n"/>
      <c r="S642" s="148" t="n"/>
      <c r="T642" s="148" t="n"/>
      <c r="U642" s="149">
        <f>IF(AND('Master Stock'!D642&lt;&gt;"",'Master Stock'!H642="OCCUPIED",ISNUMBER('Master Stock'!J642),'Master Stock'!K642=""),SUMPRODUCT(--('Master Stock'!$D$2:$D$1000&lt;&gt;""),--('Master Stock'!$H$2:$H$1000="OCCUPIED"),--ISNUMBER('Master Stock'!$J$2:$J$1000),--('Master Stock'!$K$2:$K$1000=""),--('Master Stock'!$J$2:$J$1000&lt;'Master Stock'!J642))+COUNTIFS('Master Stock'!$J$2:J642,'Master Stock'!J642,'Master Stock'!$D$2:D642,"&lt;&gt;",'Master Stock'!$H$2:H642,"OCCUPIED",'Master Stock'!$K$2:K642,""),"")</f>
        <v/>
      </c>
      <c r="V642" s="149">
        <f>IF(AND('Master Stock'!D642&lt;&gt;"",'Master Stock'!H642="OCCUPIED",ISNUMBER('Master Stock'!L642),'Master Stock'!L642&lt;TODAY()-30),SUMPRODUCT(--('Master Stock'!$D$2:$D$1000&lt;&gt;""),--('Master Stock'!$H$2:$H$1000="OCCUPIED"),--ISNUMBER('Master Stock'!$L$2:$L$1000),--('Master Stock'!$L$2:$L$1000&lt;TODAY()-30),--('Master Stock'!$L$2:$L$1000&lt;'Master Stock'!L642))+COUNTIFS('Master Stock'!$L$2:L642,'Master Stock'!L642,'Master Stock'!$D$2:D642,"&lt;&gt;",'Master Stock'!$H$2:H642,"OCCUPIED"),"")</f>
        <v/>
      </c>
      <c r="W642" s="149" t="n"/>
      <c r="X642" s="149" t="n"/>
      <c r="Y642" s="149" t="n"/>
      <c r="Z642" s="149" t="n"/>
    </row>
    <row r="643" ht="15.75" customHeight="1" s="236">
      <c r="A643" s="148" t="n"/>
      <c r="B643" s="148" t="n"/>
      <c r="C643" s="124" t="n"/>
      <c r="D643" s="148" t="n"/>
      <c r="E643" s="148" t="n"/>
      <c r="F643" s="148" t="n"/>
      <c r="G643" s="124" t="n"/>
      <c r="H643" s="148" t="n"/>
      <c r="I643" s="148" t="n"/>
      <c r="J643" s="148" t="n"/>
      <c r="K643" s="148" t="n"/>
      <c r="L643" s="148" t="n"/>
      <c r="M643" s="148" t="n"/>
      <c r="N643" s="148" t="n"/>
      <c r="O643" s="148" t="n"/>
      <c r="P643" s="148" t="n"/>
      <c r="Q643" s="148" t="n"/>
      <c r="R643" s="148" t="n"/>
      <c r="S643" s="148" t="n"/>
      <c r="T643" s="148" t="n"/>
      <c r="U643" s="149">
        <f>IF(AND('Master Stock'!D643&lt;&gt;"",'Master Stock'!H643="OCCUPIED",ISNUMBER('Master Stock'!J643),'Master Stock'!K643=""),SUMPRODUCT(--('Master Stock'!$D$2:$D$1000&lt;&gt;""),--('Master Stock'!$H$2:$H$1000="OCCUPIED"),--ISNUMBER('Master Stock'!$J$2:$J$1000),--('Master Stock'!$K$2:$K$1000=""),--('Master Stock'!$J$2:$J$1000&lt;'Master Stock'!J643))+COUNTIFS('Master Stock'!$J$2:J643,'Master Stock'!J643,'Master Stock'!$D$2:D643,"&lt;&gt;",'Master Stock'!$H$2:H643,"OCCUPIED",'Master Stock'!$K$2:K643,""),"")</f>
        <v/>
      </c>
      <c r="V643" s="149">
        <f>IF(AND('Master Stock'!D643&lt;&gt;"",'Master Stock'!H643="OCCUPIED",ISNUMBER('Master Stock'!L643),'Master Stock'!L643&lt;TODAY()-30),SUMPRODUCT(--('Master Stock'!$D$2:$D$1000&lt;&gt;""),--('Master Stock'!$H$2:$H$1000="OCCUPIED"),--ISNUMBER('Master Stock'!$L$2:$L$1000),--('Master Stock'!$L$2:$L$1000&lt;TODAY()-30),--('Master Stock'!$L$2:$L$1000&lt;'Master Stock'!L643))+COUNTIFS('Master Stock'!$L$2:L643,'Master Stock'!L643,'Master Stock'!$D$2:D643,"&lt;&gt;",'Master Stock'!$H$2:H643,"OCCUPIED"),"")</f>
        <v/>
      </c>
      <c r="W643" s="149" t="n"/>
      <c r="X643" s="149" t="n"/>
      <c r="Y643" s="149" t="n"/>
      <c r="Z643" s="149" t="n"/>
    </row>
    <row r="644" ht="15.75" customHeight="1" s="236">
      <c r="A644" s="148" t="n"/>
      <c r="B644" s="148" t="n"/>
      <c r="C644" s="124" t="n"/>
      <c r="D644" s="148" t="n"/>
      <c r="E644" s="148" t="n"/>
      <c r="F644" s="148" t="n"/>
      <c r="G644" s="124" t="n"/>
      <c r="H644" s="148" t="n"/>
      <c r="I644" s="148" t="n"/>
      <c r="J644" s="148" t="n"/>
      <c r="K644" s="148" t="n"/>
      <c r="L644" s="148" t="n"/>
      <c r="M644" s="148" t="n"/>
      <c r="N644" s="148" t="n"/>
      <c r="O644" s="148" t="n"/>
      <c r="P644" s="148" t="n"/>
      <c r="Q644" s="148" t="n"/>
      <c r="R644" s="148" t="n"/>
      <c r="S644" s="148" t="n"/>
      <c r="T644" s="148" t="n"/>
      <c r="U644" s="149">
        <f>IF(AND('Master Stock'!D644&lt;&gt;"",'Master Stock'!H644="OCCUPIED",ISNUMBER('Master Stock'!J644),'Master Stock'!K644=""),SUMPRODUCT(--('Master Stock'!$D$2:$D$1000&lt;&gt;""),--('Master Stock'!$H$2:$H$1000="OCCUPIED"),--ISNUMBER('Master Stock'!$J$2:$J$1000),--('Master Stock'!$K$2:$K$1000=""),--('Master Stock'!$J$2:$J$1000&lt;'Master Stock'!J644))+COUNTIFS('Master Stock'!$J$2:J644,'Master Stock'!J644,'Master Stock'!$D$2:D644,"&lt;&gt;",'Master Stock'!$H$2:H644,"OCCUPIED",'Master Stock'!$K$2:K644,""),"")</f>
        <v/>
      </c>
      <c r="V644" s="149">
        <f>IF(AND('Master Stock'!D644&lt;&gt;"",'Master Stock'!H644="OCCUPIED",ISNUMBER('Master Stock'!L644),'Master Stock'!L644&lt;TODAY()-30),SUMPRODUCT(--('Master Stock'!$D$2:$D$1000&lt;&gt;""),--('Master Stock'!$H$2:$H$1000="OCCUPIED"),--ISNUMBER('Master Stock'!$L$2:$L$1000),--('Master Stock'!$L$2:$L$1000&lt;TODAY()-30),--('Master Stock'!$L$2:$L$1000&lt;'Master Stock'!L644))+COUNTIFS('Master Stock'!$L$2:L644,'Master Stock'!L644,'Master Stock'!$D$2:D644,"&lt;&gt;",'Master Stock'!$H$2:H644,"OCCUPIED"),"")</f>
        <v/>
      </c>
      <c r="W644" s="149" t="n"/>
      <c r="X644" s="149" t="n"/>
      <c r="Y644" s="149" t="n"/>
      <c r="Z644" s="149" t="n"/>
    </row>
    <row r="645" ht="15.75" customHeight="1" s="236">
      <c r="A645" s="148" t="n"/>
      <c r="B645" s="148" t="n"/>
      <c r="C645" s="124" t="n"/>
      <c r="D645" s="148" t="n"/>
      <c r="E645" s="148" t="n"/>
      <c r="F645" s="148" t="n"/>
      <c r="G645" s="124" t="n"/>
      <c r="H645" s="148" t="n"/>
      <c r="I645" s="148" t="n"/>
      <c r="J645" s="148" t="n"/>
      <c r="K645" s="148" t="n"/>
      <c r="L645" s="148" t="n"/>
      <c r="M645" s="148" t="n"/>
      <c r="N645" s="148" t="n"/>
      <c r="O645" s="148" t="n"/>
      <c r="P645" s="148" t="n"/>
      <c r="Q645" s="148" t="n"/>
      <c r="R645" s="148" t="n"/>
      <c r="S645" s="148" t="n"/>
      <c r="T645" s="148" t="n"/>
      <c r="U645" s="149">
        <f>IF(AND('Master Stock'!D645&lt;&gt;"",'Master Stock'!H645="OCCUPIED",ISNUMBER('Master Stock'!J645),'Master Stock'!K645=""),SUMPRODUCT(--('Master Stock'!$D$2:$D$1000&lt;&gt;""),--('Master Stock'!$H$2:$H$1000="OCCUPIED"),--ISNUMBER('Master Stock'!$J$2:$J$1000),--('Master Stock'!$K$2:$K$1000=""),--('Master Stock'!$J$2:$J$1000&lt;'Master Stock'!J645))+COUNTIFS('Master Stock'!$J$2:J645,'Master Stock'!J645,'Master Stock'!$D$2:D645,"&lt;&gt;",'Master Stock'!$H$2:H645,"OCCUPIED",'Master Stock'!$K$2:K645,""),"")</f>
        <v/>
      </c>
      <c r="V645" s="149">
        <f>IF(AND('Master Stock'!D645&lt;&gt;"",'Master Stock'!H645="OCCUPIED",ISNUMBER('Master Stock'!L645),'Master Stock'!L645&lt;TODAY()-30),SUMPRODUCT(--('Master Stock'!$D$2:$D$1000&lt;&gt;""),--('Master Stock'!$H$2:$H$1000="OCCUPIED"),--ISNUMBER('Master Stock'!$L$2:$L$1000),--('Master Stock'!$L$2:$L$1000&lt;TODAY()-30),--('Master Stock'!$L$2:$L$1000&lt;'Master Stock'!L645))+COUNTIFS('Master Stock'!$L$2:L645,'Master Stock'!L645,'Master Stock'!$D$2:D645,"&lt;&gt;",'Master Stock'!$H$2:H645,"OCCUPIED"),"")</f>
        <v/>
      </c>
      <c r="W645" s="149" t="n"/>
      <c r="X645" s="149" t="n"/>
      <c r="Y645" s="149" t="n"/>
      <c r="Z645" s="149" t="n"/>
    </row>
    <row r="646" ht="15.75" customHeight="1" s="236">
      <c r="A646" s="148" t="n"/>
      <c r="B646" s="148" t="n"/>
      <c r="C646" s="124" t="n"/>
      <c r="D646" s="148" t="n"/>
      <c r="E646" s="148" t="n"/>
      <c r="F646" s="148" t="n"/>
      <c r="G646" s="124" t="n"/>
      <c r="H646" s="148" t="n"/>
      <c r="I646" s="148" t="n"/>
      <c r="J646" s="148" t="n"/>
      <c r="K646" s="148" t="n"/>
      <c r="L646" s="148" t="n"/>
      <c r="M646" s="148" t="n"/>
      <c r="N646" s="148" t="n"/>
      <c r="O646" s="148" t="n"/>
      <c r="P646" s="148" t="n"/>
      <c r="Q646" s="148" t="n"/>
      <c r="R646" s="148" t="n"/>
      <c r="S646" s="148" t="n"/>
      <c r="T646" s="148" t="n"/>
      <c r="U646" s="149">
        <f>IF(AND('Master Stock'!D646&lt;&gt;"",'Master Stock'!H646="OCCUPIED",ISNUMBER('Master Stock'!J646),'Master Stock'!K646=""),SUMPRODUCT(--('Master Stock'!$D$2:$D$1000&lt;&gt;""),--('Master Stock'!$H$2:$H$1000="OCCUPIED"),--ISNUMBER('Master Stock'!$J$2:$J$1000),--('Master Stock'!$K$2:$K$1000=""),--('Master Stock'!$J$2:$J$1000&lt;'Master Stock'!J646))+COUNTIFS('Master Stock'!$J$2:J646,'Master Stock'!J646,'Master Stock'!$D$2:D646,"&lt;&gt;",'Master Stock'!$H$2:H646,"OCCUPIED",'Master Stock'!$K$2:K646,""),"")</f>
        <v/>
      </c>
      <c r="V646" s="149">
        <f>IF(AND('Master Stock'!D646&lt;&gt;"",'Master Stock'!H646="OCCUPIED",ISNUMBER('Master Stock'!L646),'Master Stock'!L646&lt;TODAY()-30),SUMPRODUCT(--('Master Stock'!$D$2:$D$1000&lt;&gt;""),--('Master Stock'!$H$2:$H$1000="OCCUPIED"),--ISNUMBER('Master Stock'!$L$2:$L$1000),--('Master Stock'!$L$2:$L$1000&lt;TODAY()-30),--('Master Stock'!$L$2:$L$1000&lt;'Master Stock'!L646))+COUNTIFS('Master Stock'!$L$2:L646,'Master Stock'!L646,'Master Stock'!$D$2:D646,"&lt;&gt;",'Master Stock'!$H$2:H646,"OCCUPIED"),"")</f>
        <v/>
      </c>
      <c r="W646" s="149" t="n"/>
      <c r="X646" s="149" t="n"/>
      <c r="Y646" s="149" t="n"/>
      <c r="Z646" s="149" t="n"/>
    </row>
    <row r="647" ht="15.75" customHeight="1" s="236">
      <c r="A647" s="148" t="n"/>
      <c r="B647" s="148" t="n"/>
      <c r="C647" s="124" t="n"/>
      <c r="D647" s="148" t="n"/>
      <c r="E647" s="148" t="n"/>
      <c r="F647" s="148" t="n"/>
      <c r="G647" s="124" t="n"/>
      <c r="H647" s="148" t="n"/>
      <c r="I647" s="148" t="n"/>
      <c r="J647" s="148" t="n"/>
      <c r="K647" s="148" t="n"/>
      <c r="L647" s="148" t="n"/>
      <c r="M647" s="148" t="n"/>
      <c r="N647" s="148" t="n"/>
      <c r="O647" s="148" t="n"/>
      <c r="P647" s="148" t="n"/>
      <c r="Q647" s="148" t="n"/>
      <c r="R647" s="148" t="n"/>
      <c r="S647" s="148" t="n"/>
      <c r="T647" s="148" t="n"/>
      <c r="U647" s="149">
        <f>IF(AND('Master Stock'!D647&lt;&gt;"",'Master Stock'!H647="OCCUPIED",ISNUMBER('Master Stock'!J647),'Master Stock'!K647=""),SUMPRODUCT(--('Master Stock'!$D$2:$D$1000&lt;&gt;""),--('Master Stock'!$H$2:$H$1000="OCCUPIED"),--ISNUMBER('Master Stock'!$J$2:$J$1000),--('Master Stock'!$K$2:$K$1000=""),--('Master Stock'!$J$2:$J$1000&lt;'Master Stock'!J647))+COUNTIFS('Master Stock'!$J$2:J647,'Master Stock'!J647,'Master Stock'!$D$2:D647,"&lt;&gt;",'Master Stock'!$H$2:H647,"OCCUPIED",'Master Stock'!$K$2:K647,""),"")</f>
        <v/>
      </c>
      <c r="V647" s="149">
        <f>IF(AND('Master Stock'!D647&lt;&gt;"",'Master Stock'!H647="OCCUPIED",ISNUMBER('Master Stock'!L647),'Master Stock'!L647&lt;TODAY()-30),SUMPRODUCT(--('Master Stock'!$D$2:$D$1000&lt;&gt;""),--('Master Stock'!$H$2:$H$1000="OCCUPIED"),--ISNUMBER('Master Stock'!$L$2:$L$1000),--('Master Stock'!$L$2:$L$1000&lt;TODAY()-30),--('Master Stock'!$L$2:$L$1000&lt;'Master Stock'!L647))+COUNTIFS('Master Stock'!$L$2:L647,'Master Stock'!L647,'Master Stock'!$D$2:D647,"&lt;&gt;",'Master Stock'!$H$2:H647,"OCCUPIED"),"")</f>
        <v/>
      </c>
      <c r="W647" s="149" t="n"/>
      <c r="X647" s="149" t="n"/>
      <c r="Y647" s="149" t="n"/>
      <c r="Z647" s="149" t="n"/>
    </row>
    <row r="648" ht="15.75" customHeight="1" s="236">
      <c r="A648" s="148" t="n"/>
      <c r="B648" s="148" t="n"/>
      <c r="C648" s="124" t="n"/>
      <c r="D648" s="148" t="n"/>
      <c r="E648" s="148" t="n"/>
      <c r="F648" s="148" t="n"/>
      <c r="G648" s="124" t="n"/>
      <c r="H648" s="148" t="n"/>
      <c r="I648" s="148" t="n"/>
      <c r="J648" s="148" t="n"/>
      <c r="K648" s="148" t="n"/>
      <c r="L648" s="148" t="n"/>
      <c r="M648" s="148" t="n"/>
      <c r="N648" s="148" t="n"/>
      <c r="O648" s="148" t="n"/>
      <c r="P648" s="148" t="n"/>
      <c r="Q648" s="148" t="n"/>
      <c r="R648" s="148" t="n"/>
      <c r="S648" s="148" t="n"/>
      <c r="T648" s="148" t="n"/>
      <c r="U648" s="149">
        <f>IF(AND('Master Stock'!D648&lt;&gt;"",'Master Stock'!H648="OCCUPIED",ISNUMBER('Master Stock'!J648),'Master Stock'!K648=""),SUMPRODUCT(--('Master Stock'!$D$2:$D$1000&lt;&gt;""),--('Master Stock'!$H$2:$H$1000="OCCUPIED"),--ISNUMBER('Master Stock'!$J$2:$J$1000),--('Master Stock'!$K$2:$K$1000=""),--('Master Stock'!$J$2:$J$1000&lt;'Master Stock'!J648))+COUNTIFS('Master Stock'!$J$2:J648,'Master Stock'!J648,'Master Stock'!$D$2:D648,"&lt;&gt;",'Master Stock'!$H$2:H648,"OCCUPIED",'Master Stock'!$K$2:K648,""),"")</f>
        <v/>
      </c>
      <c r="V648" s="149">
        <f>IF(AND('Master Stock'!D648&lt;&gt;"",'Master Stock'!H648="OCCUPIED",ISNUMBER('Master Stock'!L648),'Master Stock'!L648&lt;TODAY()-30),SUMPRODUCT(--('Master Stock'!$D$2:$D$1000&lt;&gt;""),--('Master Stock'!$H$2:$H$1000="OCCUPIED"),--ISNUMBER('Master Stock'!$L$2:$L$1000),--('Master Stock'!$L$2:$L$1000&lt;TODAY()-30),--('Master Stock'!$L$2:$L$1000&lt;'Master Stock'!L648))+COUNTIFS('Master Stock'!$L$2:L648,'Master Stock'!L648,'Master Stock'!$D$2:D648,"&lt;&gt;",'Master Stock'!$H$2:H648,"OCCUPIED"),"")</f>
        <v/>
      </c>
      <c r="W648" s="149" t="n"/>
      <c r="X648" s="149" t="n"/>
      <c r="Y648" s="149" t="n"/>
      <c r="Z648" s="149" t="n"/>
    </row>
    <row r="649" ht="15.75" customHeight="1" s="236">
      <c r="A649" s="148" t="n"/>
      <c r="B649" s="148" t="n"/>
      <c r="C649" s="124" t="n"/>
      <c r="D649" s="148" t="n"/>
      <c r="E649" s="148" t="n"/>
      <c r="F649" s="148" t="n"/>
      <c r="G649" s="124" t="n"/>
      <c r="H649" s="148" t="n"/>
      <c r="I649" s="148" t="n"/>
      <c r="J649" s="148" t="n"/>
      <c r="K649" s="148" t="n"/>
      <c r="L649" s="148" t="n"/>
      <c r="M649" s="148" t="n"/>
      <c r="N649" s="148" t="n"/>
      <c r="O649" s="148" t="n"/>
      <c r="P649" s="148" t="n"/>
      <c r="Q649" s="148" t="n"/>
      <c r="R649" s="148" t="n"/>
      <c r="S649" s="148" t="n"/>
      <c r="T649" s="148" t="n"/>
      <c r="U649" s="149">
        <f>IF(AND('Master Stock'!D649&lt;&gt;"",'Master Stock'!H649="OCCUPIED",ISNUMBER('Master Stock'!J649),'Master Stock'!K649=""),SUMPRODUCT(--('Master Stock'!$D$2:$D$1000&lt;&gt;""),--('Master Stock'!$H$2:$H$1000="OCCUPIED"),--ISNUMBER('Master Stock'!$J$2:$J$1000),--('Master Stock'!$K$2:$K$1000=""),--('Master Stock'!$J$2:$J$1000&lt;'Master Stock'!J649))+COUNTIFS('Master Stock'!$J$2:J649,'Master Stock'!J649,'Master Stock'!$D$2:D649,"&lt;&gt;",'Master Stock'!$H$2:H649,"OCCUPIED",'Master Stock'!$K$2:K649,""),"")</f>
        <v/>
      </c>
      <c r="V649" s="149">
        <f>IF(AND('Master Stock'!D649&lt;&gt;"",'Master Stock'!H649="OCCUPIED",ISNUMBER('Master Stock'!L649),'Master Stock'!L649&lt;TODAY()-30),SUMPRODUCT(--('Master Stock'!$D$2:$D$1000&lt;&gt;""),--('Master Stock'!$H$2:$H$1000="OCCUPIED"),--ISNUMBER('Master Stock'!$L$2:$L$1000),--('Master Stock'!$L$2:$L$1000&lt;TODAY()-30),--('Master Stock'!$L$2:$L$1000&lt;'Master Stock'!L649))+COUNTIFS('Master Stock'!$L$2:L649,'Master Stock'!L649,'Master Stock'!$D$2:D649,"&lt;&gt;",'Master Stock'!$H$2:H649,"OCCUPIED"),"")</f>
        <v/>
      </c>
      <c r="W649" s="149" t="n"/>
      <c r="X649" s="149" t="n"/>
      <c r="Y649" s="149" t="n"/>
      <c r="Z649" s="149" t="n"/>
    </row>
    <row r="650" ht="15.75" customHeight="1" s="236">
      <c r="A650" s="148" t="n"/>
      <c r="B650" s="148" t="n"/>
      <c r="C650" s="124" t="n"/>
      <c r="D650" s="148" t="n"/>
      <c r="E650" s="148" t="n"/>
      <c r="F650" s="148" t="n"/>
      <c r="G650" s="124" t="n"/>
      <c r="H650" s="148" t="n"/>
      <c r="I650" s="148" t="n"/>
      <c r="J650" s="148" t="n"/>
      <c r="K650" s="148" t="n"/>
      <c r="L650" s="148" t="n"/>
      <c r="M650" s="148" t="n"/>
      <c r="N650" s="148" t="n"/>
      <c r="O650" s="148" t="n"/>
      <c r="P650" s="148" t="n"/>
      <c r="Q650" s="148" t="n"/>
      <c r="R650" s="148" t="n"/>
      <c r="S650" s="148" t="n"/>
      <c r="T650" s="148" t="n"/>
      <c r="U650" s="149">
        <f>IF(AND('Master Stock'!D650&lt;&gt;"",'Master Stock'!H650="OCCUPIED",ISNUMBER('Master Stock'!J650),'Master Stock'!K650=""),SUMPRODUCT(--('Master Stock'!$D$2:$D$1000&lt;&gt;""),--('Master Stock'!$H$2:$H$1000="OCCUPIED"),--ISNUMBER('Master Stock'!$J$2:$J$1000),--('Master Stock'!$K$2:$K$1000=""),--('Master Stock'!$J$2:$J$1000&lt;'Master Stock'!J650))+COUNTIFS('Master Stock'!$J$2:J650,'Master Stock'!J650,'Master Stock'!$D$2:D650,"&lt;&gt;",'Master Stock'!$H$2:H650,"OCCUPIED",'Master Stock'!$K$2:K650,""),"")</f>
        <v/>
      </c>
      <c r="V650" s="149">
        <f>IF(AND('Master Stock'!D650&lt;&gt;"",'Master Stock'!H650="OCCUPIED",ISNUMBER('Master Stock'!L650),'Master Stock'!L650&lt;TODAY()-30),SUMPRODUCT(--('Master Stock'!$D$2:$D$1000&lt;&gt;""),--('Master Stock'!$H$2:$H$1000="OCCUPIED"),--ISNUMBER('Master Stock'!$L$2:$L$1000),--('Master Stock'!$L$2:$L$1000&lt;TODAY()-30),--('Master Stock'!$L$2:$L$1000&lt;'Master Stock'!L650))+COUNTIFS('Master Stock'!$L$2:L650,'Master Stock'!L650,'Master Stock'!$D$2:D650,"&lt;&gt;",'Master Stock'!$H$2:H650,"OCCUPIED"),"")</f>
        <v/>
      </c>
      <c r="W650" s="149" t="n"/>
      <c r="X650" s="149" t="n"/>
      <c r="Y650" s="149" t="n"/>
      <c r="Z650" s="149" t="n"/>
    </row>
    <row r="651" ht="15.75" customHeight="1" s="236">
      <c r="A651" s="148" t="n"/>
      <c r="B651" s="148" t="n"/>
      <c r="C651" s="124" t="n"/>
      <c r="D651" s="148" t="n"/>
      <c r="E651" s="148" t="n"/>
      <c r="F651" s="148" t="n"/>
      <c r="G651" s="124" t="n"/>
      <c r="H651" s="148" t="n"/>
      <c r="I651" s="148" t="n"/>
      <c r="J651" s="148" t="n"/>
      <c r="K651" s="148" t="n"/>
      <c r="L651" s="148" t="n"/>
      <c r="M651" s="148" t="n"/>
      <c r="N651" s="148" t="n"/>
      <c r="O651" s="148" t="n"/>
      <c r="P651" s="148" t="n"/>
      <c r="Q651" s="148" t="n"/>
      <c r="R651" s="148" t="n"/>
      <c r="S651" s="148" t="n"/>
      <c r="T651" s="148" t="n"/>
      <c r="U651" s="149">
        <f>IF(AND('Master Stock'!D651&lt;&gt;"",'Master Stock'!H651="OCCUPIED",ISNUMBER('Master Stock'!J651),'Master Stock'!K651=""),SUMPRODUCT(--('Master Stock'!$D$2:$D$1000&lt;&gt;""),--('Master Stock'!$H$2:$H$1000="OCCUPIED"),--ISNUMBER('Master Stock'!$J$2:$J$1000),--('Master Stock'!$K$2:$K$1000=""),--('Master Stock'!$J$2:$J$1000&lt;'Master Stock'!J651))+COUNTIFS('Master Stock'!$J$2:J651,'Master Stock'!J651,'Master Stock'!$D$2:D651,"&lt;&gt;",'Master Stock'!$H$2:H651,"OCCUPIED",'Master Stock'!$K$2:K651,""),"")</f>
        <v/>
      </c>
      <c r="V651" s="149">
        <f>IF(AND('Master Stock'!D651&lt;&gt;"",'Master Stock'!H651="OCCUPIED",ISNUMBER('Master Stock'!L651),'Master Stock'!L651&lt;TODAY()-30),SUMPRODUCT(--('Master Stock'!$D$2:$D$1000&lt;&gt;""),--('Master Stock'!$H$2:$H$1000="OCCUPIED"),--ISNUMBER('Master Stock'!$L$2:$L$1000),--('Master Stock'!$L$2:$L$1000&lt;TODAY()-30),--('Master Stock'!$L$2:$L$1000&lt;'Master Stock'!L651))+COUNTIFS('Master Stock'!$L$2:L651,'Master Stock'!L651,'Master Stock'!$D$2:D651,"&lt;&gt;",'Master Stock'!$H$2:H651,"OCCUPIED"),"")</f>
        <v/>
      </c>
      <c r="W651" s="149" t="n"/>
      <c r="X651" s="149" t="n"/>
      <c r="Y651" s="149" t="n"/>
      <c r="Z651" s="149" t="n"/>
    </row>
    <row r="652" ht="15.75" customHeight="1" s="236">
      <c r="A652" s="148" t="n"/>
      <c r="B652" s="148" t="n"/>
      <c r="C652" s="124" t="n"/>
      <c r="D652" s="148" t="n"/>
      <c r="E652" s="148" t="n"/>
      <c r="F652" s="148" t="n"/>
      <c r="G652" s="124" t="n"/>
      <c r="H652" s="148" t="n"/>
      <c r="I652" s="148" t="n"/>
      <c r="J652" s="148" t="n"/>
      <c r="K652" s="148" t="n"/>
      <c r="L652" s="148" t="n"/>
      <c r="M652" s="148" t="n"/>
      <c r="N652" s="148" t="n"/>
      <c r="O652" s="148" t="n"/>
      <c r="P652" s="148" t="n"/>
      <c r="Q652" s="148" t="n"/>
      <c r="R652" s="148" t="n"/>
      <c r="S652" s="148" t="n"/>
      <c r="T652" s="148" t="n"/>
      <c r="U652" s="149">
        <f>IF(AND('Master Stock'!D652&lt;&gt;"",'Master Stock'!H652="OCCUPIED",ISNUMBER('Master Stock'!J652),'Master Stock'!K652=""),SUMPRODUCT(--('Master Stock'!$D$2:$D$1000&lt;&gt;""),--('Master Stock'!$H$2:$H$1000="OCCUPIED"),--ISNUMBER('Master Stock'!$J$2:$J$1000),--('Master Stock'!$K$2:$K$1000=""),--('Master Stock'!$J$2:$J$1000&lt;'Master Stock'!J652))+COUNTIFS('Master Stock'!$J$2:J652,'Master Stock'!J652,'Master Stock'!$D$2:D652,"&lt;&gt;",'Master Stock'!$H$2:H652,"OCCUPIED",'Master Stock'!$K$2:K652,""),"")</f>
        <v/>
      </c>
      <c r="V652" s="149">
        <f>IF(AND('Master Stock'!D652&lt;&gt;"",'Master Stock'!H652="OCCUPIED",ISNUMBER('Master Stock'!L652),'Master Stock'!L652&lt;TODAY()-30),SUMPRODUCT(--('Master Stock'!$D$2:$D$1000&lt;&gt;""),--('Master Stock'!$H$2:$H$1000="OCCUPIED"),--ISNUMBER('Master Stock'!$L$2:$L$1000),--('Master Stock'!$L$2:$L$1000&lt;TODAY()-30),--('Master Stock'!$L$2:$L$1000&lt;'Master Stock'!L652))+COUNTIFS('Master Stock'!$L$2:L652,'Master Stock'!L652,'Master Stock'!$D$2:D652,"&lt;&gt;",'Master Stock'!$H$2:H652,"OCCUPIED"),"")</f>
        <v/>
      </c>
      <c r="W652" s="149" t="n"/>
      <c r="X652" s="149" t="n"/>
      <c r="Y652" s="149" t="n"/>
      <c r="Z652" s="149" t="n"/>
    </row>
    <row r="653" ht="15.75" customHeight="1" s="236">
      <c r="A653" s="148" t="n"/>
      <c r="B653" s="148" t="n"/>
      <c r="C653" s="124" t="n"/>
      <c r="D653" s="148" t="n"/>
      <c r="E653" s="148" t="n"/>
      <c r="F653" s="148" t="n"/>
      <c r="G653" s="124" t="n"/>
      <c r="H653" s="148" t="n"/>
      <c r="I653" s="148" t="n"/>
      <c r="J653" s="148" t="n"/>
      <c r="K653" s="148" t="n"/>
      <c r="L653" s="148" t="n"/>
      <c r="M653" s="148" t="n"/>
      <c r="N653" s="148" t="n"/>
      <c r="O653" s="148" t="n"/>
      <c r="P653" s="148" t="n"/>
      <c r="Q653" s="148" t="n"/>
      <c r="R653" s="148" t="n"/>
      <c r="S653" s="148" t="n"/>
      <c r="T653" s="148" t="n"/>
      <c r="U653" s="149">
        <f>IF(AND('Master Stock'!D653&lt;&gt;"",'Master Stock'!H653="OCCUPIED",ISNUMBER('Master Stock'!J653),'Master Stock'!K653=""),SUMPRODUCT(--('Master Stock'!$D$2:$D$1000&lt;&gt;""),--('Master Stock'!$H$2:$H$1000="OCCUPIED"),--ISNUMBER('Master Stock'!$J$2:$J$1000),--('Master Stock'!$K$2:$K$1000=""),--('Master Stock'!$J$2:$J$1000&lt;'Master Stock'!J653))+COUNTIFS('Master Stock'!$J$2:J653,'Master Stock'!J653,'Master Stock'!$D$2:D653,"&lt;&gt;",'Master Stock'!$H$2:H653,"OCCUPIED",'Master Stock'!$K$2:K653,""),"")</f>
        <v/>
      </c>
      <c r="V653" s="149">
        <f>IF(AND('Master Stock'!D653&lt;&gt;"",'Master Stock'!H653="OCCUPIED",ISNUMBER('Master Stock'!L653),'Master Stock'!L653&lt;TODAY()-30),SUMPRODUCT(--('Master Stock'!$D$2:$D$1000&lt;&gt;""),--('Master Stock'!$H$2:$H$1000="OCCUPIED"),--ISNUMBER('Master Stock'!$L$2:$L$1000),--('Master Stock'!$L$2:$L$1000&lt;TODAY()-30),--('Master Stock'!$L$2:$L$1000&lt;'Master Stock'!L653))+COUNTIFS('Master Stock'!$L$2:L653,'Master Stock'!L653,'Master Stock'!$D$2:D653,"&lt;&gt;",'Master Stock'!$H$2:H653,"OCCUPIED"),"")</f>
        <v/>
      </c>
      <c r="W653" s="149" t="n"/>
      <c r="X653" s="149" t="n"/>
      <c r="Y653" s="149" t="n"/>
      <c r="Z653" s="149" t="n"/>
    </row>
    <row r="654" ht="15.75" customHeight="1" s="236">
      <c r="A654" s="148" t="n"/>
      <c r="B654" s="148" t="n"/>
      <c r="C654" s="124" t="n"/>
      <c r="D654" s="148" t="n"/>
      <c r="E654" s="148" t="n"/>
      <c r="F654" s="148" t="n"/>
      <c r="G654" s="124" t="n"/>
      <c r="H654" s="148" t="n"/>
      <c r="I654" s="148" t="n"/>
      <c r="J654" s="148" t="n"/>
      <c r="K654" s="148" t="n"/>
      <c r="L654" s="148" t="n"/>
      <c r="M654" s="148" t="n"/>
      <c r="N654" s="148" t="n"/>
      <c r="O654" s="148" t="n"/>
      <c r="P654" s="148" t="n"/>
      <c r="Q654" s="148" t="n"/>
      <c r="R654" s="148" t="n"/>
      <c r="S654" s="148" t="n"/>
      <c r="T654" s="148" t="n"/>
      <c r="U654" s="149">
        <f>IF(AND('Master Stock'!D654&lt;&gt;"",'Master Stock'!H654="OCCUPIED",ISNUMBER('Master Stock'!J654),'Master Stock'!K654=""),SUMPRODUCT(--('Master Stock'!$D$2:$D$1000&lt;&gt;""),--('Master Stock'!$H$2:$H$1000="OCCUPIED"),--ISNUMBER('Master Stock'!$J$2:$J$1000),--('Master Stock'!$K$2:$K$1000=""),--('Master Stock'!$J$2:$J$1000&lt;'Master Stock'!J654))+COUNTIFS('Master Stock'!$J$2:J654,'Master Stock'!J654,'Master Stock'!$D$2:D654,"&lt;&gt;",'Master Stock'!$H$2:H654,"OCCUPIED",'Master Stock'!$K$2:K654,""),"")</f>
        <v/>
      </c>
      <c r="V654" s="149">
        <f>IF(AND('Master Stock'!D654&lt;&gt;"",'Master Stock'!H654="OCCUPIED",ISNUMBER('Master Stock'!L654),'Master Stock'!L654&lt;TODAY()-30),SUMPRODUCT(--('Master Stock'!$D$2:$D$1000&lt;&gt;""),--('Master Stock'!$H$2:$H$1000="OCCUPIED"),--ISNUMBER('Master Stock'!$L$2:$L$1000),--('Master Stock'!$L$2:$L$1000&lt;TODAY()-30),--('Master Stock'!$L$2:$L$1000&lt;'Master Stock'!L654))+COUNTIFS('Master Stock'!$L$2:L654,'Master Stock'!L654,'Master Stock'!$D$2:D654,"&lt;&gt;",'Master Stock'!$H$2:H654,"OCCUPIED"),"")</f>
        <v/>
      </c>
      <c r="W654" s="149" t="n"/>
      <c r="X654" s="149" t="n"/>
      <c r="Y654" s="149" t="n"/>
      <c r="Z654" s="149" t="n"/>
    </row>
    <row r="655" ht="15.75" customHeight="1" s="236">
      <c r="A655" s="148" t="n"/>
      <c r="B655" s="148" t="n"/>
      <c r="C655" s="124" t="n"/>
      <c r="D655" s="148" t="n"/>
      <c r="E655" s="148" t="n"/>
      <c r="F655" s="148" t="n"/>
      <c r="G655" s="124" t="n"/>
      <c r="H655" s="148" t="n"/>
      <c r="I655" s="148" t="n"/>
      <c r="J655" s="148" t="n"/>
      <c r="K655" s="148" t="n"/>
      <c r="L655" s="148" t="n"/>
      <c r="M655" s="148" t="n"/>
      <c r="N655" s="148" t="n"/>
      <c r="O655" s="148" t="n"/>
      <c r="P655" s="148" t="n"/>
      <c r="Q655" s="148" t="n"/>
      <c r="R655" s="148" t="n"/>
      <c r="S655" s="148" t="n"/>
      <c r="T655" s="148" t="n"/>
      <c r="U655" s="149">
        <f>IF(AND('Master Stock'!D655&lt;&gt;"",'Master Stock'!H655="OCCUPIED",ISNUMBER('Master Stock'!J655),'Master Stock'!K655=""),SUMPRODUCT(--('Master Stock'!$D$2:$D$1000&lt;&gt;""),--('Master Stock'!$H$2:$H$1000="OCCUPIED"),--ISNUMBER('Master Stock'!$J$2:$J$1000),--('Master Stock'!$K$2:$K$1000=""),--('Master Stock'!$J$2:$J$1000&lt;'Master Stock'!J655))+COUNTIFS('Master Stock'!$J$2:J655,'Master Stock'!J655,'Master Stock'!$D$2:D655,"&lt;&gt;",'Master Stock'!$H$2:H655,"OCCUPIED",'Master Stock'!$K$2:K655,""),"")</f>
        <v/>
      </c>
      <c r="V655" s="149">
        <f>IF(AND('Master Stock'!D655&lt;&gt;"",'Master Stock'!H655="OCCUPIED",ISNUMBER('Master Stock'!L655),'Master Stock'!L655&lt;TODAY()-30),SUMPRODUCT(--('Master Stock'!$D$2:$D$1000&lt;&gt;""),--('Master Stock'!$H$2:$H$1000="OCCUPIED"),--ISNUMBER('Master Stock'!$L$2:$L$1000),--('Master Stock'!$L$2:$L$1000&lt;TODAY()-30),--('Master Stock'!$L$2:$L$1000&lt;'Master Stock'!L655))+COUNTIFS('Master Stock'!$L$2:L655,'Master Stock'!L655,'Master Stock'!$D$2:D655,"&lt;&gt;",'Master Stock'!$H$2:H655,"OCCUPIED"),"")</f>
        <v/>
      </c>
      <c r="W655" s="149" t="n"/>
      <c r="X655" s="149" t="n"/>
      <c r="Y655" s="149" t="n"/>
      <c r="Z655" s="149" t="n"/>
    </row>
    <row r="656" ht="15.75" customHeight="1" s="236">
      <c r="A656" s="148" t="n"/>
      <c r="B656" s="148" t="n"/>
      <c r="C656" s="124" t="n"/>
      <c r="D656" s="148" t="n"/>
      <c r="E656" s="148" t="n"/>
      <c r="F656" s="148" t="n"/>
      <c r="G656" s="124" t="n"/>
      <c r="H656" s="148" t="n"/>
      <c r="I656" s="148" t="n"/>
      <c r="J656" s="148" t="n"/>
      <c r="K656" s="148" t="n"/>
      <c r="L656" s="148" t="n"/>
      <c r="M656" s="148" t="n"/>
      <c r="N656" s="148" t="n"/>
      <c r="O656" s="148" t="n"/>
      <c r="P656" s="148" t="n"/>
      <c r="Q656" s="148" t="n"/>
      <c r="R656" s="148" t="n"/>
      <c r="S656" s="148" t="n"/>
      <c r="T656" s="148" t="n"/>
      <c r="U656" s="149">
        <f>IF(AND('Master Stock'!D656&lt;&gt;"",'Master Stock'!H656="OCCUPIED",ISNUMBER('Master Stock'!J656),'Master Stock'!K656=""),SUMPRODUCT(--('Master Stock'!$D$2:$D$1000&lt;&gt;""),--('Master Stock'!$H$2:$H$1000="OCCUPIED"),--ISNUMBER('Master Stock'!$J$2:$J$1000),--('Master Stock'!$K$2:$K$1000=""),--('Master Stock'!$J$2:$J$1000&lt;'Master Stock'!J656))+COUNTIFS('Master Stock'!$J$2:J656,'Master Stock'!J656,'Master Stock'!$D$2:D656,"&lt;&gt;",'Master Stock'!$H$2:H656,"OCCUPIED",'Master Stock'!$K$2:K656,""),"")</f>
        <v/>
      </c>
      <c r="V656" s="149">
        <f>IF(AND('Master Stock'!D656&lt;&gt;"",'Master Stock'!H656="OCCUPIED",ISNUMBER('Master Stock'!L656),'Master Stock'!L656&lt;TODAY()-30),SUMPRODUCT(--('Master Stock'!$D$2:$D$1000&lt;&gt;""),--('Master Stock'!$H$2:$H$1000="OCCUPIED"),--ISNUMBER('Master Stock'!$L$2:$L$1000),--('Master Stock'!$L$2:$L$1000&lt;TODAY()-30),--('Master Stock'!$L$2:$L$1000&lt;'Master Stock'!L656))+COUNTIFS('Master Stock'!$L$2:L656,'Master Stock'!L656,'Master Stock'!$D$2:D656,"&lt;&gt;",'Master Stock'!$H$2:H656,"OCCUPIED"),"")</f>
        <v/>
      </c>
      <c r="W656" s="149" t="n"/>
      <c r="X656" s="149" t="n"/>
      <c r="Y656" s="149" t="n"/>
      <c r="Z656" s="149" t="n"/>
    </row>
    <row r="657" ht="15.75" customHeight="1" s="236">
      <c r="A657" s="148" t="n"/>
      <c r="B657" s="148" t="n"/>
      <c r="C657" s="124" t="n"/>
      <c r="D657" s="148" t="n"/>
      <c r="E657" s="148" t="n"/>
      <c r="F657" s="148" t="n"/>
      <c r="G657" s="124" t="n"/>
      <c r="H657" s="148" t="n"/>
      <c r="I657" s="148" t="n"/>
      <c r="J657" s="148" t="n"/>
      <c r="K657" s="148" t="n"/>
      <c r="L657" s="148" t="n"/>
      <c r="M657" s="148" t="n"/>
      <c r="N657" s="148" t="n"/>
      <c r="O657" s="148" t="n"/>
      <c r="P657" s="148" t="n"/>
      <c r="Q657" s="148" t="n"/>
      <c r="R657" s="148" t="n"/>
      <c r="S657" s="148" t="n"/>
      <c r="T657" s="148" t="n"/>
      <c r="U657" s="149">
        <f>IF(AND('Master Stock'!D657&lt;&gt;"",'Master Stock'!H657="OCCUPIED",ISNUMBER('Master Stock'!J657),'Master Stock'!K657=""),SUMPRODUCT(--('Master Stock'!$D$2:$D$1000&lt;&gt;""),--('Master Stock'!$H$2:$H$1000="OCCUPIED"),--ISNUMBER('Master Stock'!$J$2:$J$1000),--('Master Stock'!$K$2:$K$1000=""),--('Master Stock'!$J$2:$J$1000&lt;'Master Stock'!J657))+COUNTIFS('Master Stock'!$J$2:J657,'Master Stock'!J657,'Master Stock'!$D$2:D657,"&lt;&gt;",'Master Stock'!$H$2:H657,"OCCUPIED",'Master Stock'!$K$2:K657,""),"")</f>
        <v/>
      </c>
      <c r="V657" s="149">
        <f>IF(AND('Master Stock'!D657&lt;&gt;"",'Master Stock'!H657="OCCUPIED",ISNUMBER('Master Stock'!L657),'Master Stock'!L657&lt;TODAY()-30),SUMPRODUCT(--('Master Stock'!$D$2:$D$1000&lt;&gt;""),--('Master Stock'!$H$2:$H$1000="OCCUPIED"),--ISNUMBER('Master Stock'!$L$2:$L$1000),--('Master Stock'!$L$2:$L$1000&lt;TODAY()-30),--('Master Stock'!$L$2:$L$1000&lt;'Master Stock'!L657))+COUNTIFS('Master Stock'!$L$2:L657,'Master Stock'!L657,'Master Stock'!$D$2:D657,"&lt;&gt;",'Master Stock'!$H$2:H657,"OCCUPIED"),"")</f>
        <v/>
      </c>
      <c r="W657" s="149" t="n"/>
      <c r="X657" s="149" t="n"/>
      <c r="Y657" s="149" t="n"/>
      <c r="Z657" s="149" t="n"/>
    </row>
    <row r="658" ht="15.75" customHeight="1" s="236">
      <c r="A658" s="148" t="n"/>
      <c r="B658" s="148" t="n"/>
      <c r="C658" s="124" t="n"/>
      <c r="D658" s="148" t="n"/>
      <c r="E658" s="148" t="n"/>
      <c r="F658" s="148" t="n"/>
      <c r="G658" s="124" t="n"/>
      <c r="H658" s="148" t="n"/>
      <c r="I658" s="148" t="n"/>
      <c r="J658" s="148" t="n"/>
      <c r="K658" s="148" t="n"/>
      <c r="L658" s="148" t="n"/>
      <c r="M658" s="148" t="n"/>
      <c r="N658" s="148" t="n"/>
      <c r="O658" s="148" t="n"/>
      <c r="P658" s="148" t="n"/>
      <c r="Q658" s="148" t="n"/>
      <c r="R658" s="148" t="n"/>
      <c r="S658" s="148" t="n"/>
      <c r="T658" s="148" t="n"/>
      <c r="U658" s="149">
        <f>IF(AND('Master Stock'!D658&lt;&gt;"",'Master Stock'!H658="OCCUPIED",ISNUMBER('Master Stock'!J658),'Master Stock'!K658=""),SUMPRODUCT(--('Master Stock'!$D$2:$D$1000&lt;&gt;""),--('Master Stock'!$H$2:$H$1000="OCCUPIED"),--ISNUMBER('Master Stock'!$J$2:$J$1000),--('Master Stock'!$K$2:$K$1000=""),--('Master Stock'!$J$2:$J$1000&lt;'Master Stock'!J658))+COUNTIFS('Master Stock'!$J$2:J658,'Master Stock'!J658,'Master Stock'!$D$2:D658,"&lt;&gt;",'Master Stock'!$H$2:H658,"OCCUPIED",'Master Stock'!$K$2:K658,""),"")</f>
        <v/>
      </c>
      <c r="V658" s="149">
        <f>IF(AND('Master Stock'!D658&lt;&gt;"",'Master Stock'!H658="OCCUPIED",ISNUMBER('Master Stock'!L658),'Master Stock'!L658&lt;TODAY()-30),SUMPRODUCT(--('Master Stock'!$D$2:$D$1000&lt;&gt;""),--('Master Stock'!$H$2:$H$1000="OCCUPIED"),--ISNUMBER('Master Stock'!$L$2:$L$1000),--('Master Stock'!$L$2:$L$1000&lt;TODAY()-30),--('Master Stock'!$L$2:$L$1000&lt;'Master Stock'!L658))+COUNTIFS('Master Stock'!$L$2:L658,'Master Stock'!L658,'Master Stock'!$D$2:D658,"&lt;&gt;",'Master Stock'!$H$2:H658,"OCCUPIED"),"")</f>
        <v/>
      </c>
      <c r="W658" s="149" t="n"/>
      <c r="X658" s="149" t="n"/>
      <c r="Y658" s="149" t="n"/>
      <c r="Z658" s="149" t="n"/>
    </row>
    <row r="659" ht="15.75" customHeight="1" s="236">
      <c r="A659" s="148" t="n"/>
      <c r="B659" s="148" t="n"/>
      <c r="C659" s="124" t="n"/>
      <c r="D659" s="148" t="n"/>
      <c r="E659" s="148" t="n"/>
      <c r="F659" s="148" t="n"/>
      <c r="G659" s="124" t="n"/>
      <c r="H659" s="148" t="n"/>
      <c r="I659" s="148" t="n"/>
      <c r="J659" s="148" t="n"/>
      <c r="K659" s="148" t="n"/>
      <c r="L659" s="148" t="n"/>
      <c r="M659" s="148" t="n"/>
      <c r="N659" s="148" t="n"/>
      <c r="O659" s="148" t="n"/>
      <c r="P659" s="148" t="n"/>
      <c r="Q659" s="148" t="n"/>
      <c r="R659" s="148" t="n"/>
      <c r="S659" s="148" t="n"/>
      <c r="T659" s="148" t="n"/>
      <c r="U659" s="149">
        <f>IF(AND('Master Stock'!D659&lt;&gt;"",'Master Stock'!H659="OCCUPIED",ISNUMBER('Master Stock'!J659),'Master Stock'!K659=""),SUMPRODUCT(--('Master Stock'!$D$2:$D$1000&lt;&gt;""),--('Master Stock'!$H$2:$H$1000="OCCUPIED"),--ISNUMBER('Master Stock'!$J$2:$J$1000),--('Master Stock'!$K$2:$K$1000=""),--('Master Stock'!$J$2:$J$1000&lt;'Master Stock'!J659))+COUNTIFS('Master Stock'!$J$2:J659,'Master Stock'!J659,'Master Stock'!$D$2:D659,"&lt;&gt;",'Master Stock'!$H$2:H659,"OCCUPIED",'Master Stock'!$K$2:K659,""),"")</f>
        <v/>
      </c>
      <c r="V659" s="149">
        <f>IF(AND('Master Stock'!D659&lt;&gt;"",'Master Stock'!H659="OCCUPIED",ISNUMBER('Master Stock'!L659),'Master Stock'!L659&lt;TODAY()-30),SUMPRODUCT(--('Master Stock'!$D$2:$D$1000&lt;&gt;""),--('Master Stock'!$H$2:$H$1000="OCCUPIED"),--ISNUMBER('Master Stock'!$L$2:$L$1000),--('Master Stock'!$L$2:$L$1000&lt;TODAY()-30),--('Master Stock'!$L$2:$L$1000&lt;'Master Stock'!L659))+COUNTIFS('Master Stock'!$L$2:L659,'Master Stock'!L659,'Master Stock'!$D$2:D659,"&lt;&gt;",'Master Stock'!$H$2:H659,"OCCUPIED"),"")</f>
        <v/>
      </c>
      <c r="W659" s="149" t="n"/>
      <c r="X659" s="149" t="n"/>
      <c r="Y659" s="149" t="n"/>
      <c r="Z659" s="149" t="n"/>
    </row>
    <row r="660" ht="15.75" customHeight="1" s="236">
      <c r="A660" s="148" t="n"/>
      <c r="B660" s="148" t="n"/>
      <c r="C660" s="124" t="n"/>
      <c r="D660" s="148" t="n"/>
      <c r="E660" s="148" t="n"/>
      <c r="F660" s="148" t="n"/>
      <c r="G660" s="124" t="n"/>
      <c r="H660" s="148" t="n"/>
      <c r="I660" s="148" t="n"/>
      <c r="J660" s="148" t="n"/>
      <c r="K660" s="148" t="n"/>
      <c r="L660" s="148" t="n"/>
      <c r="M660" s="148" t="n"/>
      <c r="N660" s="148" t="n"/>
      <c r="O660" s="148" t="n"/>
      <c r="P660" s="148" t="n"/>
      <c r="Q660" s="148" t="n"/>
      <c r="R660" s="148" t="n"/>
      <c r="S660" s="148" t="n"/>
      <c r="T660" s="148" t="n"/>
      <c r="U660" s="149">
        <f>IF(AND('Master Stock'!D660&lt;&gt;"",'Master Stock'!H660="OCCUPIED",ISNUMBER('Master Stock'!J660),'Master Stock'!K660=""),SUMPRODUCT(--('Master Stock'!$D$2:$D$1000&lt;&gt;""),--('Master Stock'!$H$2:$H$1000="OCCUPIED"),--ISNUMBER('Master Stock'!$J$2:$J$1000),--('Master Stock'!$K$2:$K$1000=""),--('Master Stock'!$J$2:$J$1000&lt;'Master Stock'!J660))+COUNTIFS('Master Stock'!$J$2:J660,'Master Stock'!J660,'Master Stock'!$D$2:D660,"&lt;&gt;",'Master Stock'!$H$2:H660,"OCCUPIED",'Master Stock'!$K$2:K660,""),"")</f>
        <v/>
      </c>
      <c r="V660" s="149">
        <f>IF(AND('Master Stock'!D660&lt;&gt;"",'Master Stock'!H660="OCCUPIED",ISNUMBER('Master Stock'!L660),'Master Stock'!L660&lt;TODAY()-30),SUMPRODUCT(--('Master Stock'!$D$2:$D$1000&lt;&gt;""),--('Master Stock'!$H$2:$H$1000="OCCUPIED"),--ISNUMBER('Master Stock'!$L$2:$L$1000),--('Master Stock'!$L$2:$L$1000&lt;TODAY()-30),--('Master Stock'!$L$2:$L$1000&lt;'Master Stock'!L660))+COUNTIFS('Master Stock'!$L$2:L660,'Master Stock'!L660,'Master Stock'!$D$2:D660,"&lt;&gt;",'Master Stock'!$H$2:H660,"OCCUPIED"),"")</f>
        <v/>
      </c>
      <c r="W660" s="149" t="n"/>
      <c r="X660" s="149" t="n"/>
      <c r="Y660" s="149" t="n"/>
      <c r="Z660" s="149" t="n"/>
    </row>
    <row r="661" ht="15.75" customHeight="1" s="236">
      <c r="A661" s="148" t="n"/>
      <c r="B661" s="148" t="n"/>
      <c r="C661" s="124" t="n"/>
      <c r="D661" s="148" t="n"/>
      <c r="E661" s="148" t="n"/>
      <c r="F661" s="148" t="n"/>
      <c r="G661" s="124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9">
        <f>IF(AND('Master Stock'!D661&lt;&gt;"",'Master Stock'!H661="OCCUPIED",ISNUMBER('Master Stock'!J661),'Master Stock'!K661=""),SUMPRODUCT(--('Master Stock'!$D$2:$D$1000&lt;&gt;""),--('Master Stock'!$H$2:$H$1000="OCCUPIED"),--ISNUMBER('Master Stock'!$J$2:$J$1000),--('Master Stock'!$K$2:$K$1000=""),--('Master Stock'!$J$2:$J$1000&lt;'Master Stock'!J661))+COUNTIFS('Master Stock'!$J$2:J661,'Master Stock'!J661,'Master Stock'!$D$2:D661,"&lt;&gt;",'Master Stock'!$H$2:H661,"OCCUPIED",'Master Stock'!$K$2:K661,""),"")</f>
        <v/>
      </c>
      <c r="V661" s="149">
        <f>IF(AND('Master Stock'!D661&lt;&gt;"",'Master Stock'!H661="OCCUPIED",ISNUMBER('Master Stock'!L661),'Master Stock'!L661&lt;TODAY()-30),SUMPRODUCT(--('Master Stock'!$D$2:$D$1000&lt;&gt;""),--('Master Stock'!$H$2:$H$1000="OCCUPIED"),--ISNUMBER('Master Stock'!$L$2:$L$1000),--('Master Stock'!$L$2:$L$1000&lt;TODAY()-30),--('Master Stock'!$L$2:$L$1000&lt;'Master Stock'!L661))+COUNTIFS('Master Stock'!$L$2:L661,'Master Stock'!L661,'Master Stock'!$D$2:D661,"&lt;&gt;",'Master Stock'!$H$2:H661,"OCCUPIED"),"")</f>
        <v/>
      </c>
      <c r="W661" s="149" t="n"/>
      <c r="X661" s="149" t="n"/>
      <c r="Y661" s="149" t="n"/>
      <c r="Z661" s="149" t="n"/>
    </row>
    <row r="662" ht="15.75" customHeight="1" s="236">
      <c r="A662" s="148" t="n"/>
      <c r="B662" s="148" t="n"/>
      <c r="C662" s="124" t="n"/>
      <c r="D662" s="148" t="n"/>
      <c r="E662" s="148" t="n"/>
      <c r="F662" s="148" t="n"/>
      <c r="G662" s="124" t="n"/>
      <c r="H662" s="148" t="n"/>
      <c r="I662" s="148" t="n"/>
      <c r="J662" s="148" t="n"/>
      <c r="K662" s="148" t="n"/>
      <c r="L662" s="148" t="n"/>
      <c r="M662" s="148" t="n"/>
      <c r="N662" s="148" t="n"/>
      <c r="O662" s="148" t="n"/>
      <c r="P662" s="148" t="n"/>
      <c r="Q662" s="148" t="n"/>
      <c r="R662" s="148" t="n"/>
      <c r="S662" s="148" t="n"/>
      <c r="T662" s="148" t="n"/>
      <c r="U662" s="149">
        <f>IF(AND('Master Stock'!D662&lt;&gt;"",'Master Stock'!H662="OCCUPIED",ISNUMBER('Master Stock'!J662),'Master Stock'!K662=""),SUMPRODUCT(--('Master Stock'!$D$2:$D$1000&lt;&gt;""),--('Master Stock'!$H$2:$H$1000="OCCUPIED"),--ISNUMBER('Master Stock'!$J$2:$J$1000),--('Master Stock'!$K$2:$K$1000=""),--('Master Stock'!$J$2:$J$1000&lt;'Master Stock'!J662))+COUNTIFS('Master Stock'!$J$2:J662,'Master Stock'!J662,'Master Stock'!$D$2:D662,"&lt;&gt;",'Master Stock'!$H$2:H662,"OCCUPIED",'Master Stock'!$K$2:K662,""),"")</f>
        <v/>
      </c>
      <c r="V662" s="149">
        <f>IF(AND('Master Stock'!D662&lt;&gt;"",'Master Stock'!H662="OCCUPIED",ISNUMBER('Master Stock'!L662),'Master Stock'!L662&lt;TODAY()-30),SUMPRODUCT(--('Master Stock'!$D$2:$D$1000&lt;&gt;""),--('Master Stock'!$H$2:$H$1000="OCCUPIED"),--ISNUMBER('Master Stock'!$L$2:$L$1000),--('Master Stock'!$L$2:$L$1000&lt;TODAY()-30),--('Master Stock'!$L$2:$L$1000&lt;'Master Stock'!L662))+COUNTIFS('Master Stock'!$L$2:L662,'Master Stock'!L662,'Master Stock'!$D$2:D662,"&lt;&gt;",'Master Stock'!$H$2:H662,"OCCUPIED"),"")</f>
        <v/>
      </c>
      <c r="W662" s="149" t="n"/>
      <c r="X662" s="149" t="n"/>
      <c r="Y662" s="149" t="n"/>
      <c r="Z662" s="149" t="n"/>
    </row>
    <row r="663" ht="15.75" customHeight="1" s="236">
      <c r="A663" s="148" t="n"/>
      <c r="B663" s="148" t="n"/>
      <c r="C663" s="124" t="n"/>
      <c r="D663" s="148" t="n"/>
      <c r="E663" s="148" t="n"/>
      <c r="F663" s="148" t="n"/>
      <c r="G663" s="124" t="n"/>
      <c r="H663" s="148" t="n"/>
      <c r="I663" s="148" t="n"/>
      <c r="J663" s="148" t="n"/>
      <c r="K663" s="148" t="n"/>
      <c r="L663" s="148" t="n"/>
      <c r="M663" s="148" t="n"/>
      <c r="N663" s="148" t="n"/>
      <c r="O663" s="148" t="n"/>
      <c r="P663" s="148" t="n"/>
      <c r="Q663" s="148" t="n"/>
      <c r="R663" s="148" t="n"/>
      <c r="S663" s="148" t="n"/>
      <c r="T663" s="148" t="n"/>
      <c r="U663" s="149">
        <f>IF(AND('Master Stock'!D663&lt;&gt;"",'Master Stock'!H663="OCCUPIED",ISNUMBER('Master Stock'!J663),'Master Stock'!K663=""),SUMPRODUCT(--('Master Stock'!$D$2:$D$1000&lt;&gt;""),--('Master Stock'!$H$2:$H$1000="OCCUPIED"),--ISNUMBER('Master Stock'!$J$2:$J$1000),--('Master Stock'!$K$2:$K$1000=""),--('Master Stock'!$J$2:$J$1000&lt;'Master Stock'!J663))+COUNTIFS('Master Stock'!$J$2:J663,'Master Stock'!J663,'Master Stock'!$D$2:D663,"&lt;&gt;",'Master Stock'!$H$2:H663,"OCCUPIED",'Master Stock'!$K$2:K663,""),"")</f>
        <v/>
      </c>
      <c r="V663" s="149">
        <f>IF(AND('Master Stock'!D663&lt;&gt;"",'Master Stock'!H663="OCCUPIED",ISNUMBER('Master Stock'!L663),'Master Stock'!L663&lt;TODAY()-30),SUMPRODUCT(--('Master Stock'!$D$2:$D$1000&lt;&gt;""),--('Master Stock'!$H$2:$H$1000="OCCUPIED"),--ISNUMBER('Master Stock'!$L$2:$L$1000),--('Master Stock'!$L$2:$L$1000&lt;TODAY()-30),--('Master Stock'!$L$2:$L$1000&lt;'Master Stock'!L663))+COUNTIFS('Master Stock'!$L$2:L663,'Master Stock'!L663,'Master Stock'!$D$2:D663,"&lt;&gt;",'Master Stock'!$H$2:H663,"OCCUPIED"),"")</f>
        <v/>
      </c>
      <c r="W663" s="149" t="n"/>
      <c r="X663" s="149" t="n"/>
      <c r="Y663" s="149" t="n"/>
      <c r="Z663" s="149" t="n"/>
    </row>
    <row r="664" ht="15.75" customHeight="1" s="236">
      <c r="A664" s="148" t="n"/>
      <c r="B664" s="148" t="n"/>
      <c r="C664" s="124" t="n"/>
      <c r="D664" s="148" t="n"/>
      <c r="E664" s="148" t="n"/>
      <c r="F664" s="148" t="n"/>
      <c r="G664" s="124" t="n"/>
      <c r="H664" s="148" t="n"/>
      <c r="I664" s="148" t="n"/>
      <c r="J664" s="148" t="n"/>
      <c r="K664" s="148" t="n"/>
      <c r="L664" s="148" t="n"/>
      <c r="M664" s="148" t="n"/>
      <c r="N664" s="148" t="n"/>
      <c r="O664" s="148" t="n"/>
      <c r="P664" s="148" t="n"/>
      <c r="Q664" s="148" t="n"/>
      <c r="R664" s="148" t="n"/>
      <c r="S664" s="148" t="n"/>
      <c r="T664" s="148" t="n"/>
      <c r="U664" s="149">
        <f>IF(AND('Master Stock'!D664&lt;&gt;"",'Master Stock'!H664="OCCUPIED",ISNUMBER('Master Stock'!J664),'Master Stock'!K664=""),SUMPRODUCT(--('Master Stock'!$D$2:$D$1000&lt;&gt;""),--('Master Stock'!$H$2:$H$1000="OCCUPIED"),--ISNUMBER('Master Stock'!$J$2:$J$1000),--('Master Stock'!$K$2:$K$1000=""),--('Master Stock'!$J$2:$J$1000&lt;'Master Stock'!J664))+COUNTIFS('Master Stock'!$J$2:J664,'Master Stock'!J664,'Master Stock'!$D$2:D664,"&lt;&gt;",'Master Stock'!$H$2:H664,"OCCUPIED",'Master Stock'!$K$2:K664,""),"")</f>
        <v/>
      </c>
      <c r="V664" s="149">
        <f>IF(AND('Master Stock'!D664&lt;&gt;"",'Master Stock'!H664="OCCUPIED",ISNUMBER('Master Stock'!L664),'Master Stock'!L664&lt;TODAY()-30),SUMPRODUCT(--('Master Stock'!$D$2:$D$1000&lt;&gt;""),--('Master Stock'!$H$2:$H$1000="OCCUPIED"),--ISNUMBER('Master Stock'!$L$2:$L$1000),--('Master Stock'!$L$2:$L$1000&lt;TODAY()-30),--('Master Stock'!$L$2:$L$1000&lt;'Master Stock'!L664))+COUNTIFS('Master Stock'!$L$2:L664,'Master Stock'!L664,'Master Stock'!$D$2:D664,"&lt;&gt;",'Master Stock'!$H$2:H664,"OCCUPIED"),"")</f>
        <v/>
      </c>
      <c r="W664" s="149" t="n"/>
      <c r="X664" s="149" t="n"/>
      <c r="Y664" s="149" t="n"/>
      <c r="Z664" s="149" t="n"/>
    </row>
    <row r="665" ht="15.75" customHeight="1" s="236">
      <c r="A665" s="148" t="n"/>
      <c r="B665" s="148" t="n"/>
      <c r="C665" s="124" t="n"/>
      <c r="D665" s="148" t="n"/>
      <c r="E665" s="148" t="n"/>
      <c r="F665" s="148" t="n"/>
      <c r="G665" s="124" t="n"/>
      <c r="H665" s="148" t="n"/>
      <c r="I665" s="148" t="n"/>
      <c r="J665" s="148" t="n"/>
      <c r="K665" s="148" t="n"/>
      <c r="L665" s="148" t="n"/>
      <c r="M665" s="148" t="n"/>
      <c r="N665" s="148" t="n"/>
      <c r="O665" s="148" t="n"/>
      <c r="P665" s="148" t="n"/>
      <c r="Q665" s="148" t="n"/>
      <c r="R665" s="148" t="n"/>
      <c r="S665" s="148" t="n"/>
      <c r="T665" s="148" t="n"/>
      <c r="U665" s="149">
        <f>IF(AND('Master Stock'!D665&lt;&gt;"",'Master Stock'!H665="OCCUPIED",ISNUMBER('Master Stock'!J665),'Master Stock'!K665=""),SUMPRODUCT(--('Master Stock'!$D$2:$D$1000&lt;&gt;""),--('Master Stock'!$H$2:$H$1000="OCCUPIED"),--ISNUMBER('Master Stock'!$J$2:$J$1000),--('Master Stock'!$K$2:$K$1000=""),--('Master Stock'!$J$2:$J$1000&lt;'Master Stock'!J665))+COUNTIFS('Master Stock'!$J$2:J665,'Master Stock'!J665,'Master Stock'!$D$2:D665,"&lt;&gt;",'Master Stock'!$H$2:H665,"OCCUPIED",'Master Stock'!$K$2:K665,""),"")</f>
        <v/>
      </c>
      <c r="V665" s="149">
        <f>IF(AND('Master Stock'!D665&lt;&gt;"",'Master Stock'!H665="OCCUPIED",ISNUMBER('Master Stock'!L665),'Master Stock'!L665&lt;TODAY()-30),SUMPRODUCT(--('Master Stock'!$D$2:$D$1000&lt;&gt;""),--('Master Stock'!$H$2:$H$1000="OCCUPIED"),--ISNUMBER('Master Stock'!$L$2:$L$1000),--('Master Stock'!$L$2:$L$1000&lt;TODAY()-30),--('Master Stock'!$L$2:$L$1000&lt;'Master Stock'!L665))+COUNTIFS('Master Stock'!$L$2:L665,'Master Stock'!L665,'Master Stock'!$D$2:D665,"&lt;&gt;",'Master Stock'!$H$2:H665,"OCCUPIED"),"")</f>
        <v/>
      </c>
      <c r="W665" s="149" t="n"/>
      <c r="X665" s="149" t="n"/>
      <c r="Y665" s="149" t="n"/>
      <c r="Z665" s="149" t="n"/>
    </row>
    <row r="666" ht="15.75" customHeight="1" s="236">
      <c r="A666" s="148" t="n"/>
      <c r="B666" s="148" t="n"/>
      <c r="C666" s="124" t="n"/>
      <c r="D666" s="148" t="n"/>
      <c r="E666" s="148" t="n"/>
      <c r="F666" s="148" t="n"/>
      <c r="G666" s="124" t="n"/>
      <c r="H666" s="148" t="n"/>
      <c r="I666" s="148" t="n"/>
      <c r="J666" s="148" t="n"/>
      <c r="K666" s="148" t="n"/>
      <c r="L666" s="148" t="n"/>
      <c r="M666" s="148" t="n"/>
      <c r="N666" s="148" t="n"/>
      <c r="O666" s="148" t="n"/>
      <c r="P666" s="148" t="n"/>
      <c r="Q666" s="148" t="n"/>
      <c r="R666" s="148" t="n"/>
      <c r="S666" s="148" t="n"/>
      <c r="T666" s="148" t="n"/>
      <c r="U666" s="149">
        <f>IF(AND('Master Stock'!D666&lt;&gt;"",'Master Stock'!H666="OCCUPIED",ISNUMBER('Master Stock'!J666),'Master Stock'!K666=""),SUMPRODUCT(--('Master Stock'!$D$2:$D$1000&lt;&gt;""),--('Master Stock'!$H$2:$H$1000="OCCUPIED"),--ISNUMBER('Master Stock'!$J$2:$J$1000),--('Master Stock'!$K$2:$K$1000=""),--('Master Stock'!$J$2:$J$1000&lt;'Master Stock'!J666))+COUNTIFS('Master Stock'!$J$2:J666,'Master Stock'!J666,'Master Stock'!$D$2:D666,"&lt;&gt;",'Master Stock'!$H$2:H666,"OCCUPIED",'Master Stock'!$K$2:K666,""),"")</f>
        <v/>
      </c>
      <c r="V666" s="149">
        <f>IF(AND('Master Stock'!D666&lt;&gt;"",'Master Stock'!H666="OCCUPIED",ISNUMBER('Master Stock'!L666),'Master Stock'!L666&lt;TODAY()-30),SUMPRODUCT(--('Master Stock'!$D$2:$D$1000&lt;&gt;""),--('Master Stock'!$H$2:$H$1000="OCCUPIED"),--ISNUMBER('Master Stock'!$L$2:$L$1000),--('Master Stock'!$L$2:$L$1000&lt;TODAY()-30),--('Master Stock'!$L$2:$L$1000&lt;'Master Stock'!L666))+COUNTIFS('Master Stock'!$L$2:L666,'Master Stock'!L666,'Master Stock'!$D$2:D666,"&lt;&gt;",'Master Stock'!$H$2:H666,"OCCUPIED"),"")</f>
        <v/>
      </c>
      <c r="W666" s="149" t="n"/>
      <c r="X666" s="149" t="n"/>
      <c r="Y666" s="149" t="n"/>
      <c r="Z666" s="149" t="n"/>
    </row>
    <row r="667" ht="15.75" customHeight="1" s="236">
      <c r="A667" s="148" t="n"/>
      <c r="B667" s="148" t="n"/>
      <c r="C667" s="124" t="n"/>
      <c r="D667" s="148" t="n"/>
      <c r="E667" s="148" t="n"/>
      <c r="F667" s="148" t="n"/>
      <c r="G667" s="124" t="n"/>
      <c r="H667" s="148" t="n"/>
      <c r="I667" s="148" t="n"/>
      <c r="J667" s="148" t="n"/>
      <c r="K667" s="148" t="n"/>
      <c r="L667" s="148" t="n"/>
      <c r="M667" s="148" t="n"/>
      <c r="N667" s="148" t="n"/>
      <c r="O667" s="148" t="n"/>
      <c r="P667" s="148" t="n"/>
      <c r="Q667" s="148" t="n"/>
      <c r="R667" s="148" t="n"/>
      <c r="S667" s="148" t="n"/>
      <c r="T667" s="148" t="n"/>
      <c r="U667" s="149">
        <f>IF(AND('Master Stock'!D667&lt;&gt;"",'Master Stock'!H667="OCCUPIED",ISNUMBER('Master Stock'!J667),'Master Stock'!K667=""),SUMPRODUCT(--('Master Stock'!$D$2:$D$1000&lt;&gt;""),--('Master Stock'!$H$2:$H$1000="OCCUPIED"),--ISNUMBER('Master Stock'!$J$2:$J$1000),--('Master Stock'!$K$2:$K$1000=""),--('Master Stock'!$J$2:$J$1000&lt;'Master Stock'!J667))+COUNTIFS('Master Stock'!$J$2:J667,'Master Stock'!J667,'Master Stock'!$D$2:D667,"&lt;&gt;",'Master Stock'!$H$2:H667,"OCCUPIED",'Master Stock'!$K$2:K667,""),"")</f>
        <v/>
      </c>
      <c r="V667" s="149">
        <f>IF(AND('Master Stock'!D667&lt;&gt;"",'Master Stock'!H667="OCCUPIED",ISNUMBER('Master Stock'!L667),'Master Stock'!L667&lt;TODAY()-30),SUMPRODUCT(--('Master Stock'!$D$2:$D$1000&lt;&gt;""),--('Master Stock'!$H$2:$H$1000="OCCUPIED"),--ISNUMBER('Master Stock'!$L$2:$L$1000),--('Master Stock'!$L$2:$L$1000&lt;TODAY()-30),--('Master Stock'!$L$2:$L$1000&lt;'Master Stock'!L667))+COUNTIFS('Master Stock'!$L$2:L667,'Master Stock'!L667,'Master Stock'!$D$2:D667,"&lt;&gt;",'Master Stock'!$H$2:H667,"OCCUPIED"),"")</f>
        <v/>
      </c>
      <c r="W667" s="149" t="n"/>
      <c r="X667" s="149" t="n"/>
      <c r="Y667" s="149" t="n"/>
      <c r="Z667" s="149" t="n"/>
    </row>
    <row r="668" ht="15.75" customHeight="1" s="236">
      <c r="A668" s="148" t="n"/>
      <c r="B668" s="148" t="n"/>
      <c r="C668" s="124" t="n"/>
      <c r="D668" s="148" t="n"/>
      <c r="E668" s="148" t="n"/>
      <c r="F668" s="148" t="n"/>
      <c r="G668" s="124" t="n"/>
      <c r="H668" s="148" t="n"/>
      <c r="I668" s="148" t="n"/>
      <c r="J668" s="148" t="n"/>
      <c r="K668" s="148" t="n"/>
      <c r="L668" s="148" t="n"/>
      <c r="M668" s="148" t="n"/>
      <c r="N668" s="148" t="n"/>
      <c r="O668" s="148" t="n"/>
      <c r="P668" s="148" t="n"/>
      <c r="Q668" s="148" t="n"/>
      <c r="R668" s="148" t="n"/>
      <c r="S668" s="148" t="n"/>
      <c r="T668" s="148" t="n"/>
      <c r="U668" s="149">
        <f>IF(AND('Master Stock'!D668&lt;&gt;"",'Master Stock'!H668="OCCUPIED",ISNUMBER('Master Stock'!J668),'Master Stock'!K668=""),SUMPRODUCT(--('Master Stock'!$D$2:$D$1000&lt;&gt;""),--('Master Stock'!$H$2:$H$1000="OCCUPIED"),--ISNUMBER('Master Stock'!$J$2:$J$1000),--('Master Stock'!$K$2:$K$1000=""),--('Master Stock'!$J$2:$J$1000&lt;'Master Stock'!J668))+COUNTIFS('Master Stock'!$J$2:J668,'Master Stock'!J668,'Master Stock'!$D$2:D668,"&lt;&gt;",'Master Stock'!$H$2:H668,"OCCUPIED",'Master Stock'!$K$2:K668,""),"")</f>
        <v/>
      </c>
      <c r="V668" s="149">
        <f>IF(AND('Master Stock'!D668&lt;&gt;"",'Master Stock'!H668="OCCUPIED",ISNUMBER('Master Stock'!L668),'Master Stock'!L668&lt;TODAY()-30),SUMPRODUCT(--('Master Stock'!$D$2:$D$1000&lt;&gt;""),--('Master Stock'!$H$2:$H$1000="OCCUPIED"),--ISNUMBER('Master Stock'!$L$2:$L$1000),--('Master Stock'!$L$2:$L$1000&lt;TODAY()-30),--('Master Stock'!$L$2:$L$1000&lt;'Master Stock'!L668))+COUNTIFS('Master Stock'!$L$2:L668,'Master Stock'!L668,'Master Stock'!$D$2:D668,"&lt;&gt;",'Master Stock'!$H$2:H668,"OCCUPIED"),"")</f>
        <v/>
      </c>
      <c r="W668" s="149" t="n"/>
      <c r="X668" s="149" t="n"/>
      <c r="Y668" s="149" t="n"/>
      <c r="Z668" s="149" t="n"/>
    </row>
    <row r="669" ht="15.75" customHeight="1" s="236">
      <c r="A669" s="148" t="n"/>
      <c r="B669" s="148" t="n"/>
      <c r="C669" s="124" t="n"/>
      <c r="D669" s="148" t="n"/>
      <c r="E669" s="148" t="n"/>
      <c r="F669" s="148" t="n"/>
      <c r="G669" s="124" t="n"/>
      <c r="H669" s="148" t="n"/>
      <c r="I669" s="148" t="n"/>
      <c r="J669" s="148" t="n"/>
      <c r="K669" s="148" t="n"/>
      <c r="L669" s="148" t="n"/>
      <c r="M669" s="148" t="n"/>
      <c r="N669" s="148" t="n"/>
      <c r="O669" s="148" t="n"/>
      <c r="P669" s="148" t="n"/>
      <c r="Q669" s="148" t="n"/>
      <c r="R669" s="148" t="n"/>
      <c r="S669" s="148" t="n"/>
      <c r="T669" s="148" t="n"/>
      <c r="U669" s="149">
        <f>IF(AND('Master Stock'!D669&lt;&gt;"",'Master Stock'!H669="OCCUPIED",ISNUMBER('Master Stock'!J669),'Master Stock'!K669=""),SUMPRODUCT(--('Master Stock'!$D$2:$D$1000&lt;&gt;""),--('Master Stock'!$H$2:$H$1000="OCCUPIED"),--ISNUMBER('Master Stock'!$J$2:$J$1000),--('Master Stock'!$K$2:$K$1000=""),--('Master Stock'!$J$2:$J$1000&lt;'Master Stock'!J669))+COUNTIFS('Master Stock'!$J$2:J669,'Master Stock'!J669,'Master Stock'!$D$2:D669,"&lt;&gt;",'Master Stock'!$H$2:H669,"OCCUPIED",'Master Stock'!$K$2:K669,""),"")</f>
        <v/>
      </c>
      <c r="V669" s="149">
        <f>IF(AND('Master Stock'!D669&lt;&gt;"",'Master Stock'!H669="OCCUPIED",ISNUMBER('Master Stock'!L669),'Master Stock'!L669&lt;TODAY()-30),SUMPRODUCT(--('Master Stock'!$D$2:$D$1000&lt;&gt;""),--('Master Stock'!$H$2:$H$1000="OCCUPIED"),--ISNUMBER('Master Stock'!$L$2:$L$1000),--('Master Stock'!$L$2:$L$1000&lt;TODAY()-30),--('Master Stock'!$L$2:$L$1000&lt;'Master Stock'!L669))+COUNTIFS('Master Stock'!$L$2:L669,'Master Stock'!L669,'Master Stock'!$D$2:D669,"&lt;&gt;",'Master Stock'!$H$2:H669,"OCCUPIED"),"")</f>
        <v/>
      </c>
      <c r="W669" s="149" t="n"/>
      <c r="X669" s="149" t="n"/>
      <c r="Y669" s="149" t="n"/>
      <c r="Z669" s="149" t="n"/>
    </row>
    <row r="670" ht="15.75" customHeight="1" s="236">
      <c r="A670" s="148" t="n"/>
      <c r="B670" s="148" t="n"/>
      <c r="C670" s="124" t="n"/>
      <c r="D670" s="148" t="n"/>
      <c r="E670" s="148" t="n"/>
      <c r="F670" s="148" t="n"/>
      <c r="G670" s="124" t="n"/>
      <c r="H670" s="148" t="n"/>
      <c r="I670" s="148" t="n"/>
      <c r="J670" s="148" t="n"/>
      <c r="K670" s="148" t="n"/>
      <c r="L670" s="148" t="n"/>
      <c r="M670" s="148" t="n"/>
      <c r="N670" s="148" t="n"/>
      <c r="O670" s="148" t="n"/>
      <c r="P670" s="148" t="n"/>
      <c r="Q670" s="148" t="n"/>
      <c r="R670" s="148" t="n"/>
      <c r="S670" s="148" t="n"/>
      <c r="T670" s="148" t="n"/>
      <c r="U670" s="149">
        <f>IF(AND('Master Stock'!D670&lt;&gt;"",'Master Stock'!H670="OCCUPIED",ISNUMBER('Master Stock'!J670),'Master Stock'!K670=""),SUMPRODUCT(--('Master Stock'!$D$2:$D$1000&lt;&gt;""),--('Master Stock'!$H$2:$H$1000="OCCUPIED"),--ISNUMBER('Master Stock'!$J$2:$J$1000),--('Master Stock'!$K$2:$K$1000=""),--('Master Stock'!$J$2:$J$1000&lt;'Master Stock'!J670))+COUNTIFS('Master Stock'!$J$2:J670,'Master Stock'!J670,'Master Stock'!$D$2:D670,"&lt;&gt;",'Master Stock'!$H$2:H670,"OCCUPIED",'Master Stock'!$K$2:K670,""),"")</f>
        <v/>
      </c>
      <c r="V670" s="149">
        <f>IF(AND('Master Stock'!D670&lt;&gt;"",'Master Stock'!H670="OCCUPIED",ISNUMBER('Master Stock'!L670),'Master Stock'!L670&lt;TODAY()-30),SUMPRODUCT(--('Master Stock'!$D$2:$D$1000&lt;&gt;""),--('Master Stock'!$H$2:$H$1000="OCCUPIED"),--ISNUMBER('Master Stock'!$L$2:$L$1000),--('Master Stock'!$L$2:$L$1000&lt;TODAY()-30),--('Master Stock'!$L$2:$L$1000&lt;'Master Stock'!L670))+COUNTIFS('Master Stock'!$L$2:L670,'Master Stock'!L670,'Master Stock'!$D$2:D670,"&lt;&gt;",'Master Stock'!$H$2:H670,"OCCUPIED"),"")</f>
        <v/>
      </c>
      <c r="W670" s="149" t="n"/>
      <c r="X670" s="149" t="n"/>
      <c r="Y670" s="149" t="n"/>
      <c r="Z670" s="149" t="n"/>
    </row>
    <row r="671" ht="15.75" customHeight="1" s="236">
      <c r="A671" s="148" t="n"/>
      <c r="B671" s="148" t="n"/>
      <c r="C671" s="124" t="n"/>
      <c r="D671" s="148" t="n"/>
      <c r="E671" s="148" t="n"/>
      <c r="F671" s="148" t="n"/>
      <c r="G671" s="124" t="n"/>
      <c r="H671" s="148" t="n"/>
      <c r="I671" s="148" t="n"/>
      <c r="J671" s="148" t="n"/>
      <c r="K671" s="148" t="n"/>
      <c r="L671" s="148" t="n"/>
      <c r="M671" s="148" t="n"/>
      <c r="N671" s="148" t="n"/>
      <c r="O671" s="148" t="n"/>
      <c r="P671" s="148" t="n"/>
      <c r="Q671" s="148" t="n"/>
      <c r="R671" s="148" t="n"/>
      <c r="S671" s="148" t="n"/>
      <c r="T671" s="148" t="n"/>
      <c r="U671" s="149">
        <f>IF(AND('Master Stock'!D671&lt;&gt;"",'Master Stock'!H671="OCCUPIED",ISNUMBER('Master Stock'!J671),'Master Stock'!K671=""),SUMPRODUCT(--('Master Stock'!$D$2:$D$1000&lt;&gt;""),--('Master Stock'!$H$2:$H$1000="OCCUPIED"),--ISNUMBER('Master Stock'!$J$2:$J$1000),--('Master Stock'!$K$2:$K$1000=""),--('Master Stock'!$J$2:$J$1000&lt;'Master Stock'!J671))+COUNTIFS('Master Stock'!$J$2:J671,'Master Stock'!J671,'Master Stock'!$D$2:D671,"&lt;&gt;",'Master Stock'!$H$2:H671,"OCCUPIED",'Master Stock'!$K$2:K671,""),"")</f>
        <v/>
      </c>
      <c r="V671" s="149">
        <f>IF(AND('Master Stock'!D671&lt;&gt;"",'Master Stock'!H671="OCCUPIED",ISNUMBER('Master Stock'!L671),'Master Stock'!L671&lt;TODAY()-30),SUMPRODUCT(--('Master Stock'!$D$2:$D$1000&lt;&gt;""),--('Master Stock'!$H$2:$H$1000="OCCUPIED"),--ISNUMBER('Master Stock'!$L$2:$L$1000),--('Master Stock'!$L$2:$L$1000&lt;TODAY()-30),--('Master Stock'!$L$2:$L$1000&lt;'Master Stock'!L671))+COUNTIFS('Master Stock'!$L$2:L671,'Master Stock'!L671,'Master Stock'!$D$2:D671,"&lt;&gt;",'Master Stock'!$H$2:H671,"OCCUPIED"),"")</f>
        <v/>
      </c>
      <c r="W671" s="149" t="n"/>
      <c r="X671" s="149" t="n"/>
      <c r="Y671" s="149" t="n"/>
      <c r="Z671" s="149" t="n"/>
    </row>
    <row r="672" ht="15.75" customHeight="1" s="236">
      <c r="A672" s="148" t="n"/>
      <c r="B672" s="148" t="n"/>
      <c r="C672" s="124" t="n"/>
      <c r="D672" s="148" t="n"/>
      <c r="E672" s="148" t="n"/>
      <c r="F672" s="148" t="n"/>
      <c r="G672" s="124" t="n"/>
      <c r="H672" s="148" t="n"/>
      <c r="I672" s="148" t="n"/>
      <c r="J672" s="148" t="n"/>
      <c r="K672" s="148" t="n"/>
      <c r="L672" s="148" t="n"/>
      <c r="M672" s="148" t="n"/>
      <c r="N672" s="148" t="n"/>
      <c r="O672" s="148" t="n"/>
      <c r="P672" s="148" t="n"/>
      <c r="Q672" s="148" t="n"/>
      <c r="R672" s="148" t="n"/>
      <c r="S672" s="148" t="n"/>
      <c r="T672" s="148" t="n"/>
      <c r="U672" s="149">
        <f>IF(AND('Master Stock'!D672&lt;&gt;"",'Master Stock'!H672="OCCUPIED",ISNUMBER('Master Stock'!J672),'Master Stock'!K672=""),SUMPRODUCT(--('Master Stock'!$D$2:$D$1000&lt;&gt;""),--('Master Stock'!$H$2:$H$1000="OCCUPIED"),--ISNUMBER('Master Stock'!$J$2:$J$1000),--('Master Stock'!$K$2:$K$1000=""),--('Master Stock'!$J$2:$J$1000&lt;'Master Stock'!J672))+COUNTIFS('Master Stock'!$J$2:J672,'Master Stock'!J672,'Master Stock'!$D$2:D672,"&lt;&gt;",'Master Stock'!$H$2:H672,"OCCUPIED",'Master Stock'!$K$2:K672,""),"")</f>
        <v/>
      </c>
      <c r="V672" s="149">
        <f>IF(AND('Master Stock'!D672&lt;&gt;"",'Master Stock'!H672="OCCUPIED",ISNUMBER('Master Stock'!L672),'Master Stock'!L672&lt;TODAY()-30),SUMPRODUCT(--('Master Stock'!$D$2:$D$1000&lt;&gt;""),--('Master Stock'!$H$2:$H$1000="OCCUPIED"),--ISNUMBER('Master Stock'!$L$2:$L$1000),--('Master Stock'!$L$2:$L$1000&lt;TODAY()-30),--('Master Stock'!$L$2:$L$1000&lt;'Master Stock'!L672))+COUNTIFS('Master Stock'!$L$2:L672,'Master Stock'!L672,'Master Stock'!$D$2:D672,"&lt;&gt;",'Master Stock'!$H$2:H672,"OCCUPIED"),"")</f>
        <v/>
      </c>
      <c r="W672" s="149" t="n"/>
      <c r="X672" s="149" t="n"/>
      <c r="Y672" s="149" t="n"/>
      <c r="Z672" s="149" t="n"/>
    </row>
    <row r="673" ht="15.75" customHeight="1" s="236">
      <c r="A673" s="148" t="n"/>
      <c r="B673" s="148" t="n"/>
      <c r="C673" s="124" t="n"/>
      <c r="D673" s="148" t="n"/>
      <c r="E673" s="148" t="n"/>
      <c r="F673" s="148" t="n"/>
      <c r="G673" s="124" t="n"/>
      <c r="H673" s="148" t="n"/>
      <c r="I673" s="148" t="n"/>
      <c r="J673" s="148" t="n"/>
      <c r="K673" s="148" t="n"/>
      <c r="L673" s="148" t="n"/>
      <c r="M673" s="148" t="n"/>
      <c r="N673" s="148" t="n"/>
      <c r="O673" s="148" t="n"/>
      <c r="P673" s="148" t="n"/>
      <c r="Q673" s="148" t="n"/>
      <c r="R673" s="148" t="n"/>
      <c r="S673" s="148" t="n"/>
      <c r="T673" s="148" t="n"/>
      <c r="U673" s="149">
        <f>IF(AND('Master Stock'!D673&lt;&gt;"",'Master Stock'!H673="OCCUPIED",ISNUMBER('Master Stock'!J673),'Master Stock'!K673=""),SUMPRODUCT(--('Master Stock'!$D$2:$D$1000&lt;&gt;""),--('Master Stock'!$H$2:$H$1000="OCCUPIED"),--ISNUMBER('Master Stock'!$J$2:$J$1000),--('Master Stock'!$K$2:$K$1000=""),--('Master Stock'!$J$2:$J$1000&lt;'Master Stock'!J673))+COUNTIFS('Master Stock'!$J$2:J673,'Master Stock'!J673,'Master Stock'!$D$2:D673,"&lt;&gt;",'Master Stock'!$H$2:H673,"OCCUPIED",'Master Stock'!$K$2:K673,""),"")</f>
        <v/>
      </c>
      <c r="V673" s="149">
        <f>IF(AND('Master Stock'!D673&lt;&gt;"",'Master Stock'!H673="OCCUPIED",ISNUMBER('Master Stock'!L673),'Master Stock'!L673&lt;TODAY()-30),SUMPRODUCT(--('Master Stock'!$D$2:$D$1000&lt;&gt;""),--('Master Stock'!$H$2:$H$1000="OCCUPIED"),--ISNUMBER('Master Stock'!$L$2:$L$1000),--('Master Stock'!$L$2:$L$1000&lt;TODAY()-30),--('Master Stock'!$L$2:$L$1000&lt;'Master Stock'!L673))+COUNTIFS('Master Stock'!$L$2:L673,'Master Stock'!L673,'Master Stock'!$D$2:D673,"&lt;&gt;",'Master Stock'!$H$2:H673,"OCCUPIED"),"")</f>
        <v/>
      </c>
      <c r="W673" s="149" t="n"/>
      <c r="X673" s="149" t="n"/>
      <c r="Y673" s="149" t="n"/>
      <c r="Z673" s="149" t="n"/>
    </row>
    <row r="674" ht="15.75" customHeight="1" s="236">
      <c r="A674" s="148" t="n"/>
      <c r="B674" s="148" t="n"/>
      <c r="C674" s="124" t="n"/>
      <c r="D674" s="148" t="n"/>
      <c r="E674" s="148" t="n"/>
      <c r="F674" s="148" t="n"/>
      <c r="G674" s="124" t="n"/>
      <c r="H674" s="148" t="n"/>
      <c r="I674" s="148" t="n"/>
      <c r="J674" s="148" t="n"/>
      <c r="K674" s="148" t="n"/>
      <c r="L674" s="148" t="n"/>
      <c r="M674" s="148" t="n"/>
      <c r="N674" s="148" t="n"/>
      <c r="O674" s="148" t="n"/>
      <c r="P674" s="148" t="n"/>
      <c r="Q674" s="148" t="n"/>
      <c r="R674" s="148" t="n"/>
      <c r="S674" s="148" t="n"/>
      <c r="T674" s="148" t="n"/>
      <c r="U674" s="149">
        <f>IF(AND('Master Stock'!D674&lt;&gt;"",'Master Stock'!H674="OCCUPIED",ISNUMBER('Master Stock'!J674),'Master Stock'!K674=""),SUMPRODUCT(--('Master Stock'!$D$2:$D$1000&lt;&gt;""),--('Master Stock'!$H$2:$H$1000="OCCUPIED"),--ISNUMBER('Master Stock'!$J$2:$J$1000),--('Master Stock'!$K$2:$K$1000=""),--('Master Stock'!$J$2:$J$1000&lt;'Master Stock'!J674))+COUNTIFS('Master Stock'!$J$2:J674,'Master Stock'!J674,'Master Stock'!$D$2:D674,"&lt;&gt;",'Master Stock'!$H$2:H674,"OCCUPIED",'Master Stock'!$K$2:K674,""),"")</f>
        <v/>
      </c>
      <c r="V674" s="149">
        <f>IF(AND('Master Stock'!D674&lt;&gt;"",'Master Stock'!H674="OCCUPIED",ISNUMBER('Master Stock'!L674),'Master Stock'!L674&lt;TODAY()-30),SUMPRODUCT(--('Master Stock'!$D$2:$D$1000&lt;&gt;""),--('Master Stock'!$H$2:$H$1000="OCCUPIED"),--ISNUMBER('Master Stock'!$L$2:$L$1000),--('Master Stock'!$L$2:$L$1000&lt;TODAY()-30),--('Master Stock'!$L$2:$L$1000&lt;'Master Stock'!L674))+COUNTIFS('Master Stock'!$L$2:L674,'Master Stock'!L674,'Master Stock'!$D$2:D674,"&lt;&gt;",'Master Stock'!$H$2:H674,"OCCUPIED"),"")</f>
        <v/>
      </c>
      <c r="W674" s="149" t="n"/>
      <c r="X674" s="149" t="n"/>
      <c r="Y674" s="149" t="n"/>
      <c r="Z674" s="149" t="n"/>
    </row>
    <row r="675" ht="15.75" customHeight="1" s="236">
      <c r="A675" s="148" t="n"/>
      <c r="B675" s="148" t="n"/>
      <c r="C675" s="124" t="n"/>
      <c r="D675" s="148" t="n"/>
      <c r="E675" s="148" t="n"/>
      <c r="F675" s="148" t="n"/>
      <c r="G675" s="124" t="n"/>
      <c r="H675" s="148" t="n"/>
      <c r="I675" s="148" t="n"/>
      <c r="J675" s="148" t="n"/>
      <c r="K675" s="148" t="n"/>
      <c r="L675" s="148" t="n"/>
      <c r="M675" s="148" t="n"/>
      <c r="N675" s="148" t="n"/>
      <c r="O675" s="148" t="n"/>
      <c r="P675" s="148" t="n"/>
      <c r="Q675" s="148" t="n"/>
      <c r="R675" s="148" t="n"/>
      <c r="S675" s="148" t="n"/>
      <c r="T675" s="148" t="n"/>
      <c r="U675" s="149">
        <f>IF(AND('Master Stock'!D675&lt;&gt;"",'Master Stock'!H675="OCCUPIED",ISNUMBER('Master Stock'!J675),'Master Stock'!K675=""),SUMPRODUCT(--('Master Stock'!$D$2:$D$1000&lt;&gt;""),--('Master Stock'!$H$2:$H$1000="OCCUPIED"),--ISNUMBER('Master Stock'!$J$2:$J$1000),--('Master Stock'!$K$2:$K$1000=""),--('Master Stock'!$J$2:$J$1000&lt;'Master Stock'!J675))+COUNTIFS('Master Stock'!$J$2:J675,'Master Stock'!J675,'Master Stock'!$D$2:D675,"&lt;&gt;",'Master Stock'!$H$2:H675,"OCCUPIED",'Master Stock'!$K$2:K675,""),"")</f>
        <v/>
      </c>
      <c r="V675" s="149">
        <f>IF(AND('Master Stock'!D675&lt;&gt;"",'Master Stock'!H675="OCCUPIED",ISNUMBER('Master Stock'!L675),'Master Stock'!L675&lt;TODAY()-30),SUMPRODUCT(--('Master Stock'!$D$2:$D$1000&lt;&gt;""),--('Master Stock'!$H$2:$H$1000="OCCUPIED"),--ISNUMBER('Master Stock'!$L$2:$L$1000),--('Master Stock'!$L$2:$L$1000&lt;TODAY()-30),--('Master Stock'!$L$2:$L$1000&lt;'Master Stock'!L675))+COUNTIFS('Master Stock'!$L$2:L675,'Master Stock'!L675,'Master Stock'!$D$2:D675,"&lt;&gt;",'Master Stock'!$H$2:H675,"OCCUPIED"),"")</f>
        <v/>
      </c>
      <c r="W675" s="149" t="n"/>
      <c r="X675" s="149" t="n"/>
      <c r="Y675" s="149" t="n"/>
      <c r="Z675" s="149" t="n"/>
    </row>
    <row r="676" ht="15.75" customHeight="1" s="236">
      <c r="A676" s="148" t="n"/>
      <c r="B676" s="148" t="n"/>
      <c r="C676" s="124" t="n"/>
      <c r="D676" s="148" t="n"/>
      <c r="E676" s="148" t="n"/>
      <c r="F676" s="148" t="n"/>
      <c r="G676" s="124" t="n"/>
      <c r="H676" s="148" t="n"/>
      <c r="I676" s="148" t="n"/>
      <c r="J676" s="148" t="n"/>
      <c r="K676" s="148" t="n"/>
      <c r="L676" s="148" t="n"/>
      <c r="M676" s="148" t="n"/>
      <c r="N676" s="148" t="n"/>
      <c r="O676" s="148" t="n"/>
      <c r="P676" s="148" t="n"/>
      <c r="Q676" s="148" t="n"/>
      <c r="R676" s="148" t="n"/>
      <c r="S676" s="148" t="n"/>
      <c r="T676" s="148" t="n"/>
      <c r="U676" s="149">
        <f>IF(AND('Master Stock'!D676&lt;&gt;"",'Master Stock'!H676="OCCUPIED",ISNUMBER('Master Stock'!J676),'Master Stock'!K676=""),SUMPRODUCT(--('Master Stock'!$D$2:$D$1000&lt;&gt;""),--('Master Stock'!$H$2:$H$1000="OCCUPIED"),--ISNUMBER('Master Stock'!$J$2:$J$1000),--('Master Stock'!$K$2:$K$1000=""),--('Master Stock'!$J$2:$J$1000&lt;'Master Stock'!J676))+COUNTIFS('Master Stock'!$J$2:J676,'Master Stock'!J676,'Master Stock'!$D$2:D676,"&lt;&gt;",'Master Stock'!$H$2:H676,"OCCUPIED",'Master Stock'!$K$2:K676,""),"")</f>
        <v/>
      </c>
      <c r="V676" s="149">
        <f>IF(AND('Master Stock'!D676&lt;&gt;"",'Master Stock'!H676="OCCUPIED",ISNUMBER('Master Stock'!L676),'Master Stock'!L676&lt;TODAY()-30),SUMPRODUCT(--('Master Stock'!$D$2:$D$1000&lt;&gt;""),--('Master Stock'!$H$2:$H$1000="OCCUPIED"),--ISNUMBER('Master Stock'!$L$2:$L$1000),--('Master Stock'!$L$2:$L$1000&lt;TODAY()-30),--('Master Stock'!$L$2:$L$1000&lt;'Master Stock'!L676))+COUNTIFS('Master Stock'!$L$2:L676,'Master Stock'!L676,'Master Stock'!$D$2:D676,"&lt;&gt;",'Master Stock'!$H$2:H676,"OCCUPIED"),"")</f>
        <v/>
      </c>
      <c r="W676" s="149" t="n"/>
      <c r="X676" s="149" t="n"/>
      <c r="Y676" s="149" t="n"/>
      <c r="Z676" s="149" t="n"/>
    </row>
    <row r="677" ht="15.75" customHeight="1" s="236">
      <c r="A677" s="148" t="n"/>
      <c r="B677" s="148" t="n"/>
      <c r="C677" s="124" t="n"/>
      <c r="D677" s="148" t="n"/>
      <c r="E677" s="148" t="n"/>
      <c r="F677" s="148" t="n"/>
      <c r="G677" s="124" t="n"/>
      <c r="H677" s="148" t="n"/>
      <c r="I677" s="148" t="n"/>
      <c r="J677" s="148" t="n"/>
      <c r="K677" s="148" t="n"/>
      <c r="L677" s="148" t="n"/>
      <c r="M677" s="148" t="n"/>
      <c r="N677" s="148" t="n"/>
      <c r="O677" s="148" t="n"/>
      <c r="P677" s="148" t="n"/>
      <c r="Q677" s="148" t="n"/>
      <c r="R677" s="148" t="n"/>
      <c r="S677" s="148" t="n"/>
      <c r="T677" s="148" t="n"/>
      <c r="U677" s="149">
        <f>IF(AND('Master Stock'!D677&lt;&gt;"",'Master Stock'!H677="OCCUPIED",ISNUMBER('Master Stock'!J677),'Master Stock'!K677=""),SUMPRODUCT(--('Master Stock'!$D$2:$D$1000&lt;&gt;""),--('Master Stock'!$H$2:$H$1000="OCCUPIED"),--ISNUMBER('Master Stock'!$J$2:$J$1000),--('Master Stock'!$K$2:$K$1000=""),--('Master Stock'!$J$2:$J$1000&lt;'Master Stock'!J677))+COUNTIFS('Master Stock'!$J$2:J677,'Master Stock'!J677,'Master Stock'!$D$2:D677,"&lt;&gt;",'Master Stock'!$H$2:H677,"OCCUPIED",'Master Stock'!$K$2:K677,""),"")</f>
        <v/>
      </c>
      <c r="V677" s="149">
        <f>IF(AND('Master Stock'!D677&lt;&gt;"",'Master Stock'!H677="OCCUPIED",ISNUMBER('Master Stock'!L677),'Master Stock'!L677&lt;TODAY()-30),SUMPRODUCT(--('Master Stock'!$D$2:$D$1000&lt;&gt;""),--('Master Stock'!$H$2:$H$1000="OCCUPIED"),--ISNUMBER('Master Stock'!$L$2:$L$1000),--('Master Stock'!$L$2:$L$1000&lt;TODAY()-30),--('Master Stock'!$L$2:$L$1000&lt;'Master Stock'!L677))+COUNTIFS('Master Stock'!$L$2:L677,'Master Stock'!L677,'Master Stock'!$D$2:D677,"&lt;&gt;",'Master Stock'!$H$2:H677,"OCCUPIED"),"")</f>
        <v/>
      </c>
      <c r="W677" s="149" t="n"/>
      <c r="X677" s="149" t="n"/>
      <c r="Y677" s="149" t="n"/>
      <c r="Z677" s="149" t="n"/>
    </row>
    <row r="678" ht="15.75" customHeight="1" s="236">
      <c r="A678" s="148" t="n"/>
      <c r="B678" s="148" t="n"/>
      <c r="C678" s="124" t="n"/>
      <c r="D678" s="148" t="n"/>
      <c r="E678" s="148" t="n"/>
      <c r="F678" s="148" t="n"/>
      <c r="G678" s="124" t="n"/>
      <c r="H678" s="148" t="n"/>
      <c r="I678" s="148" t="n"/>
      <c r="J678" s="148" t="n"/>
      <c r="K678" s="148" t="n"/>
      <c r="L678" s="148" t="n"/>
      <c r="M678" s="148" t="n"/>
      <c r="N678" s="148" t="n"/>
      <c r="O678" s="148" t="n"/>
      <c r="P678" s="148" t="n"/>
      <c r="Q678" s="148" t="n"/>
      <c r="R678" s="148" t="n"/>
      <c r="S678" s="148" t="n"/>
      <c r="T678" s="148" t="n"/>
      <c r="U678" s="149">
        <f>IF(AND('Master Stock'!D678&lt;&gt;"",'Master Stock'!H678="OCCUPIED",ISNUMBER('Master Stock'!J678),'Master Stock'!K678=""),SUMPRODUCT(--('Master Stock'!$D$2:$D$1000&lt;&gt;""),--('Master Stock'!$H$2:$H$1000="OCCUPIED"),--ISNUMBER('Master Stock'!$J$2:$J$1000),--('Master Stock'!$K$2:$K$1000=""),--('Master Stock'!$J$2:$J$1000&lt;'Master Stock'!J678))+COUNTIFS('Master Stock'!$J$2:J678,'Master Stock'!J678,'Master Stock'!$D$2:D678,"&lt;&gt;",'Master Stock'!$H$2:H678,"OCCUPIED",'Master Stock'!$K$2:K678,""),"")</f>
        <v/>
      </c>
      <c r="V678" s="149">
        <f>IF(AND('Master Stock'!D678&lt;&gt;"",'Master Stock'!H678="OCCUPIED",ISNUMBER('Master Stock'!L678),'Master Stock'!L678&lt;TODAY()-30),SUMPRODUCT(--('Master Stock'!$D$2:$D$1000&lt;&gt;""),--('Master Stock'!$H$2:$H$1000="OCCUPIED"),--ISNUMBER('Master Stock'!$L$2:$L$1000),--('Master Stock'!$L$2:$L$1000&lt;TODAY()-30),--('Master Stock'!$L$2:$L$1000&lt;'Master Stock'!L678))+COUNTIFS('Master Stock'!$L$2:L678,'Master Stock'!L678,'Master Stock'!$D$2:D678,"&lt;&gt;",'Master Stock'!$H$2:H678,"OCCUPIED"),"")</f>
        <v/>
      </c>
      <c r="W678" s="149" t="n"/>
      <c r="X678" s="149" t="n"/>
      <c r="Y678" s="149" t="n"/>
      <c r="Z678" s="149" t="n"/>
    </row>
    <row r="679" ht="15.75" customHeight="1" s="236">
      <c r="A679" s="148" t="n"/>
      <c r="B679" s="148" t="n"/>
      <c r="C679" s="124" t="n"/>
      <c r="D679" s="148" t="n"/>
      <c r="E679" s="148" t="n"/>
      <c r="F679" s="148" t="n"/>
      <c r="G679" s="124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9">
        <f>IF(AND('Master Stock'!D679&lt;&gt;"",'Master Stock'!H679="OCCUPIED",ISNUMBER('Master Stock'!J679),'Master Stock'!K679=""),SUMPRODUCT(--('Master Stock'!$D$2:$D$1000&lt;&gt;""),--('Master Stock'!$H$2:$H$1000="OCCUPIED"),--ISNUMBER('Master Stock'!$J$2:$J$1000),--('Master Stock'!$K$2:$K$1000=""),--('Master Stock'!$J$2:$J$1000&lt;'Master Stock'!J679))+COUNTIFS('Master Stock'!$J$2:J679,'Master Stock'!J679,'Master Stock'!$D$2:D679,"&lt;&gt;",'Master Stock'!$H$2:H679,"OCCUPIED",'Master Stock'!$K$2:K679,""),"")</f>
        <v/>
      </c>
      <c r="V679" s="149">
        <f>IF(AND('Master Stock'!D679&lt;&gt;"",'Master Stock'!H679="OCCUPIED",ISNUMBER('Master Stock'!L679),'Master Stock'!L679&lt;TODAY()-30),SUMPRODUCT(--('Master Stock'!$D$2:$D$1000&lt;&gt;""),--('Master Stock'!$H$2:$H$1000="OCCUPIED"),--ISNUMBER('Master Stock'!$L$2:$L$1000),--('Master Stock'!$L$2:$L$1000&lt;TODAY()-30),--('Master Stock'!$L$2:$L$1000&lt;'Master Stock'!L679))+COUNTIFS('Master Stock'!$L$2:L679,'Master Stock'!L679,'Master Stock'!$D$2:D679,"&lt;&gt;",'Master Stock'!$H$2:H679,"OCCUPIED"),"")</f>
        <v/>
      </c>
      <c r="W679" s="149" t="n"/>
      <c r="X679" s="149" t="n"/>
      <c r="Y679" s="149" t="n"/>
      <c r="Z679" s="149" t="n"/>
    </row>
    <row r="680" ht="15.75" customHeight="1" s="236">
      <c r="A680" s="148" t="n"/>
      <c r="B680" s="148" t="n"/>
      <c r="C680" s="124" t="n"/>
      <c r="D680" s="148" t="n"/>
      <c r="E680" s="148" t="n"/>
      <c r="F680" s="148" t="n"/>
      <c r="G680" s="124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9">
        <f>IF(AND('Master Stock'!D680&lt;&gt;"",'Master Stock'!H680="OCCUPIED",ISNUMBER('Master Stock'!J680),'Master Stock'!K680=""),SUMPRODUCT(--('Master Stock'!$D$2:$D$1000&lt;&gt;""),--('Master Stock'!$H$2:$H$1000="OCCUPIED"),--ISNUMBER('Master Stock'!$J$2:$J$1000),--('Master Stock'!$K$2:$K$1000=""),--('Master Stock'!$J$2:$J$1000&lt;'Master Stock'!J680))+COUNTIFS('Master Stock'!$J$2:J680,'Master Stock'!J680,'Master Stock'!$D$2:D680,"&lt;&gt;",'Master Stock'!$H$2:H680,"OCCUPIED",'Master Stock'!$K$2:K680,""),"")</f>
        <v/>
      </c>
      <c r="V680" s="149">
        <f>IF(AND('Master Stock'!D680&lt;&gt;"",'Master Stock'!H680="OCCUPIED",ISNUMBER('Master Stock'!L680),'Master Stock'!L680&lt;TODAY()-30),SUMPRODUCT(--('Master Stock'!$D$2:$D$1000&lt;&gt;""),--('Master Stock'!$H$2:$H$1000="OCCUPIED"),--ISNUMBER('Master Stock'!$L$2:$L$1000),--('Master Stock'!$L$2:$L$1000&lt;TODAY()-30),--('Master Stock'!$L$2:$L$1000&lt;'Master Stock'!L680))+COUNTIFS('Master Stock'!$L$2:L680,'Master Stock'!L680,'Master Stock'!$D$2:D680,"&lt;&gt;",'Master Stock'!$H$2:H680,"OCCUPIED"),"")</f>
        <v/>
      </c>
      <c r="W680" s="149" t="n"/>
      <c r="X680" s="149" t="n"/>
      <c r="Y680" s="149" t="n"/>
      <c r="Z680" s="149" t="n"/>
    </row>
    <row r="681" ht="15.75" customHeight="1" s="236">
      <c r="A681" s="148" t="n"/>
      <c r="B681" s="148" t="n"/>
      <c r="C681" s="124" t="n"/>
      <c r="D681" s="148" t="n"/>
      <c r="E681" s="148" t="n"/>
      <c r="F681" s="148" t="n"/>
      <c r="G681" s="124" t="n"/>
      <c r="H681" s="148" t="n"/>
      <c r="I681" s="148" t="n"/>
      <c r="J681" s="148" t="n"/>
      <c r="K681" s="148" t="n"/>
      <c r="L681" s="148" t="n"/>
      <c r="M681" s="148" t="n"/>
      <c r="N681" s="148" t="n"/>
      <c r="O681" s="148" t="n"/>
      <c r="P681" s="148" t="n"/>
      <c r="Q681" s="148" t="n"/>
      <c r="R681" s="148" t="n"/>
      <c r="S681" s="148" t="n"/>
      <c r="T681" s="148" t="n"/>
      <c r="U681" s="149">
        <f>IF(AND('Master Stock'!D681&lt;&gt;"",'Master Stock'!H681="OCCUPIED",ISNUMBER('Master Stock'!J681),'Master Stock'!K681=""),SUMPRODUCT(--('Master Stock'!$D$2:$D$1000&lt;&gt;""),--('Master Stock'!$H$2:$H$1000="OCCUPIED"),--ISNUMBER('Master Stock'!$J$2:$J$1000),--('Master Stock'!$K$2:$K$1000=""),--('Master Stock'!$J$2:$J$1000&lt;'Master Stock'!J681))+COUNTIFS('Master Stock'!$J$2:J681,'Master Stock'!J681,'Master Stock'!$D$2:D681,"&lt;&gt;",'Master Stock'!$H$2:H681,"OCCUPIED",'Master Stock'!$K$2:K681,""),"")</f>
        <v/>
      </c>
      <c r="V681" s="149">
        <f>IF(AND('Master Stock'!D681&lt;&gt;"",'Master Stock'!H681="OCCUPIED",ISNUMBER('Master Stock'!L681),'Master Stock'!L681&lt;TODAY()-30),SUMPRODUCT(--('Master Stock'!$D$2:$D$1000&lt;&gt;""),--('Master Stock'!$H$2:$H$1000="OCCUPIED"),--ISNUMBER('Master Stock'!$L$2:$L$1000),--('Master Stock'!$L$2:$L$1000&lt;TODAY()-30),--('Master Stock'!$L$2:$L$1000&lt;'Master Stock'!L681))+COUNTIFS('Master Stock'!$L$2:L681,'Master Stock'!L681,'Master Stock'!$D$2:D681,"&lt;&gt;",'Master Stock'!$H$2:H681,"OCCUPIED"),"")</f>
        <v/>
      </c>
      <c r="W681" s="149" t="n"/>
      <c r="X681" s="149" t="n"/>
      <c r="Y681" s="149" t="n"/>
      <c r="Z681" s="149" t="n"/>
    </row>
    <row r="682" ht="15.75" customHeight="1" s="236">
      <c r="A682" s="148" t="n"/>
      <c r="B682" s="148" t="n"/>
      <c r="C682" s="124" t="n"/>
      <c r="D682" s="148" t="n"/>
      <c r="E682" s="148" t="n"/>
      <c r="F682" s="148" t="n"/>
      <c r="G682" s="124" t="n"/>
      <c r="H682" s="148" t="n"/>
      <c r="I682" s="148" t="n"/>
      <c r="J682" s="148" t="n"/>
      <c r="K682" s="148" t="n"/>
      <c r="L682" s="148" t="n"/>
      <c r="M682" s="148" t="n"/>
      <c r="N682" s="148" t="n"/>
      <c r="O682" s="148" t="n"/>
      <c r="P682" s="148" t="n"/>
      <c r="Q682" s="148" t="n"/>
      <c r="R682" s="148" t="n"/>
      <c r="S682" s="148" t="n"/>
      <c r="T682" s="148" t="n"/>
      <c r="U682" s="149">
        <f>IF(AND('Master Stock'!D682&lt;&gt;"",'Master Stock'!H682="OCCUPIED",ISNUMBER('Master Stock'!J682),'Master Stock'!K682=""),SUMPRODUCT(--('Master Stock'!$D$2:$D$1000&lt;&gt;""),--('Master Stock'!$H$2:$H$1000="OCCUPIED"),--ISNUMBER('Master Stock'!$J$2:$J$1000),--('Master Stock'!$K$2:$K$1000=""),--('Master Stock'!$J$2:$J$1000&lt;'Master Stock'!J682))+COUNTIFS('Master Stock'!$J$2:J682,'Master Stock'!J682,'Master Stock'!$D$2:D682,"&lt;&gt;",'Master Stock'!$H$2:H682,"OCCUPIED",'Master Stock'!$K$2:K682,""),"")</f>
        <v/>
      </c>
      <c r="V682" s="149">
        <f>IF(AND('Master Stock'!D682&lt;&gt;"",'Master Stock'!H682="OCCUPIED",ISNUMBER('Master Stock'!L682),'Master Stock'!L682&lt;TODAY()-30),SUMPRODUCT(--('Master Stock'!$D$2:$D$1000&lt;&gt;""),--('Master Stock'!$H$2:$H$1000="OCCUPIED"),--ISNUMBER('Master Stock'!$L$2:$L$1000),--('Master Stock'!$L$2:$L$1000&lt;TODAY()-30),--('Master Stock'!$L$2:$L$1000&lt;'Master Stock'!L682))+COUNTIFS('Master Stock'!$L$2:L682,'Master Stock'!L682,'Master Stock'!$D$2:D682,"&lt;&gt;",'Master Stock'!$H$2:H682,"OCCUPIED"),"")</f>
        <v/>
      </c>
      <c r="W682" s="149" t="n"/>
      <c r="X682" s="149" t="n"/>
      <c r="Y682" s="149" t="n"/>
      <c r="Z682" s="149" t="n"/>
    </row>
    <row r="683" ht="15.75" customHeight="1" s="236">
      <c r="A683" s="148" t="n"/>
      <c r="B683" s="148" t="n"/>
      <c r="C683" s="124" t="n"/>
      <c r="D683" s="148" t="n"/>
      <c r="E683" s="148" t="n"/>
      <c r="F683" s="148" t="n"/>
      <c r="G683" s="124" t="n"/>
      <c r="H683" s="148" t="n"/>
      <c r="I683" s="148" t="n"/>
      <c r="J683" s="148" t="n"/>
      <c r="K683" s="148" t="n"/>
      <c r="L683" s="148" t="n"/>
      <c r="M683" s="148" t="n"/>
      <c r="N683" s="148" t="n"/>
      <c r="O683" s="148" t="n"/>
      <c r="P683" s="148" t="n"/>
      <c r="Q683" s="148" t="n"/>
      <c r="R683" s="148" t="n"/>
      <c r="S683" s="148" t="n"/>
      <c r="T683" s="148" t="n"/>
      <c r="U683" s="149">
        <f>IF(AND('Master Stock'!D683&lt;&gt;"",'Master Stock'!H683="OCCUPIED",ISNUMBER('Master Stock'!J683),'Master Stock'!K683=""),SUMPRODUCT(--('Master Stock'!$D$2:$D$1000&lt;&gt;""),--('Master Stock'!$H$2:$H$1000="OCCUPIED"),--ISNUMBER('Master Stock'!$J$2:$J$1000),--('Master Stock'!$K$2:$K$1000=""),--('Master Stock'!$J$2:$J$1000&lt;'Master Stock'!J683))+COUNTIFS('Master Stock'!$J$2:J683,'Master Stock'!J683,'Master Stock'!$D$2:D683,"&lt;&gt;",'Master Stock'!$H$2:H683,"OCCUPIED",'Master Stock'!$K$2:K683,""),"")</f>
        <v/>
      </c>
      <c r="V683" s="149">
        <f>IF(AND('Master Stock'!D683&lt;&gt;"",'Master Stock'!H683="OCCUPIED",ISNUMBER('Master Stock'!L683),'Master Stock'!L683&lt;TODAY()-30),SUMPRODUCT(--('Master Stock'!$D$2:$D$1000&lt;&gt;""),--('Master Stock'!$H$2:$H$1000="OCCUPIED"),--ISNUMBER('Master Stock'!$L$2:$L$1000),--('Master Stock'!$L$2:$L$1000&lt;TODAY()-30),--('Master Stock'!$L$2:$L$1000&lt;'Master Stock'!L683))+COUNTIFS('Master Stock'!$L$2:L683,'Master Stock'!L683,'Master Stock'!$D$2:D683,"&lt;&gt;",'Master Stock'!$H$2:H683,"OCCUPIED"),"")</f>
        <v/>
      </c>
      <c r="W683" s="149" t="n"/>
      <c r="X683" s="149" t="n"/>
      <c r="Y683" s="149" t="n"/>
      <c r="Z683" s="149" t="n"/>
    </row>
    <row r="684" ht="15.75" customHeight="1" s="236">
      <c r="A684" s="148" t="n"/>
      <c r="B684" s="148" t="n"/>
      <c r="C684" s="124" t="n"/>
      <c r="D684" s="148" t="n"/>
      <c r="E684" s="148" t="n"/>
      <c r="F684" s="148" t="n"/>
      <c r="G684" s="124" t="n"/>
      <c r="H684" s="148" t="n"/>
      <c r="I684" s="148" t="n"/>
      <c r="J684" s="148" t="n"/>
      <c r="K684" s="148" t="n"/>
      <c r="L684" s="148" t="n"/>
      <c r="M684" s="148" t="n"/>
      <c r="N684" s="148" t="n"/>
      <c r="O684" s="148" t="n"/>
      <c r="P684" s="148" t="n"/>
      <c r="Q684" s="148" t="n"/>
      <c r="R684" s="148" t="n"/>
      <c r="S684" s="148" t="n"/>
      <c r="T684" s="148" t="n"/>
      <c r="U684" s="149">
        <f>IF(AND('Master Stock'!D684&lt;&gt;"",'Master Stock'!H684="OCCUPIED",ISNUMBER('Master Stock'!J684),'Master Stock'!K684=""),SUMPRODUCT(--('Master Stock'!$D$2:$D$1000&lt;&gt;""),--('Master Stock'!$H$2:$H$1000="OCCUPIED"),--ISNUMBER('Master Stock'!$J$2:$J$1000),--('Master Stock'!$K$2:$K$1000=""),--('Master Stock'!$J$2:$J$1000&lt;'Master Stock'!J684))+COUNTIFS('Master Stock'!$J$2:J684,'Master Stock'!J684,'Master Stock'!$D$2:D684,"&lt;&gt;",'Master Stock'!$H$2:H684,"OCCUPIED",'Master Stock'!$K$2:K684,""),"")</f>
        <v/>
      </c>
      <c r="V684" s="149">
        <f>IF(AND('Master Stock'!D684&lt;&gt;"",'Master Stock'!H684="OCCUPIED",ISNUMBER('Master Stock'!L684),'Master Stock'!L684&lt;TODAY()-30),SUMPRODUCT(--('Master Stock'!$D$2:$D$1000&lt;&gt;""),--('Master Stock'!$H$2:$H$1000="OCCUPIED"),--ISNUMBER('Master Stock'!$L$2:$L$1000),--('Master Stock'!$L$2:$L$1000&lt;TODAY()-30),--('Master Stock'!$L$2:$L$1000&lt;'Master Stock'!L684))+COUNTIFS('Master Stock'!$L$2:L684,'Master Stock'!L684,'Master Stock'!$D$2:D684,"&lt;&gt;",'Master Stock'!$H$2:H684,"OCCUPIED"),"")</f>
        <v/>
      </c>
      <c r="W684" s="149" t="n"/>
      <c r="X684" s="149" t="n"/>
      <c r="Y684" s="149" t="n"/>
      <c r="Z684" s="149" t="n"/>
    </row>
    <row r="685" ht="15.75" customHeight="1" s="236">
      <c r="A685" s="148" t="n"/>
      <c r="B685" s="148" t="n"/>
      <c r="C685" s="124" t="n"/>
      <c r="D685" s="148" t="n"/>
      <c r="E685" s="148" t="n"/>
      <c r="F685" s="148" t="n"/>
      <c r="G685" s="124" t="n"/>
      <c r="H685" s="148" t="n"/>
      <c r="I685" s="148" t="n"/>
      <c r="J685" s="148" t="n"/>
      <c r="K685" s="148" t="n"/>
      <c r="L685" s="148" t="n"/>
      <c r="M685" s="148" t="n"/>
      <c r="N685" s="148" t="n"/>
      <c r="O685" s="148" t="n"/>
      <c r="P685" s="148" t="n"/>
      <c r="Q685" s="148" t="n"/>
      <c r="R685" s="148" t="n"/>
      <c r="S685" s="148" t="n"/>
      <c r="T685" s="148" t="n"/>
      <c r="U685" s="149">
        <f>IF(AND('Master Stock'!D685&lt;&gt;"",'Master Stock'!H685="OCCUPIED",ISNUMBER('Master Stock'!J685),'Master Stock'!K685=""),SUMPRODUCT(--('Master Stock'!$D$2:$D$1000&lt;&gt;""),--('Master Stock'!$H$2:$H$1000="OCCUPIED"),--ISNUMBER('Master Stock'!$J$2:$J$1000),--('Master Stock'!$K$2:$K$1000=""),--('Master Stock'!$J$2:$J$1000&lt;'Master Stock'!J685))+COUNTIFS('Master Stock'!$J$2:J685,'Master Stock'!J685,'Master Stock'!$D$2:D685,"&lt;&gt;",'Master Stock'!$H$2:H685,"OCCUPIED",'Master Stock'!$K$2:K685,""),"")</f>
        <v/>
      </c>
      <c r="V685" s="149">
        <f>IF(AND('Master Stock'!D685&lt;&gt;"",'Master Stock'!H685="OCCUPIED",ISNUMBER('Master Stock'!L685),'Master Stock'!L685&lt;TODAY()-30),SUMPRODUCT(--('Master Stock'!$D$2:$D$1000&lt;&gt;""),--('Master Stock'!$H$2:$H$1000="OCCUPIED"),--ISNUMBER('Master Stock'!$L$2:$L$1000),--('Master Stock'!$L$2:$L$1000&lt;TODAY()-30),--('Master Stock'!$L$2:$L$1000&lt;'Master Stock'!L685))+COUNTIFS('Master Stock'!$L$2:L685,'Master Stock'!L685,'Master Stock'!$D$2:D685,"&lt;&gt;",'Master Stock'!$H$2:H685,"OCCUPIED"),"")</f>
        <v/>
      </c>
      <c r="W685" s="149" t="n"/>
      <c r="X685" s="149" t="n"/>
      <c r="Y685" s="149" t="n"/>
      <c r="Z685" s="149" t="n"/>
    </row>
    <row r="686" ht="15.75" customHeight="1" s="236">
      <c r="A686" s="148" t="n"/>
      <c r="B686" s="148" t="n"/>
      <c r="C686" s="124" t="n"/>
      <c r="D686" s="148" t="n"/>
      <c r="E686" s="148" t="n"/>
      <c r="F686" s="148" t="n"/>
      <c r="G686" s="124" t="n"/>
      <c r="H686" s="148" t="n"/>
      <c r="I686" s="148" t="n"/>
      <c r="J686" s="148" t="n"/>
      <c r="K686" s="148" t="n"/>
      <c r="L686" s="148" t="n"/>
      <c r="M686" s="148" t="n"/>
      <c r="N686" s="148" t="n"/>
      <c r="O686" s="148" t="n"/>
      <c r="P686" s="148" t="n"/>
      <c r="Q686" s="148" t="n"/>
      <c r="R686" s="148" t="n"/>
      <c r="S686" s="148" t="n"/>
      <c r="T686" s="148" t="n"/>
      <c r="U686" s="149">
        <f>IF(AND('Master Stock'!D686&lt;&gt;"",'Master Stock'!H686="OCCUPIED",ISNUMBER('Master Stock'!J686),'Master Stock'!K686=""),SUMPRODUCT(--('Master Stock'!$D$2:$D$1000&lt;&gt;""),--('Master Stock'!$H$2:$H$1000="OCCUPIED"),--ISNUMBER('Master Stock'!$J$2:$J$1000),--('Master Stock'!$K$2:$K$1000=""),--('Master Stock'!$J$2:$J$1000&lt;'Master Stock'!J686))+COUNTIFS('Master Stock'!$J$2:J686,'Master Stock'!J686,'Master Stock'!$D$2:D686,"&lt;&gt;",'Master Stock'!$H$2:H686,"OCCUPIED",'Master Stock'!$K$2:K686,""),"")</f>
        <v/>
      </c>
      <c r="V686" s="149">
        <f>IF(AND('Master Stock'!D686&lt;&gt;"",'Master Stock'!H686="OCCUPIED",ISNUMBER('Master Stock'!L686),'Master Stock'!L686&lt;TODAY()-30),SUMPRODUCT(--('Master Stock'!$D$2:$D$1000&lt;&gt;""),--('Master Stock'!$H$2:$H$1000="OCCUPIED"),--ISNUMBER('Master Stock'!$L$2:$L$1000),--('Master Stock'!$L$2:$L$1000&lt;TODAY()-30),--('Master Stock'!$L$2:$L$1000&lt;'Master Stock'!L686))+COUNTIFS('Master Stock'!$L$2:L686,'Master Stock'!L686,'Master Stock'!$D$2:D686,"&lt;&gt;",'Master Stock'!$H$2:H686,"OCCUPIED"),"")</f>
        <v/>
      </c>
      <c r="W686" s="149" t="n"/>
      <c r="X686" s="149" t="n"/>
      <c r="Y686" s="149" t="n"/>
      <c r="Z686" s="149" t="n"/>
    </row>
    <row r="687" ht="15.75" customHeight="1" s="236">
      <c r="A687" s="148" t="n"/>
      <c r="B687" s="148" t="n"/>
      <c r="C687" s="124" t="n"/>
      <c r="D687" s="148" t="n"/>
      <c r="E687" s="148" t="n"/>
      <c r="F687" s="148" t="n"/>
      <c r="G687" s="124" t="n"/>
      <c r="H687" s="148" t="n"/>
      <c r="I687" s="148" t="n"/>
      <c r="J687" s="148" t="n"/>
      <c r="K687" s="148" t="n"/>
      <c r="L687" s="148" t="n"/>
      <c r="M687" s="148" t="n"/>
      <c r="N687" s="148" t="n"/>
      <c r="O687" s="148" t="n"/>
      <c r="P687" s="148" t="n"/>
      <c r="Q687" s="148" t="n"/>
      <c r="R687" s="148" t="n"/>
      <c r="S687" s="148" t="n"/>
      <c r="T687" s="148" t="n"/>
      <c r="U687" s="149">
        <f>IF(AND('Master Stock'!D687&lt;&gt;"",'Master Stock'!H687="OCCUPIED",ISNUMBER('Master Stock'!J687),'Master Stock'!K687=""),SUMPRODUCT(--('Master Stock'!$D$2:$D$1000&lt;&gt;""),--('Master Stock'!$H$2:$H$1000="OCCUPIED"),--ISNUMBER('Master Stock'!$J$2:$J$1000),--('Master Stock'!$K$2:$K$1000=""),--('Master Stock'!$J$2:$J$1000&lt;'Master Stock'!J687))+COUNTIFS('Master Stock'!$J$2:J687,'Master Stock'!J687,'Master Stock'!$D$2:D687,"&lt;&gt;",'Master Stock'!$H$2:H687,"OCCUPIED",'Master Stock'!$K$2:K687,""),"")</f>
        <v/>
      </c>
      <c r="V687" s="149">
        <f>IF(AND('Master Stock'!D687&lt;&gt;"",'Master Stock'!H687="OCCUPIED",ISNUMBER('Master Stock'!L687),'Master Stock'!L687&lt;TODAY()-30),SUMPRODUCT(--('Master Stock'!$D$2:$D$1000&lt;&gt;""),--('Master Stock'!$H$2:$H$1000="OCCUPIED"),--ISNUMBER('Master Stock'!$L$2:$L$1000),--('Master Stock'!$L$2:$L$1000&lt;TODAY()-30),--('Master Stock'!$L$2:$L$1000&lt;'Master Stock'!L687))+COUNTIFS('Master Stock'!$L$2:L687,'Master Stock'!L687,'Master Stock'!$D$2:D687,"&lt;&gt;",'Master Stock'!$H$2:H687,"OCCUPIED"),"")</f>
        <v/>
      </c>
      <c r="W687" s="149" t="n"/>
      <c r="X687" s="149" t="n"/>
      <c r="Y687" s="149" t="n"/>
      <c r="Z687" s="149" t="n"/>
    </row>
    <row r="688" ht="15.75" customHeight="1" s="236">
      <c r="A688" s="148" t="n"/>
      <c r="B688" s="148" t="n"/>
      <c r="C688" s="124" t="n"/>
      <c r="D688" s="148" t="n"/>
      <c r="E688" s="148" t="n"/>
      <c r="F688" s="148" t="n"/>
      <c r="G688" s="124" t="n"/>
      <c r="H688" s="148" t="n"/>
      <c r="I688" s="148" t="n"/>
      <c r="J688" s="148" t="n"/>
      <c r="K688" s="148" t="n"/>
      <c r="L688" s="148" t="n"/>
      <c r="M688" s="148" t="n"/>
      <c r="N688" s="148" t="n"/>
      <c r="O688" s="148" t="n"/>
      <c r="P688" s="148" t="n"/>
      <c r="Q688" s="148" t="n"/>
      <c r="R688" s="148" t="n"/>
      <c r="S688" s="148" t="n"/>
      <c r="T688" s="148" t="n"/>
      <c r="U688" s="149">
        <f>IF(AND('Master Stock'!D688&lt;&gt;"",'Master Stock'!H688="OCCUPIED",ISNUMBER('Master Stock'!J688),'Master Stock'!K688=""),SUMPRODUCT(--('Master Stock'!$D$2:$D$1000&lt;&gt;""),--('Master Stock'!$H$2:$H$1000="OCCUPIED"),--ISNUMBER('Master Stock'!$J$2:$J$1000),--('Master Stock'!$K$2:$K$1000=""),--('Master Stock'!$J$2:$J$1000&lt;'Master Stock'!J688))+COUNTIFS('Master Stock'!$J$2:J688,'Master Stock'!J688,'Master Stock'!$D$2:D688,"&lt;&gt;",'Master Stock'!$H$2:H688,"OCCUPIED",'Master Stock'!$K$2:K688,""),"")</f>
        <v/>
      </c>
      <c r="V688" s="149">
        <f>IF(AND('Master Stock'!D688&lt;&gt;"",'Master Stock'!H688="OCCUPIED",ISNUMBER('Master Stock'!L688),'Master Stock'!L688&lt;TODAY()-30),SUMPRODUCT(--('Master Stock'!$D$2:$D$1000&lt;&gt;""),--('Master Stock'!$H$2:$H$1000="OCCUPIED"),--ISNUMBER('Master Stock'!$L$2:$L$1000),--('Master Stock'!$L$2:$L$1000&lt;TODAY()-30),--('Master Stock'!$L$2:$L$1000&lt;'Master Stock'!L688))+COUNTIFS('Master Stock'!$L$2:L688,'Master Stock'!L688,'Master Stock'!$D$2:D688,"&lt;&gt;",'Master Stock'!$H$2:H688,"OCCUPIED"),"")</f>
        <v/>
      </c>
      <c r="W688" s="149" t="n"/>
      <c r="X688" s="149" t="n"/>
      <c r="Y688" s="149" t="n"/>
      <c r="Z688" s="149" t="n"/>
    </row>
    <row r="689" ht="15.75" customHeight="1" s="236">
      <c r="A689" s="148" t="n"/>
      <c r="B689" s="148" t="n"/>
      <c r="C689" s="124" t="n"/>
      <c r="D689" s="148" t="n"/>
      <c r="E689" s="148" t="n"/>
      <c r="F689" s="148" t="n"/>
      <c r="G689" s="124" t="n"/>
      <c r="H689" s="148" t="n"/>
      <c r="I689" s="148" t="n"/>
      <c r="J689" s="148" t="n"/>
      <c r="K689" s="148" t="n"/>
      <c r="L689" s="148" t="n"/>
      <c r="M689" s="148" t="n"/>
      <c r="N689" s="148" t="n"/>
      <c r="O689" s="148" t="n"/>
      <c r="P689" s="148" t="n"/>
      <c r="Q689" s="148" t="n"/>
      <c r="R689" s="148" t="n"/>
      <c r="S689" s="148" t="n"/>
      <c r="T689" s="148" t="n"/>
      <c r="U689" s="149">
        <f>IF(AND('Master Stock'!D689&lt;&gt;"",'Master Stock'!H689="OCCUPIED",ISNUMBER('Master Stock'!J689),'Master Stock'!K689=""),SUMPRODUCT(--('Master Stock'!$D$2:$D$1000&lt;&gt;""),--('Master Stock'!$H$2:$H$1000="OCCUPIED"),--ISNUMBER('Master Stock'!$J$2:$J$1000),--('Master Stock'!$K$2:$K$1000=""),--('Master Stock'!$J$2:$J$1000&lt;'Master Stock'!J689))+COUNTIFS('Master Stock'!$J$2:J689,'Master Stock'!J689,'Master Stock'!$D$2:D689,"&lt;&gt;",'Master Stock'!$H$2:H689,"OCCUPIED",'Master Stock'!$K$2:K689,""),"")</f>
        <v/>
      </c>
      <c r="V689" s="149">
        <f>IF(AND('Master Stock'!D689&lt;&gt;"",'Master Stock'!H689="OCCUPIED",ISNUMBER('Master Stock'!L689),'Master Stock'!L689&lt;TODAY()-30),SUMPRODUCT(--('Master Stock'!$D$2:$D$1000&lt;&gt;""),--('Master Stock'!$H$2:$H$1000="OCCUPIED"),--ISNUMBER('Master Stock'!$L$2:$L$1000),--('Master Stock'!$L$2:$L$1000&lt;TODAY()-30),--('Master Stock'!$L$2:$L$1000&lt;'Master Stock'!L689))+COUNTIFS('Master Stock'!$L$2:L689,'Master Stock'!L689,'Master Stock'!$D$2:D689,"&lt;&gt;",'Master Stock'!$H$2:H689,"OCCUPIED"),"")</f>
        <v/>
      </c>
      <c r="W689" s="149" t="n"/>
      <c r="X689" s="149" t="n"/>
      <c r="Y689" s="149" t="n"/>
      <c r="Z689" s="149" t="n"/>
    </row>
    <row r="690" ht="15.75" customHeight="1" s="236">
      <c r="A690" s="148" t="n"/>
      <c r="B690" s="148" t="n"/>
      <c r="C690" s="124" t="n"/>
      <c r="D690" s="148" t="n"/>
      <c r="E690" s="148" t="n"/>
      <c r="F690" s="148" t="n"/>
      <c r="G690" s="124" t="n"/>
      <c r="H690" s="148" t="n"/>
      <c r="I690" s="148" t="n"/>
      <c r="J690" s="148" t="n"/>
      <c r="K690" s="148" t="n"/>
      <c r="L690" s="148" t="n"/>
      <c r="M690" s="148" t="n"/>
      <c r="N690" s="148" t="n"/>
      <c r="O690" s="148" t="n"/>
      <c r="P690" s="148" t="n"/>
      <c r="Q690" s="148" t="n"/>
      <c r="R690" s="148" t="n"/>
      <c r="S690" s="148" t="n"/>
      <c r="T690" s="148" t="n"/>
      <c r="U690" s="149">
        <f>IF(AND('Master Stock'!D690&lt;&gt;"",'Master Stock'!H690="OCCUPIED",ISNUMBER('Master Stock'!J690),'Master Stock'!K690=""),SUMPRODUCT(--('Master Stock'!$D$2:$D$1000&lt;&gt;""),--('Master Stock'!$H$2:$H$1000="OCCUPIED"),--ISNUMBER('Master Stock'!$J$2:$J$1000),--('Master Stock'!$K$2:$K$1000=""),--('Master Stock'!$J$2:$J$1000&lt;'Master Stock'!J690))+COUNTIFS('Master Stock'!$J$2:J690,'Master Stock'!J690,'Master Stock'!$D$2:D690,"&lt;&gt;",'Master Stock'!$H$2:H690,"OCCUPIED",'Master Stock'!$K$2:K690,""),"")</f>
        <v/>
      </c>
      <c r="V690" s="149">
        <f>IF(AND('Master Stock'!D690&lt;&gt;"",'Master Stock'!H690="OCCUPIED",ISNUMBER('Master Stock'!L690),'Master Stock'!L690&lt;TODAY()-30),SUMPRODUCT(--('Master Stock'!$D$2:$D$1000&lt;&gt;""),--('Master Stock'!$H$2:$H$1000="OCCUPIED"),--ISNUMBER('Master Stock'!$L$2:$L$1000),--('Master Stock'!$L$2:$L$1000&lt;TODAY()-30),--('Master Stock'!$L$2:$L$1000&lt;'Master Stock'!L690))+COUNTIFS('Master Stock'!$L$2:L690,'Master Stock'!L690,'Master Stock'!$D$2:D690,"&lt;&gt;",'Master Stock'!$H$2:H690,"OCCUPIED"),"")</f>
        <v/>
      </c>
      <c r="W690" s="149" t="n"/>
      <c r="X690" s="149" t="n"/>
      <c r="Y690" s="149" t="n"/>
      <c r="Z690" s="149" t="n"/>
    </row>
    <row r="691" ht="15.75" customHeight="1" s="236">
      <c r="A691" s="148" t="n"/>
      <c r="B691" s="148" t="n"/>
      <c r="C691" s="124" t="n"/>
      <c r="D691" s="148" t="n"/>
      <c r="E691" s="148" t="n"/>
      <c r="F691" s="148" t="n"/>
      <c r="G691" s="124" t="n"/>
      <c r="H691" s="148" t="n"/>
      <c r="I691" s="148" t="n"/>
      <c r="J691" s="148" t="n"/>
      <c r="K691" s="148" t="n"/>
      <c r="L691" s="148" t="n"/>
      <c r="M691" s="148" t="n"/>
      <c r="N691" s="148" t="n"/>
      <c r="O691" s="148" t="n"/>
      <c r="P691" s="148" t="n"/>
      <c r="Q691" s="148" t="n"/>
      <c r="R691" s="148" t="n"/>
      <c r="S691" s="148" t="n"/>
      <c r="T691" s="148" t="n"/>
      <c r="U691" s="149">
        <f>IF(AND('Master Stock'!D691&lt;&gt;"",'Master Stock'!H691="OCCUPIED",ISNUMBER('Master Stock'!J691),'Master Stock'!K691=""),SUMPRODUCT(--('Master Stock'!$D$2:$D$1000&lt;&gt;""),--('Master Stock'!$H$2:$H$1000="OCCUPIED"),--ISNUMBER('Master Stock'!$J$2:$J$1000),--('Master Stock'!$K$2:$K$1000=""),--('Master Stock'!$J$2:$J$1000&lt;'Master Stock'!J691))+COUNTIFS('Master Stock'!$J$2:J691,'Master Stock'!J691,'Master Stock'!$D$2:D691,"&lt;&gt;",'Master Stock'!$H$2:H691,"OCCUPIED",'Master Stock'!$K$2:K691,""),"")</f>
        <v/>
      </c>
      <c r="V691" s="149">
        <f>IF(AND('Master Stock'!D691&lt;&gt;"",'Master Stock'!H691="OCCUPIED",ISNUMBER('Master Stock'!L691),'Master Stock'!L691&lt;TODAY()-30),SUMPRODUCT(--('Master Stock'!$D$2:$D$1000&lt;&gt;""),--('Master Stock'!$H$2:$H$1000="OCCUPIED"),--ISNUMBER('Master Stock'!$L$2:$L$1000),--('Master Stock'!$L$2:$L$1000&lt;TODAY()-30),--('Master Stock'!$L$2:$L$1000&lt;'Master Stock'!L691))+COUNTIFS('Master Stock'!$L$2:L691,'Master Stock'!L691,'Master Stock'!$D$2:D691,"&lt;&gt;",'Master Stock'!$H$2:H691,"OCCUPIED"),"")</f>
        <v/>
      </c>
      <c r="W691" s="149" t="n"/>
      <c r="X691" s="149" t="n"/>
      <c r="Y691" s="149" t="n"/>
      <c r="Z691" s="149" t="n"/>
    </row>
    <row r="692" ht="15.75" customHeight="1" s="236">
      <c r="A692" s="148" t="n"/>
      <c r="B692" s="148" t="n"/>
      <c r="C692" s="124" t="n"/>
      <c r="D692" s="148" t="n"/>
      <c r="E692" s="148" t="n"/>
      <c r="F692" s="148" t="n"/>
      <c r="G692" s="124" t="n"/>
      <c r="H692" s="148" t="n"/>
      <c r="I692" s="148" t="n"/>
      <c r="J692" s="148" t="n"/>
      <c r="K692" s="148" t="n"/>
      <c r="L692" s="148" t="n"/>
      <c r="M692" s="148" t="n"/>
      <c r="N692" s="148" t="n"/>
      <c r="O692" s="148" t="n"/>
      <c r="P692" s="148" t="n"/>
      <c r="Q692" s="148" t="n"/>
      <c r="R692" s="148" t="n"/>
      <c r="S692" s="148" t="n"/>
      <c r="T692" s="148" t="n"/>
      <c r="U692" s="149">
        <f>IF(AND('Master Stock'!D692&lt;&gt;"",'Master Stock'!H692="OCCUPIED",ISNUMBER('Master Stock'!J692),'Master Stock'!K692=""),SUMPRODUCT(--('Master Stock'!$D$2:$D$1000&lt;&gt;""),--('Master Stock'!$H$2:$H$1000="OCCUPIED"),--ISNUMBER('Master Stock'!$J$2:$J$1000),--('Master Stock'!$K$2:$K$1000=""),--('Master Stock'!$J$2:$J$1000&lt;'Master Stock'!J692))+COUNTIFS('Master Stock'!$J$2:J692,'Master Stock'!J692,'Master Stock'!$D$2:D692,"&lt;&gt;",'Master Stock'!$H$2:H692,"OCCUPIED",'Master Stock'!$K$2:K692,""),"")</f>
        <v/>
      </c>
      <c r="V692" s="149">
        <f>IF(AND('Master Stock'!D692&lt;&gt;"",'Master Stock'!H692="OCCUPIED",ISNUMBER('Master Stock'!L692),'Master Stock'!L692&lt;TODAY()-30),SUMPRODUCT(--('Master Stock'!$D$2:$D$1000&lt;&gt;""),--('Master Stock'!$H$2:$H$1000="OCCUPIED"),--ISNUMBER('Master Stock'!$L$2:$L$1000),--('Master Stock'!$L$2:$L$1000&lt;TODAY()-30),--('Master Stock'!$L$2:$L$1000&lt;'Master Stock'!L692))+COUNTIFS('Master Stock'!$L$2:L692,'Master Stock'!L692,'Master Stock'!$D$2:D692,"&lt;&gt;",'Master Stock'!$H$2:H692,"OCCUPIED"),"")</f>
        <v/>
      </c>
      <c r="W692" s="149" t="n"/>
      <c r="X692" s="149" t="n"/>
      <c r="Y692" s="149" t="n"/>
      <c r="Z692" s="149" t="n"/>
    </row>
    <row r="693" ht="15.75" customHeight="1" s="236">
      <c r="A693" s="148" t="n"/>
      <c r="B693" s="148" t="n"/>
      <c r="C693" s="124" t="n"/>
      <c r="D693" s="148" t="n"/>
      <c r="E693" s="148" t="n"/>
      <c r="F693" s="148" t="n"/>
      <c r="G693" s="124" t="n"/>
      <c r="H693" s="148" t="n"/>
      <c r="I693" s="148" t="n"/>
      <c r="J693" s="148" t="n"/>
      <c r="K693" s="148" t="n"/>
      <c r="L693" s="148" t="n"/>
      <c r="M693" s="148" t="n"/>
      <c r="N693" s="148" t="n"/>
      <c r="O693" s="148" t="n"/>
      <c r="P693" s="148" t="n"/>
      <c r="Q693" s="148" t="n"/>
      <c r="R693" s="148" t="n"/>
      <c r="S693" s="148" t="n"/>
      <c r="T693" s="148" t="n"/>
      <c r="U693" s="149">
        <f>IF(AND('Master Stock'!D693&lt;&gt;"",'Master Stock'!H693="OCCUPIED",ISNUMBER('Master Stock'!J693),'Master Stock'!K693=""),SUMPRODUCT(--('Master Stock'!$D$2:$D$1000&lt;&gt;""),--('Master Stock'!$H$2:$H$1000="OCCUPIED"),--ISNUMBER('Master Stock'!$J$2:$J$1000),--('Master Stock'!$K$2:$K$1000=""),--('Master Stock'!$J$2:$J$1000&lt;'Master Stock'!J693))+COUNTIFS('Master Stock'!$J$2:J693,'Master Stock'!J693,'Master Stock'!$D$2:D693,"&lt;&gt;",'Master Stock'!$H$2:H693,"OCCUPIED",'Master Stock'!$K$2:K693,""),"")</f>
        <v/>
      </c>
      <c r="V693" s="149">
        <f>IF(AND('Master Stock'!D693&lt;&gt;"",'Master Stock'!H693="OCCUPIED",ISNUMBER('Master Stock'!L693),'Master Stock'!L693&lt;TODAY()-30),SUMPRODUCT(--('Master Stock'!$D$2:$D$1000&lt;&gt;""),--('Master Stock'!$H$2:$H$1000="OCCUPIED"),--ISNUMBER('Master Stock'!$L$2:$L$1000),--('Master Stock'!$L$2:$L$1000&lt;TODAY()-30),--('Master Stock'!$L$2:$L$1000&lt;'Master Stock'!L693))+COUNTIFS('Master Stock'!$L$2:L693,'Master Stock'!L693,'Master Stock'!$D$2:D693,"&lt;&gt;",'Master Stock'!$H$2:H693,"OCCUPIED"),"")</f>
        <v/>
      </c>
      <c r="W693" s="149" t="n"/>
      <c r="X693" s="149" t="n"/>
      <c r="Y693" s="149" t="n"/>
      <c r="Z693" s="149" t="n"/>
    </row>
    <row r="694" ht="15.75" customHeight="1" s="236">
      <c r="A694" s="148" t="n"/>
      <c r="B694" s="148" t="n"/>
      <c r="C694" s="124" t="n"/>
      <c r="D694" s="148" t="n"/>
      <c r="E694" s="148" t="n"/>
      <c r="F694" s="148" t="n"/>
      <c r="G694" s="124" t="n"/>
      <c r="H694" s="148" t="n"/>
      <c r="I694" s="148" t="n"/>
      <c r="J694" s="148" t="n"/>
      <c r="K694" s="148" t="n"/>
      <c r="L694" s="148" t="n"/>
      <c r="M694" s="148" t="n"/>
      <c r="N694" s="148" t="n"/>
      <c r="O694" s="148" t="n"/>
      <c r="P694" s="148" t="n"/>
      <c r="Q694" s="148" t="n"/>
      <c r="R694" s="148" t="n"/>
      <c r="S694" s="148" t="n"/>
      <c r="T694" s="148" t="n"/>
      <c r="U694" s="149">
        <f>IF(AND('Master Stock'!D694&lt;&gt;"",'Master Stock'!H694="OCCUPIED",ISNUMBER('Master Stock'!J694),'Master Stock'!K694=""),SUMPRODUCT(--('Master Stock'!$D$2:$D$1000&lt;&gt;""),--('Master Stock'!$H$2:$H$1000="OCCUPIED"),--ISNUMBER('Master Stock'!$J$2:$J$1000),--('Master Stock'!$K$2:$K$1000=""),--('Master Stock'!$J$2:$J$1000&lt;'Master Stock'!J694))+COUNTIFS('Master Stock'!$J$2:J694,'Master Stock'!J694,'Master Stock'!$D$2:D694,"&lt;&gt;",'Master Stock'!$H$2:H694,"OCCUPIED",'Master Stock'!$K$2:K694,""),"")</f>
        <v/>
      </c>
      <c r="V694" s="149">
        <f>IF(AND('Master Stock'!D694&lt;&gt;"",'Master Stock'!H694="OCCUPIED",ISNUMBER('Master Stock'!L694),'Master Stock'!L694&lt;TODAY()-30),SUMPRODUCT(--('Master Stock'!$D$2:$D$1000&lt;&gt;""),--('Master Stock'!$H$2:$H$1000="OCCUPIED"),--ISNUMBER('Master Stock'!$L$2:$L$1000),--('Master Stock'!$L$2:$L$1000&lt;TODAY()-30),--('Master Stock'!$L$2:$L$1000&lt;'Master Stock'!L694))+COUNTIFS('Master Stock'!$L$2:L694,'Master Stock'!L694,'Master Stock'!$D$2:D694,"&lt;&gt;",'Master Stock'!$H$2:H694,"OCCUPIED"),"")</f>
        <v/>
      </c>
      <c r="W694" s="149" t="n"/>
      <c r="X694" s="149" t="n"/>
      <c r="Y694" s="149" t="n"/>
      <c r="Z694" s="149" t="n"/>
    </row>
    <row r="695" ht="15.75" customHeight="1" s="236">
      <c r="A695" s="148" t="n"/>
      <c r="B695" s="148" t="n"/>
      <c r="C695" s="124" t="n"/>
      <c r="D695" s="148" t="n"/>
      <c r="E695" s="148" t="n"/>
      <c r="F695" s="148" t="n"/>
      <c r="G695" s="124" t="n"/>
      <c r="H695" s="148" t="n"/>
      <c r="I695" s="148" t="n"/>
      <c r="J695" s="148" t="n"/>
      <c r="K695" s="148" t="n"/>
      <c r="L695" s="148" t="n"/>
      <c r="M695" s="148" t="n"/>
      <c r="N695" s="148" t="n"/>
      <c r="O695" s="148" t="n"/>
      <c r="P695" s="148" t="n"/>
      <c r="Q695" s="148" t="n"/>
      <c r="R695" s="148" t="n"/>
      <c r="S695" s="148" t="n"/>
      <c r="T695" s="148" t="n"/>
      <c r="U695" s="149">
        <f>IF(AND('Master Stock'!D695&lt;&gt;"",'Master Stock'!H695="OCCUPIED",ISNUMBER('Master Stock'!J695),'Master Stock'!K695=""),SUMPRODUCT(--('Master Stock'!$D$2:$D$1000&lt;&gt;""),--('Master Stock'!$H$2:$H$1000="OCCUPIED"),--ISNUMBER('Master Stock'!$J$2:$J$1000),--('Master Stock'!$K$2:$K$1000=""),--('Master Stock'!$J$2:$J$1000&lt;'Master Stock'!J695))+COUNTIFS('Master Stock'!$J$2:J695,'Master Stock'!J695,'Master Stock'!$D$2:D695,"&lt;&gt;",'Master Stock'!$H$2:H695,"OCCUPIED",'Master Stock'!$K$2:K695,""),"")</f>
        <v/>
      </c>
      <c r="V695" s="149">
        <f>IF(AND('Master Stock'!D695&lt;&gt;"",'Master Stock'!H695="OCCUPIED",ISNUMBER('Master Stock'!L695),'Master Stock'!L695&lt;TODAY()-30),SUMPRODUCT(--('Master Stock'!$D$2:$D$1000&lt;&gt;""),--('Master Stock'!$H$2:$H$1000="OCCUPIED"),--ISNUMBER('Master Stock'!$L$2:$L$1000),--('Master Stock'!$L$2:$L$1000&lt;TODAY()-30),--('Master Stock'!$L$2:$L$1000&lt;'Master Stock'!L695))+COUNTIFS('Master Stock'!$L$2:L695,'Master Stock'!L695,'Master Stock'!$D$2:D695,"&lt;&gt;",'Master Stock'!$H$2:H695,"OCCUPIED"),"")</f>
        <v/>
      </c>
      <c r="W695" s="149" t="n"/>
      <c r="X695" s="149" t="n"/>
      <c r="Y695" s="149" t="n"/>
      <c r="Z695" s="149" t="n"/>
    </row>
    <row r="696" ht="15.75" customHeight="1" s="236">
      <c r="A696" s="148" t="n"/>
      <c r="B696" s="148" t="n"/>
      <c r="C696" s="124" t="n"/>
      <c r="D696" s="148" t="n"/>
      <c r="E696" s="148" t="n"/>
      <c r="F696" s="148" t="n"/>
      <c r="G696" s="124" t="n"/>
      <c r="H696" s="148" t="n"/>
      <c r="I696" s="148" t="n"/>
      <c r="J696" s="148" t="n"/>
      <c r="K696" s="148" t="n"/>
      <c r="L696" s="148" t="n"/>
      <c r="M696" s="148" t="n"/>
      <c r="N696" s="148" t="n"/>
      <c r="O696" s="148" t="n"/>
      <c r="P696" s="148" t="n"/>
      <c r="Q696" s="148" t="n"/>
      <c r="R696" s="148" t="n"/>
      <c r="S696" s="148" t="n"/>
      <c r="T696" s="148" t="n"/>
      <c r="U696" s="149">
        <f>IF(AND('Master Stock'!D696&lt;&gt;"",'Master Stock'!H696="OCCUPIED",ISNUMBER('Master Stock'!J696),'Master Stock'!K696=""),SUMPRODUCT(--('Master Stock'!$D$2:$D$1000&lt;&gt;""),--('Master Stock'!$H$2:$H$1000="OCCUPIED"),--ISNUMBER('Master Stock'!$J$2:$J$1000),--('Master Stock'!$K$2:$K$1000=""),--('Master Stock'!$J$2:$J$1000&lt;'Master Stock'!J696))+COUNTIFS('Master Stock'!$J$2:J696,'Master Stock'!J696,'Master Stock'!$D$2:D696,"&lt;&gt;",'Master Stock'!$H$2:H696,"OCCUPIED",'Master Stock'!$K$2:K696,""),"")</f>
        <v/>
      </c>
      <c r="V696" s="149">
        <f>IF(AND('Master Stock'!D696&lt;&gt;"",'Master Stock'!H696="OCCUPIED",ISNUMBER('Master Stock'!L696),'Master Stock'!L696&lt;TODAY()-30),SUMPRODUCT(--('Master Stock'!$D$2:$D$1000&lt;&gt;""),--('Master Stock'!$H$2:$H$1000="OCCUPIED"),--ISNUMBER('Master Stock'!$L$2:$L$1000),--('Master Stock'!$L$2:$L$1000&lt;TODAY()-30),--('Master Stock'!$L$2:$L$1000&lt;'Master Stock'!L696))+COUNTIFS('Master Stock'!$L$2:L696,'Master Stock'!L696,'Master Stock'!$D$2:D696,"&lt;&gt;",'Master Stock'!$H$2:H696,"OCCUPIED"),"")</f>
        <v/>
      </c>
      <c r="W696" s="149" t="n"/>
      <c r="X696" s="149" t="n"/>
      <c r="Y696" s="149" t="n"/>
      <c r="Z696" s="149" t="n"/>
    </row>
    <row r="697" ht="15.75" customHeight="1" s="236">
      <c r="A697" s="148" t="n"/>
      <c r="B697" s="148" t="n"/>
      <c r="C697" s="124" t="n"/>
      <c r="D697" s="148" t="n"/>
      <c r="E697" s="148" t="n"/>
      <c r="F697" s="148" t="n"/>
      <c r="G697" s="124" t="n"/>
      <c r="H697" s="148" t="n"/>
      <c r="I697" s="148" t="n"/>
      <c r="J697" s="148" t="n"/>
      <c r="K697" s="148" t="n"/>
      <c r="L697" s="148" t="n"/>
      <c r="M697" s="148" t="n"/>
      <c r="N697" s="148" t="n"/>
      <c r="O697" s="148" t="n"/>
      <c r="P697" s="148" t="n"/>
      <c r="Q697" s="148" t="n"/>
      <c r="R697" s="148" t="n"/>
      <c r="S697" s="148" t="n"/>
      <c r="T697" s="148" t="n"/>
      <c r="U697" s="149">
        <f>IF(AND('Master Stock'!D697&lt;&gt;"",'Master Stock'!H697="OCCUPIED",ISNUMBER('Master Stock'!J697),'Master Stock'!K697=""),SUMPRODUCT(--('Master Stock'!$D$2:$D$1000&lt;&gt;""),--('Master Stock'!$H$2:$H$1000="OCCUPIED"),--ISNUMBER('Master Stock'!$J$2:$J$1000),--('Master Stock'!$K$2:$K$1000=""),--('Master Stock'!$J$2:$J$1000&lt;'Master Stock'!J697))+COUNTIFS('Master Stock'!$J$2:J697,'Master Stock'!J697,'Master Stock'!$D$2:D697,"&lt;&gt;",'Master Stock'!$H$2:H697,"OCCUPIED",'Master Stock'!$K$2:K697,""),"")</f>
        <v/>
      </c>
      <c r="V697" s="149">
        <f>IF(AND('Master Stock'!D697&lt;&gt;"",'Master Stock'!H697="OCCUPIED",ISNUMBER('Master Stock'!L697),'Master Stock'!L697&lt;TODAY()-30),SUMPRODUCT(--('Master Stock'!$D$2:$D$1000&lt;&gt;""),--('Master Stock'!$H$2:$H$1000="OCCUPIED"),--ISNUMBER('Master Stock'!$L$2:$L$1000),--('Master Stock'!$L$2:$L$1000&lt;TODAY()-30),--('Master Stock'!$L$2:$L$1000&lt;'Master Stock'!L697))+COUNTIFS('Master Stock'!$L$2:L697,'Master Stock'!L697,'Master Stock'!$D$2:D697,"&lt;&gt;",'Master Stock'!$H$2:H697,"OCCUPIED"),"")</f>
        <v/>
      </c>
      <c r="W697" s="149" t="n"/>
      <c r="X697" s="149" t="n"/>
      <c r="Y697" s="149" t="n"/>
      <c r="Z697" s="149" t="n"/>
    </row>
    <row r="698" ht="15.75" customHeight="1" s="236">
      <c r="A698" s="148" t="n"/>
      <c r="B698" s="148" t="n"/>
      <c r="C698" s="124" t="n"/>
      <c r="D698" s="148" t="n"/>
      <c r="E698" s="148" t="n"/>
      <c r="F698" s="148" t="n"/>
      <c r="G698" s="124" t="n"/>
      <c r="H698" s="148" t="n"/>
      <c r="I698" s="148" t="n"/>
      <c r="J698" s="148" t="n"/>
      <c r="K698" s="148" t="n"/>
      <c r="L698" s="148" t="n"/>
      <c r="M698" s="148" t="n"/>
      <c r="N698" s="148" t="n"/>
      <c r="O698" s="148" t="n"/>
      <c r="P698" s="148" t="n"/>
      <c r="Q698" s="148" t="n"/>
      <c r="R698" s="148" t="n"/>
      <c r="S698" s="148" t="n"/>
      <c r="T698" s="148" t="n"/>
      <c r="U698" s="149">
        <f>IF(AND('Master Stock'!D698&lt;&gt;"",'Master Stock'!H698="OCCUPIED",ISNUMBER('Master Stock'!J698),'Master Stock'!K698=""),SUMPRODUCT(--('Master Stock'!$D$2:$D$1000&lt;&gt;""),--('Master Stock'!$H$2:$H$1000="OCCUPIED"),--ISNUMBER('Master Stock'!$J$2:$J$1000),--('Master Stock'!$K$2:$K$1000=""),--('Master Stock'!$J$2:$J$1000&lt;'Master Stock'!J698))+COUNTIFS('Master Stock'!$J$2:J698,'Master Stock'!J698,'Master Stock'!$D$2:D698,"&lt;&gt;",'Master Stock'!$H$2:H698,"OCCUPIED",'Master Stock'!$K$2:K698,""),"")</f>
        <v/>
      </c>
      <c r="V698" s="149">
        <f>IF(AND('Master Stock'!D698&lt;&gt;"",'Master Stock'!H698="OCCUPIED",ISNUMBER('Master Stock'!L698),'Master Stock'!L698&lt;TODAY()-30),SUMPRODUCT(--('Master Stock'!$D$2:$D$1000&lt;&gt;""),--('Master Stock'!$H$2:$H$1000="OCCUPIED"),--ISNUMBER('Master Stock'!$L$2:$L$1000),--('Master Stock'!$L$2:$L$1000&lt;TODAY()-30),--('Master Stock'!$L$2:$L$1000&lt;'Master Stock'!L698))+COUNTIFS('Master Stock'!$L$2:L698,'Master Stock'!L698,'Master Stock'!$D$2:D698,"&lt;&gt;",'Master Stock'!$H$2:H698,"OCCUPIED"),"")</f>
        <v/>
      </c>
      <c r="W698" s="149" t="n"/>
      <c r="X698" s="149" t="n"/>
      <c r="Y698" s="149" t="n"/>
      <c r="Z698" s="149" t="n"/>
    </row>
    <row r="699" ht="15.75" customHeight="1" s="236">
      <c r="A699" s="148" t="n"/>
      <c r="B699" s="148" t="n"/>
      <c r="C699" s="124" t="n"/>
      <c r="D699" s="148" t="n"/>
      <c r="E699" s="148" t="n"/>
      <c r="F699" s="148" t="n"/>
      <c r="G699" s="124" t="n"/>
      <c r="H699" s="148" t="n"/>
      <c r="I699" s="148" t="n"/>
      <c r="J699" s="148" t="n"/>
      <c r="K699" s="148" t="n"/>
      <c r="L699" s="148" t="n"/>
      <c r="M699" s="148" t="n"/>
      <c r="N699" s="148" t="n"/>
      <c r="O699" s="148" t="n"/>
      <c r="P699" s="148" t="n"/>
      <c r="Q699" s="148" t="n"/>
      <c r="R699" s="148" t="n"/>
      <c r="S699" s="148" t="n"/>
      <c r="T699" s="148" t="n"/>
      <c r="U699" s="149">
        <f>IF(AND('Master Stock'!D699&lt;&gt;"",'Master Stock'!H699="OCCUPIED",ISNUMBER('Master Stock'!J699),'Master Stock'!K699=""),SUMPRODUCT(--('Master Stock'!$D$2:$D$1000&lt;&gt;""),--('Master Stock'!$H$2:$H$1000="OCCUPIED"),--ISNUMBER('Master Stock'!$J$2:$J$1000),--('Master Stock'!$K$2:$K$1000=""),--('Master Stock'!$J$2:$J$1000&lt;'Master Stock'!J699))+COUNTIFS('Master Stock'!$J$2:J699,'Master Stock'!J699,'Master Stock'!$D$2:D699,"&lt;&gt;",'Master Stock'!$H$2:H699,"OCCUPIED",'Master Stock'!$K$2:K699,""),"")</f>
        <v/>
      </c>
      <c r="V699" s="149">
        <f>IF(AND('Master Stock'!D699&lt;&gt;"",'Master Stock'!H699="OCCUPIED",ISNUMBER('Master Stock'!L699),'Master Stock'!L699&lt;TODAY()-30),SUMPRODUCT(--('Master Stock'!$D$2:$D$1000&lt;&gt;""),--('Master Stock'!$H$2:$H$1000="OCCUPIED"),--ISNUMBER('Master Stock'!$L$2:$L$1000),--('Master Stock'!$L$2:$L$1000&lt;TODAY()-30),--('Master Stock'!$L$2:$L$1000&lt;'Master Stock'!L699))+COUNTIFS('Master Stock'!$L$2:L699,'Master Stock'!L699,'Master Stock'!$D$2:D699,"&lt;&gt;",'Master Stock'!$H$2:H699,"OCCUPIED"),"")</f>
        <v/>
      </c>
      <c r="W699" s="149" t="n"/>
      <c r="X699" s="149" t="n"/>
      <c r="Y699" s="149" t="n"/>
      <c r="Z699" s="149" t="n"/>
    </row>
    <row r="700" ht="15.75" customHeight="1" s="236">
      <c r="A700" s="148" t="n"/>
      <c r="B700" s="148" t="n"/>
      <c r="C700" s="124" t="n"/>
      <c r="D700" s="148" t="n"/>
      <c r="E700" s="148" t="n"/>
      <c r="F700" s="148" t="n"/>
      <c r="G700" s="124" t="n"/>
      <c r="H700" s="148" t="n"/>
      <c r="I700" s="148" t="n"/>
      <c r="J700" s="148" t="n"/>
      <c r="K700" s="148" t="n"/>
      <c r="L700" s="148" t="n"/>
      <c r="M700" s="148" t="n"/>
      <c r="N700" s="148" t="n"/>
      <c r="O700" s="148" t="n"/>
      <c r="P700" s="148" t="n"/>
      <c r="Q700" s="148" t="n"/>
      <c r="R700" s="148" t="n"/>
      <c r="S700" s="148" t="n"/>
      <c r="T700" s="148" t="n"/>
      <c r="U700" s="149">
        <f>IF(AND('Master Stock'!D700&lt;&gt;"",'Master Stock'!H700="OCCUPIED",ISNUMBER('Master Stock'!J700),'Master Stock'!K700=""),SUMPRODUCT(--('Master Stock'!$D$2:$D$1000&lt;&gt;""),--('Master Stock'!$H$2:$H$1000="OCCUPIED"),--ISNUMBER('Master Stock'!$J$2:$J$1000),--('Master Stock'!$K$2:$K$1000=""),--('Master Stock'!$J$2:$J$1000&lt;'Master Stock'!J700))+COUNTIFS('Master Stock'!$J$2:J700,'Master Stock'!J700,'Master Stock'!$D$2:D700,"&lt;&gt;",'Master Stock'!$H$2:H700,"OCCUPIED",'Master Stock'!$K$2:K700,""),"")</f>
        <v/>
      </c>
      <c r="V700" s="149">
        <f>IF(AND('Master Stock'!D700&lt;&gt;"",'Master Stock'!H700="OCCUPIED",ISNUMBER('Master Stock'!L700),'Master Stock'!L700&lt;TODAY()-30),SUMPRODUCT(--('Master Stock'!$D$2:$D$1000&lt;&gt;""),--('Master Stock'!$H$2:$H$1000="OCCUPIED"),--ISNUMBER('Master Stock'!$L$2:$L$1000),--('Master Stock'!$L$2:$L$1000&lt;TODAY()-30),--('Master Stock'!$L$2:$L$1000&lt;'Master Stock'!L700))+COUNTIFS('Master Stock'!$L$2:L700,'Master Stock'!L700,'Master Stock'!$D$2:D700,"&lt;&gt;",'Master Stock'!$H$2:H700,"OCCUPIED"),"")</f>
        <v/>
      </c>
      <c r="W700" s="149" t="n"/>
      <c r="X700" s="149" t="n"/>
      <c r="Y700" s="149" t="n"/>
      <c r="Z700" s="149" t="n"/>
    </row>
    <row r="701" ht="15.75" customHeight="1" s="236">
      <c r="A701" s="148" t="n"/>
      <c r="B701" s="148" t="n"/>
      <c r="C701" s="124" t="n"/>
      <c r="D701" s="148" t="n"/>
      <c r="E701" s="148" t="n"/>
      <c r="F701" s="148" t="n"/>
      <c r="G701" s="124" t="n"/>
      <c r="H701" s="148" t="n"/>
      <c r="I701" s="148" t="n"/>
      <c r="J701" s="148" t="n"/>
      <c r="K701" s="148" t="n"/>
      <c r="L701" s="148" t="n"/>
      <c r="M701" s="148" t="n"/>
      <c r="N701" s="148" t="n"/>
      <c r="O701" s="148" t="n"/>
      <c r="P701" s="148" t="n"/>
      <c r="Q701" s="148" t="n"/>
      <c r="R701" s="148" t="n"/>
      <c r="S701" s="148" t="n"/>
      <c r="T701" s="148" t="n"/>
      <c r="U701" s="149">
        <f>IF(AND('Master Stock'!D701&lt;&gt;"",'Master Stock'!H701="OCCUPIED",ISNUMBER('Master Stock'!J701),'Master Stock'!K701=""),SUMPRODUCT(--('Master Stock'!$D$2:$D$1000&lt;&gt;""),--('Master Stock'!$H$2:$H$1000="OCCUPIED"),--ISNUMBER('Master Stock'!$J$2:$J$1000),--('Master Stock'!$K$2:$K$1000=""),--('Master Stock'!$J$2:$J$1000&lt;'Master Stock'!J701))+COUNTIFS('Master Stock'!$J$2:J701,'Master Stock'!J701,'Master Stock'!$D$2:D701,"&lt;&gt;",'Master Stock'!$H$2:H701,"OCCUPIED",'Master Stock'!$K$2:K701,""),"")</f>
        <v/>
      </c>
      <c r="V701" s="149">
        <f>IF(AND('Master Stock'!D701&lt;&gt;"",'Master Stock'!H701="OCCUPIED",ISNUMBER('Master Stock'!L701),'Master Stock'!L701&lt;TODAY()-30),SUMPRODUCT(--('Master Stock'!$D$2:$D$1000&lt;&gt;""),--('Master Stock'!$H$2:$H$1000="OCCUPIED"),--ISNUMBER('Master Stock'!$L$2:$L$1000),--('Master Stock'!$L$2:$L$1000&lt;TODAY()-30),--('Master Stock'!$L$2:$L$1000&lt;'Master Stock'!L701))+COUNTIFS('Master Stock'!$L$2:L701,'Master Stock'!L701,'Master Stock'!$D$2:D701,"&lt;&gt;",'Master Stock'!$H$2:H701,"OCCUPIED"),"")</f>
        <v/>
      </c>
      <c r="W701" s="149" t="n"/>
      <c r="X701" s="149" t="n"/>
      <c r="Y701" s="149" t="n"/>
      <c r="Z701" s="149" t="n"/>
    </row>
    <row r="702" ht="15.75" customHeight="1" s="236">
      <c r="A702" s="148" t="n"/>
      <c r="B702" s="148" t="n"/>
      <c r="C702" s="124" t="n"/>
      <c r="D702" s="148" t="n"/>
      <c r="E702" s="148" t="n"/>
      <c r="F702" s="148" t="n"/>
      <c r="G702" s="124" t="n"/>
      <c r="H702" s="148" t="n"/>
      <c r="I702" s="148" t="n"/>
      <c r="J702" s="148" t="n"/>
      <c r="K702" s="148" t="n"/>
      <c r="L702" s="148" t="n"/>
      <c r="M702" s="148" t="n"/>
      <c r="N702" s="148" t="n"/>
      <c r="O702" s="148" t="n"/>
      <c r="P702" s="148" t="n"/>
      <c r="Q702" s="148" t="n"/>
      <c r="R702" s="148" t="n"/>
      <c r="S702" s="148" t="n"/>
      <c r="T702" s="148" t="n"/>
      <c r="U702" s="149">
        <f>IF(AND('Master Stock'!D702&lt;&gt;"",'Master Stock'!H702="OCCUPIED",ISNUMBER('Master Stock'!J702),'Master Stock'!K702=""),SUMPRODUCT(--('Master Stock'!$D$2:$D$1000&lt;&gt;""),--('Master Stock'!$H$2:$H$1000="OCCUPIED"),--ISNUMBER('Master Stock'!$J$2:$J$1000),--('Master Stock'!$K$2:$K$1000=""),--('Master Stock'!$J$2:$J$1000&lt;'Master Stock'!J702))+COUNTIFS('Master Stock'!$J$2:J702,'Master Stock'!J702,'Master Stock'!$D$2:D702,"&lt;&gt;",'Master Stock'!$H$2:H702,"OCCUPIED",'Master Stock'!$K$2:K702,""),"")</f>
        <v/>
      </c>
      <c r="V702" s="149">
        <f>IF(AND('Master Stock'!D702&lt;&gt;"",'Master Stock'!H702="OCCUPIED",ISNUMBER('Master Stock'!L702),'Master Stock'!L702&lt;TODAY()-30),SUMPRODUCT(--('Master Stock'!$D$2:$D$1000&lt;&gt;""),--('Master Stock'!$H$2:$H$1000="OCCUPIED"),--ISNUMBER('Master Stock'!$L$2:$L$1000),--('Master Stock'!$L$2:$L$1000&lt;TODAY()-30),--('Master Stock'!$L$2:$L$1000&lt;'Master Stock'!L702))+COUNTIFS('Master Stock'!$L$2:L702,'Master Stock'!L702,'Master Stock'!$D$2:D702,"&lt;&gt;",'Master Stock'!$H$2:H702,"OCCUPIED"),"")</f>
        <v/>
      </c>
      <c r="W702" s="149" t="n"/>
      <c r="X702" s="149" t="n"/>
      <c r="Y702" s="149" t="n"/>
      <c r="Z702" s="149" t="n"/>
    </row>
    <row r="703" ht="15.75" customHeight="1" s="236">
      <c r="A703" s="148" t="n"/>
      <c r="B703" s="148" t="n"/>
      <c r="C703" s="124" t="n"/>
      <c r="D703" s="148" t="n"/>
      <c r="E703" s="148" t="n"/>
      <c r="F703" s="148" t="n"/>
      <c r="G703" s="124" t="n"/>
      <c r="H703" s="148" t="n"/>
      <c r="I703" s="148" t="n"/>
      <c r="J703" s="148" t="n"/>
      <c r="K703" s="148" t="n"/>
      <c r="L703" s="148" t="n"/>
      <c r="M703" s="148" t="n"/>
      <c r="N703" s="148" t="n"/>
      <c r="O703" s="148" t="n"/>
      <c r="P703" s="148" t="n"/>
      <c r="Q703" s="148" t="n"/>
      <c r="R703" s="148" t="n"/>
      <c r="S703" s="148" t="n"/>
      <c r="T703" s="148" t="n"/>
      <c r="U703" s="149">
        <f>IF(AND('Master Stock'!D703&lt;&gt;"",'Master Stock'!H703="OCCUPIED",ISNUMBER('Master Stock'!J703),'Master Stock'!K703=""),SUMPRODUCT(--('Master Stock'!$D$2:$D$1000&lt;&gt;""),--('Master Stock'!$H$2:$H$1000="OCCUPIED"),--ISNUMBER('Master Stock'!$J$2:$J$1000),--('Master Stock'!$K$2:$K$1000=""),--('Master Stock'!$J$2:$J$1000&lt;'Master Stock'!J703))+COUNTIFS('Master Stock'!$J$2:J703,'Master Stock'!J703,'Master Stock'!$D$2:D703,"&lt;&gt;",'Master Stock'!$H$2:H703,"OCCUPIED",'Master Stock'!$K$2:K703,""),"")</f>
        <v/>
      </c>
      <c r="V703" s="149">
        <f>IF(AND('Master Stock'!D703&lt;&gt;"",'Master Stock'!H703="OCCUPIED",ISNUMBER('Master Stock'!L703),'Master Stock'!L703&lt;TODAY()-30),SUMPRODUCT(--('Master Stock'!$D$2:$D$1000&lt;&gt;""),--('Master Stock'!$H$2:$H$1000="OCCUPIED"),--ISNUMBER('Master Stock'!$L$2:$L$1000),--('Master Stock'!$L$2:$L$1000&lt;TODAY()-30),--('Master Stock'!$L$2:$L$1000&lt;'Master Stock'!L703))+COUNTIFS('Master Stock'!$L$2:L703,'Master Stock'!L703,'Master Stock'!$D$2:D703,"&lt;&gt;",'Master Stock'!$H$2:H703,"OCCUPIED"),"")</f>
        <v/>
      </c>
      <c r="W703" s="149" t="n"/>
      <c r="X703" s="149" t="n"/>
      <c r="Y703" s="149" t="n"/>
      <c r="Z703" s="149" t="n"/>
    </row>
    <row r="704" ht="15.75" customHeight="1" s="236">
      <c r="A704" s="148" t="n"/>
      <c r="B704" s="148" t="n"/>
      <c r="C704" s="124" t="n"/>
      <c r="D704" s="148" t="n"/>
      <c r="E704" s="148" t="n"/>
      <c r="F704" s="148" t="n"/>
      <c r="G704" s="124" t="n"/>
      <c r="H704" s="148" t="n"/>
      <c r="I704" s="148" t="n"/>
      <c r="J704" s="148" t="n"/>
      <c r="K704" s="148" t="n"/>
      <c r="L704" s="148" t="n"/>
      <c r="M704" s="148" t="n"/>
      <c r="N704" s="148" t="n"/>
      <c r="O704" s="148" t="n"/>
      <c r="P704" s="148" t="n"/>
      <c r="Q704" s="148" t="n"/>
      <c r="R704" s="148" t="n"/>
      <c r="S704" s="148" t="n"/>
      <c r="T704" s="148" t="n"/>
      <c r="U704" s="149">
        <f>IF(AND('Master Stock'!D704&lt;&gt;"",'Master Stock'!H704="OCCUPIED",ISNUMBER('Master Stock'!J704),'Master Stock'!K704=""),SUMPRODUCT(--('Master Stock'!$D$2:$D$1000&lt;&gt;""),--('Master Stock'!$H$2:$H$1000="OCCUPIED"),--ISNUMBER('Master Stock'!$J$2:$J$1000),--('Master Stock'!$K$2:$K$1000=""),--('Master Stock'!$J$2:$J$1000&lt;'Master Stock'!J704))+COUNTIFS('Master Stock'!$J$2:J704,'Master Stock'!J704,'Master Stock'!$D$2:D704,"&lt;&gt;",'Master Stock'!$H$2:H704,"OCCUPIED",'Master Stock'!$K$2:K704,""),"")</f>
        <v/>
      </c>
      <c r="V704" s="149">
        <f>IF(AND('Master Stock'!D704&lt;&gt;"",'Master Stock'!H704="OCCUPIED",ISNUMBER('Master Stock'!L704),'Master Stock'!L704&lt;TODAY()-30),SUMPRODUCT(--('Master Stock'!$D$2:$D$1000&lt;&gt;""),--('Master Stock'!$H$2:$H$1000="OCCUPIED"),--ISNUMBER('Master Stock'!$L$2:$L$1000),--('Master Stock'!$L$2:$L$1000&lt;TODAY()-30),--('Master Stock'!$L$2:$L$1000&lt;'Master Stock'!L704))+COUNTIFS('Master Stock'!$L$2:L704,'Master Stock'!L704,'Master Stock'!$D$2:D704,"&lt;&gt;",'Master Stock'!$H$2:H704,"OCCUPIED"),"")</f>
        <v/>
      </c>
      <c r="W704" s="149" t="n"/>
      <c r="X704" s="149" t="n"/>
      <c r="Y704" s="149" t="n"/>
      <c r="Z704" s="149" t="n"/>
    </row>
    <row r="705" ht="15.75" customHeight="1" s="236">
      <c r="A705" s="148" t="n"/>
      <c r="B705" s="148" t="n"/>
      <c r="C705" s="124" t="n"/>
      <c r="D705" s="148" t="n"/>
      <c r="E705" s="148" t="n"/>
      <c r="F705" s="148" t="n"/>
      <c r="G705" s="124" t="n"/>
      <c r="H705" s="148" t="n"/>
      <c r="I705" s="148" t="n"/>
      <c r="J705" s="148" t="n"/>
      <c r="K705" s="148" t="n"/>
      <c r="L705" s="148" t="n"/>
      <c r="M705" s="148" t="n"/>
      <c r="N705" s="148" t="n"/>
      <c r="O705" s="148" t="n"/>
      <c r="P705" s="148" t="n"/>
      <c r="Q705" s="148" t="n"/>
      <c r="R705" s="148" t="n"/>
      <c r="S705" s="148" t="n"/>
      <c r="T705" s="148" t="n"/>
      <c r="U705" s="149">
        <f>IF(AND('Master Stock'!D705&lt;&gt;"",'Master Stock'!H705="OCCUPIED",ISNUMBER('Master Stock'!J705),'Master Stock'!K705=""),SUMPRODUCT(--('Master Stock'!$D$2:$D$1000&lt;&gt;""),--('Master Stock'!$H$2:$H$1000="OCCUPIED"),--ISNUMBER('Master Stock'!$J$2:$J$1000),--('Master Stock'!$K$2:$K$1000=""),--('Master Stock'!$J$2:$J$1000&lt;'Master Stock'!J705))+COUNTIFS('Master Stock'!$J$2:J705,'Master Stock'!J705,'Master Stock'!$D$2:D705,"&lt;&gt;",'Master Stock'!$H$2:H705,"OCCUPIED",'Master Stock'!$K$2:K705,""),"")</f>
        <v/>
      </c>
      <c r="V705" s="149">
        <f>IF(AND('Master Stock'!D705&lt;&gt;"",'Master Stock'!H705="OCCUPIED",ISNUMBER('Master Stock'!L705),'Master Stock'!L705&lt;TODAY()-30),SUMPRODUCT(--('Master Stock'!$D$2:$D$1000&lt;&gt;""),--('Master Stock'!$H$2:$H$1000="OCCUPIED"),--ISNUMBER('Master Stock'!$L$2:$L$1000),--('Master Stock'!$L$2:$L$1000&lt;TODAY()-30),--('Master Stock'!$L$2:$L$1000&lt;'Master Stock'!L705))+COUNTIFS('Master Stock'!$L$2:L705,'Master Stock'!L705,'Master Stock'!$D$2:D705,"&lt;&gt;",'Master Stock'!$H$2:H705,"OCCUPIED"),"")</f>
        <v/>
      </c>
      <c r="W705" s="149" t="n"/>
      <c r="X705" s="149" t="n"/>
      <c r="Y705" s="149" t="n"/>
      <c r="Z705" s="149" t="n"/>
    </row>
    <row r="706" ht="15.75" customHeight="1" s="236">
      <c r="A706" s="148" t="n"/>
      <c r="B706" s="148" t="n"/>
      <c r="C706" s="124" t="n"/>
      <c r="D706" s="148" t="n"/>
      <c r="E706" s="148" t="n"/>
      <c r="F706" s="148" t="n"/>
      <c r="G706" s="124" t="n"/>
      <c r="H706" s="148" t="n"/>
      <c r="I706" s="148" t="n"/>
      <c r="J706" s="148" t="n"/>
      <c r="K706" s="148" t="n"/>
      <c r="L706" s="148" t="n"/>
      <c r="M706" s="148" t="n"/>
      <c r="N706" s="148" t="n"/>
      <c r="O706" s="148" t="n"/>
      <c r="P706" s="148" t="n"/>
      <c r="Q706" s="148" t="n"/>
      <c r="R706" s="148" t="n"/>
      <c r="S706" s="148" t="n"/>
      <c r="T706" s="148" t="n"/>
      <c r="U706" s="149">
        <f>IF(AND('Master Stock'!D706&lt;&gt;"",'Master Stock'!H706="OCCUPIED",ISNUMBER('Master Stock'!J706),'Master Stock'!K706=""),SUMPRODUCT(--('Master Stock'!$D$2:$D$1000&lt;&gt;""),--('Master Stock'!$H$2:$H$1000="OCCUPIED"),--ISNUMBER('Master Stock'!$J$2:$J$1000),--('Master Stock'!$K$2:$K$1000=""),--('Master Stock'!$J$2:$J$1000&lt;'Master Stock'!J706))+COUNTIFS('Master Stock'!$J$2:J706,'Master Stock'!J706,'Master Stock'!$D$2:D706,"&lt;&gt;",'Master Stock'!$H$2:H706,"OCCUPIED",'Master Stock'!$K$2:K706,""),"")</f>
        <v/>
      </c>
      <c r="V706" s="149">
        <f>IF(AND('Master Stock'!D706&lt;&gt;"",'Master Stock'!H706="OCCUPIED",ISNUMBER('Master Stock'!L706),'Master Stock'!L706&lt;TODAY()-30),SUMPRODUCT(--('Master Stock'!$D$2:$D$1000&lt;&gt;""),--('Master Stock'!$H$2:$H$1000="OCCUPIED"),--ISNUMBER('Master Stock'!$L$2:$L$1000),--('Master Stock'!$L$2:$L$1000&lt;TODAY()-30),--('Master Stock'!$L$2:$L$1000&lt;'Master Stock'!L706))+COUNTIFS('Master Stock'!$L$2:L706,'Master Stock'!L706,'Master Stock'!$D$2:D706,"&lt;&gt;",'Master Stock'!$H$2:H706,"OCCUPIED"),"")</f>
        <v/>
      </c>
      <c r="W706" s="149" t="n"/>
      <c r="X706" s="149" t="n"/>
      <c r="Y706" s="149" t="n"/>
      <c r="Z706" s="149" t="n"/>
    </row>
    <row r="707" ht="15.75" customHeight="1" s="236">
      <c r="A707" s="148" t="n"/>
      <c r="B707" s="148" t="n"/>
      <c r="C707" s="124" t="n"/>
      <c r="D707" s="148" t="n"/>
      <c r="E707" s="148" t="n"/>
      <c r="F707" s="148" t="n"/>
      <c r="G707" s="124" t="n"/>
      <c r="H707" s="148" t="n"/>
      <c r="I707" s="148" t="n"/>
      <c r="J707" s="148" t="n"/>
      <c r="K707" s="148" t="n"/>
      <c r="L707" s="148" t="n"/>
      <c r="M707" s="148" t="n"/>
      <c r="N707" s="148" t="n"/>
      <c r="O707" s="148" t="n"/>
      <c r="P707" s="148" t="n"/>
      <c r="Q707" s="148" t="n"/>
      <c r="R707" s="148" t="n"/>
      <c r="S707" s="148" t="n"/>
      <c r="T707" s="148" t="n"/>
      <c r="U707" s="149">
        <f>IF(AND('Master Stock'!D707&lt;&gt;"",'Master Stock'!H707="OCCUPIED",ISNUMBER('Master Stock'!J707),'Master Stock'!K707=""),SUMPRODUCT(--('Master Stock'!$D$2:$D$1000&lt;&gt;""),--('Master Stock'!$H$2:$H$1000="OCCUPIED"),--ISNUMBER('Master Stock'!$J$2:$J$1000),--('Master Stock'!$K$2:$K$1000=""),--('Master Stock'!$J$2:$J$1000&lt;'Master Stock'!J707))+COUNTIFS('Master Stock'!$J$2:J707,'Master Stock'!J707,'Master Stock'!$D$2:D707,"&lt;&gt;",'Master Stock'!$H$2:H707,"OCCUPIED",'Master Stock'!$K$2:K707,""),"")</f>
        <v/>
      </c>
      <c r="V707" s="149">
        <f>IF(AND('Master Stock'!D707&lt;&gt;"",'Master Stock'!H707="OCCUPIED",ISNUMBER('Master Stock'!L707),'Master Stock'!L707&lt;TODAY()-30),SUMPRODUCT(--('Master Stock'!$D$2:$D$1000&lt;&gt;""),--('Master Stock'!$H$2:$H$1000="OCCUPIED"),--ISNUMBER('Master Stock'!$L$2:$L$1000),--('Master Stock'!$L$2:$L$1000&lt;TODAY()-30),--('Master Stock'!$L$2:$L$1000&lt;'Master Stock'!L707))+COUNTIFS('Master Stock'!$L$2:L707,'Master Stock'!L707,'Master Stock'!$D$2:D707,"&lt;&gt;",'Master Stock'!$H$2:H707,"OCCUPIED"),"")</f>
        <v/>
      </c>
      <c r="W707" s="149" t="n"/>
      <c r="X707" s="149" t="n"/>
      <c r="Y707" s="149" t="n"/>
      <c r="Z707" s="149" t="n"/>
    </row>
    <row r="708" ht="15.75" customHeight="1" s="236">
      <c r="A708" s="148" t="n"/>
      <c r="B708" s="148" t="n"/>
      <c r="C708" s="124" t="n"/>
      <c r="D708" s="148" t="n"/>
      <c r="E708" s="148" t="n"/>
      <c r="F708" s="148" t="n"/>
      <c r="G708" s="124" t="n"/>
      <c r="H708" s="148" t="n"/>
      <c r="I708" s="148" t="n"/>
      <c r="J708" s="148" t="n"/>
      <c r="K708" s="148" t="n"/>
      <c r="L708" s="148" t="n"/>
      <c r="M708" s="148" t="n"/>
      <c r="N708" s="148" t="n"/>
      <c r="O708" s="148" t="n"/>
      <c r="P708" s="148" t="n"/>
      <c r="Q708" s="148" t="n"/>
      <c r="R708" s="148" t="n"/>
      <c r="S708" s="148" t="n"/>
      <c r="T708" s="148" t="n"/>
      <c r="U708" s="149">
        <f>IF(AND('Master Stock'!D708&lt;&gt;"",'Master Stock'!H708="OCCUPIED",ISNUMBER('Master Stock'!J708),'Master Stock'!K708=""),SUMPRODUCT(--('Master Stock'!$D$2:$D$1000&lt;&gt;""),--('Master Stock'!$H$2:$H$1000="OCCUPIED"),--ISNUMBER('Master Stock'!$J$2:$J$1000),--('Master Stock'!$K$2:$K$1000=""),--('Master Stock'!$J$2:$J$1000&lt;'Master Stock'!J708))+COUNTIFS('Master Stock'!$J$2:J708,'Master Stock'!J708,'Master Stock'!$D$2:D708,"&lt;&gt;",'Master Stock'!$H$2:H708,"OCCUPIED",'Master Stock'!$K$2:K708,""),"")</f>
        <v/>
      </c>
      <c r="V708" s="149">
        <f>IF(AND('Master Stock'!D708&lt;&gt;"",'Master Stock'!H708="OCCUPIED",ISNUMBER('Master Stock'!L708),'Master Stock'!L708&lt;TODAY()-30),SUMPRODUCT(--('Master Stock'!$D$2:$D$1000&lt;&gt;""),--('Master Stock'!$H$2:$H$1000="OCCUPIED"),--ISNUMBER('Master Stock'!$L$2:$L$1000),--('Master Stock'!$L$2:$L$1000&lt;TODAY()-30),--('Master Stock'!$L$2:$L$1000&lt;'Master Stock'!L708))+COUNTIFS('Master Stock'!$L$2:L708,'Master Stock'!L708,'Master Stock'!$D$2:D708,"&lt;&gt;",'Master Stock'!$H$2:H708,"OCCUPIED"),"")</f>
        <v/>
      </c>
      <c r="W708" s="149" t="n"/>
      <c r="X708" s="149" t="n"/>
      <c r="Y708" s="149" t="n"/>
      <c r="Z708" s="149" t="n"/>
    </row>
    <row r="709" ht="15.75" customHeight="1" s="236">
      <c r="A709" s="148" t="n"/>
      <c r="B709" s="148" t="n"/>
      <c r="C709" s="124" t="n"/>
      <c r="D709" s="148" t="n"/>
      <c r="E709" s="148" t="n"/>
      <c r="F709" s="148" t="n"/>
      <c r="G709" s="124" t="n"/>
      <c r="H709" s="148" t="n"/>
      <c r="I709" s="148" t="n"/>
      <c r="J709" s="148" t="n"/>
      <c r="K709" s="148" t="n"/>
      <c r="L709" s="148" t="n"/>
      <c r="M709" s="148" t="n"/>
      <c r="N709" s="148" t="n"/>
      <c r="O709" s="148" t="n"/>
      <c r="P709" s="148" t="n"/>
      <c r="Q709" s="148" t="n"/>
      <c r="R709" s="148" t="n"/>
      <c r="S709" s="148" t="n"/>
      <c r="T709" s="148" t="n"/>
      <c r="U709" s="149">
        <f>IF(AND('Master Stock'!D709&lt;&gt;"",'Master Stock'!H709="OCCUPIED",ISNUMBER('Master Stock'!J709),'Master Stock'!K709=""),SUMPRODUCT(--('Master Stock'!$D$2:$D$1000&lt;&gt;""),--('Master Stock'!$H$2:$H$1000="OCCUPIED"),--ISNUMBER('Master Stock'!$J$2:$J$1000),--('Master Stock'!$K$2:$K$1000=""),--('Master Stock'!$J$2:$J$1000&lt;'Master Stock'!J709))+COUNTIFS('Master Stock'!$J$2:J709,'Master Stock'!J709,'Master Stock'!$D$2:D709,"&lt;&gt;",'Master Stock'!$H$2:H709,"OCCUPIED",'Master Stock'!$K$2:K709,""),"")</f>
        <v/>
      </c>
      <c r="V709" s="149">
        <f>IF(AND('Master Stock'!D709&lt;&gt;"",'Master Stock'!H709="OCCUPIED",ISNUMBER('Master Stock'!L709),'Master Stock'!L709&lt;TODAY()-30),SUMPRODUCT(--('Master Stock'!$D$2:$D$1000&lt;&gt;""),--('Master Stock'!$H$2:$H$1000="OCCUPIED"),--ISNUMBER('Master Stock'!$L$2:$L$1000),--('Master Stock'!$L$2:$L$1000&lt;TODAY()-30),--('Master Stock'!$L$2:$L$1000&lt;'Master Stock'!L709))+COUNTIFS('Master Stock'!$L$2:L709,'Master Stock'!L709,'Master Stock'!$D$2:D709,"&lt;&gt;",'Master Stock'!$H$2:H709,"OCCUPIED"),"")</f>
        <v/>
      </c>
      <c r="W709" s="149" t="n"/>
      <c r="X709" s="149" t="n"/>
      <c r="Y709" s="149" t="n"/>
      <c r="Z709" s="149" t="n"/>
    </row>
    <row r="710" ht="15.75" customHeight="1" s="236">
      <c r="A710" s="148" t="n"/>
      <c r="B710" s="148" t="n"/>
      <c r="C710" s="124" t="n"/>
      <c r="D710" s="148" t="n"/>
      <c r="E710" s="148" t="n"/>
      <c r="F710" s="148" t="n"/>
      <c r="G710" s="124" t="n"/>
      <c r="H710" s="148" t="n"/>
      <c r="I710" s="148" t="n"/>
      <c r="J710" s="148" t="n"/>
      <c r="K710" s="148" t="n"/>
      <c r="L710" s="148" t="n"/>
      <c r="M710" s="148" t="n"/>
      <c r="N710" s="148" t="n"/>
      <c r="O710" s="148" t="n"/>
      <c r="P710" s="148" t="n"/>
      <c r="Q710" s="148" t="n"/>
      <c r="R710" s="148" t="n"/>
      <c r="S710" s="148" t="n"/>
      <c r="T710" s="148" t="n"/>
      <c r="U710" s="149">
        <f>IF(AND('Master Stock'!D710&lt;&gt;"",'Master Stock'!H710="OCCUPIED",ISNUMBER('Master Stock'!J710),'Master Stock'!K710=""),SUMPRODUCT(--('Master Stock'!$D$2:$D$1000&lt;&gt;""),--('Master Stock'!$H$2:$H$1000="OCCUPIED"),--ISNUMBER('Master Stock'!$J$2:$J$1000),--('Master Stock'!$K$2:$K$1000=""),--('Master Stock'!$J$2:$J$1000&lt;'Master Stock'!J710))+COUNTIFS('Master Stock'!$J$2:J710,'Master Stock'!J710,'Master Stock'!$D$2:D710,"&lt;&gt;",'Master Stock'!$H$2:H710,"OCCUPIED",'Master Stock'!$K$2:K710,""),"")</f>
        <v/>
      </c>
      <c r="V710" s="149">
        <f>IF(AND('Master Stock'!D710&lt;&gt;"",'Master Stock'!H710="OCCUPIED",ISNUMBER('Master Stock'!L710),'Master Stock'!L710&lt;TODAY()-30),SUMPRODUCT(--('Master Stock'!$D$2:$D$1000&lt;&gt;""),--('Master Stock'!$H$2:$H$1000="OCCUPIED"),--ISNUMBER('Master Stock'!$L$2:$L$1000),--('Master Stock'!$L$2:$L$1000&lt;TODAY()-30),--('Master Stock'!$L$2:$L$1000&lt;'Master Stock'!L710))+COUNTIFS('Master Stock'!$L$2:L710,'Master Stock'!L710,'Master Stock'!$D$2:D710,"&lt;&gt;",'Master Stock'!$H$2:H710,"OCCUPIED"),"")</f>
        <v/>
      </c>
      <c r="W710" s="149" t="n"/>
      <c r="X710" s="149" t="n"/>
      <c r="Y710" s="149" t="n"/>
      <c r="Z710" s="149" t="n"/>
    </row>
    <row r="711" ht="15.75" customHeight="1" s="236">
      <c r="A711" s="148" t="n"/>
      <c r="B711" s="148" t="n"/>
      <c r="C711" s="124" t="n"/>
      <c r="D711" s="148" t="n"/>
      <c r="E711" s="148" t="n"/>
      <c r="F711" s="148" t="n"/>
      <c r="G711" s="124" t="n"/>
      <c r="H711" s="148" t="n"/>
      <c r="I711" s="148" t="n"/>
      <c r="J711" s="148" t="n"/>
      <c r="K711" s="148" t="n"/>
      <c r="L711" s="148" t="n"/>
      <c r="M711" s="148" t="n"/>
      <c r="N711" s="148" t="n"/>
      <c r="O711" s="148" t="n"/>
      <c r="P711" s="148" t="n"/>
      <c r="Q711" s="148" t="n"/>
      <c r="R711" s="148" t="n"/>
      <c r="S711" s="148" t="n"/>
      <c r="T711" s="148" t="n"/>
      <c r="U711" s="149">
        <f>IF(AND('Master Stock'!D711&lt;&gt;"",'Master Stock'!H711="OCCUPIED",ISNUMBER('Master Stock'!J711),'Master Stock'!K711=""),SUMPRODUCT(--('Master Stock'!$D$2:$D$1000&lt;&gt;""),--('Master Stock'!$H$2:$H$1000="OCCUPIED"),--ISNUMBER('Master Stock'!$J$2:$J$1000),--('Master Stock'!$K$2:$K$1000=""),--('Master Stock'!$J$2:$J$1000&lt;'Master Stock'!J711))+COUNTIFS('Master Stock'!$J$2:J711,'Master Stock'!J711,'Master Stock'!$D$2:D711,"&lt;&gt;",'Master Stock'!$H$2:H711,"OCCUPIED",'Master Stock'!$K$2:K711,""),"")</f>
        <v/>
      </c>
      <c r="V711" s="149">
        <f>IF(AND('Master Stock'!D711&lt;&gt;"",'Master Stock'!H711="OCCUPIED",ISNUMBER('Master Stock'!L711),'Master Stock'!L711&lt;TODAY()-30),SUMPRODUCT(--('Master Stock'!$D$2:$D$1000&lt;&gt;""),--('Master Stock'!$H$2:$H$1000="OCCUPIED"),--ISNUMBER('Master Stock'!$L$2:$L$1000),--('Master Stock'!$L$2:$L$1000&lt;TODAY()-30),--('Master Stock'!$L$2:$L$1000&lt;'Master Stock'!L711))+COUNTIFS('Master Stock'!$L$2:L711,'Master Stock'!L711,'Master Stock'!$D$2:D711,"&lt;&gt;",'Master Stock'!$H$2:H711,"OCCUPIED"),"")</f>
        <v/>
      </c>
      <c r="W711" s="149" t="n"/>
      <c r="X711" s="149" t="n"/>
      <c r="Y711" s="149" t="n"/>
      <c r="Z711" s="149" t="n"/>
    </row>
    <row r="712" ht="15.75" customHeight="1" s="236">
      <c r="A712" s="148" t="n"/>
      <c r="B712" s="148" t="n"/>
      <c r="C712" s="124" t="n"/>
      <c r="D712" s="148" t="n"/>
      <c r="E712" s="148" t="n"/>
      <c r="F712" s="148" t="n"/>
      <c r="G712" s="124" t="n"/>
      <c r="H712" s="148" t="n"/>
      <c r="I712" s="148" t="n"/>
      <c r="J712" s="148" t="n"/>
      <c r="K712" s="148" t="n"/>
      <c r="L712" s="148" t="n"/>
      <c r="M712" s="148" t="n"/>
      <c r="N712" s="148" t="n"/>
      <c r="O712" s="148" t="n"/>
      <c r="P712" s="148" t="n"/>
      <c r="Q712" s="148" t="n"/>
      <c r="R712" s="148" t="n"/>
      <c r="S712" s="148" t="n"/>
      <c r="T712" s="148" t="n"/>
      <c r="U712" s="149">
        <f>IF(AND('Master Stock'!D712&lt;&gt;"",'Master Stock'!H712="OCCUPIED",ISNUMBER('Master Stock'!J712),'Master Stock'!K712=""),SUMPRODUCT(--('Master Stock'!$D$2:$D$1000&lt;&gt;""),--('Master Stock'!$H$2:$H$1000="OCCUPIED"),--ISNUMBER('Master Stock'!$J$2:$J$1000),--('Master Stock'!$K$2:$K$1000=""),--('Master Stock'!$J$2:$J$1000&lt;'Master Stock'!J712))+COUNTIFS('Master Stock'!$J$2:J712,'Master Stock'!J712,'Master Stock'!$D$2:D712,"&lt;&gt;",'Master Stock'!$H$2:H712,"OCCUPIED",'Master Stock'!$K$2:K712,""),"")</f>
        <v/>
      </c>
      <c r="V712" s="149">
        <f>IF(AND('Master Stock'!D712&lt;&gt;"",'Master Stock'!H712="OCCUPIED",ISNUMBER('Master Stock'!L712),'Master Stock'!L712&lt;TODAY()-30),SUMPRODUCT(--('Master Stock'!$D$2:$D$1000&lt;&gt;""),--('Master Stock'!$H$2:$H$1000="OCCUPIED"),--ISNUMBER('Master Stock'!$L$2:$L$1000),--('Master Stock'!$L$2:$L$1000&lt;TODAY()-30),--('Master Stock'!$L$2:$L$1000&lt;'Master Stock'!L712))+COUNTIFS('Master Stock'!$L$2:L712,'Master Stock'!L712,'Master Stock'!$D$2:D712,"&lt;&gt;",'Master Stock'!$H$2:H712,"OCCUPIED"),"")</f>
        <v/>
      </c>
      <c r="W712" s="149" t="n"/>
      <c r="X712" s="149" t="n"/>
      <c r="Y712" s="149" t="n"/>
      <c r="Z712" s="149" t="n"/>
    </row>
    <row r="713" ht="15.75" customHeight="1" s="236">
      <c r="A713" s="148" t="n"/>
      <c r="B713" s="148" t="n"/>
      <c r="C713" s="124" t="n"/>
      <c r="D713" s="148" t="n"/>
      <c r="E713" s="148" t="n"/>
      <c r="F713" s="148" t="n"/>
      <c r="G713" s="124" t="n"/>
      <c r="H713" s="148" t="n"/>
      <c r="I713" s="148" t="n"/>
      <c r="J713" s="148" t="n"/>
      <c r="K713" s="148" t="n"/>
      <c r="L713" s="148" t="n"/>
      <c r="M713" s="148" t="n"/>
      <c r="N713" s="148" t="n"/>
      <c r="O713" s="148" t="n"/>
      <c r="P713" s="148" t="n"/>
      <c r="Q713" s="148" t="n"/>
      <c r="R713" s="148" t="n"/>
      <c r="S713" s="148" t="n"/>
      <c r="T713" s="148" t="n"/>
      <c r="U713" s="149">
        <f>IF(AND('Master Stock'!D713&lt;&gt;"",'Master Stock'!H713="OCCUPIED",ISNUMBER('Master Stock'!J713),'Master Stock'!K713=""),SUMPRODUCT(--('Master Stock'!$D$2:$D$1000&lt;&gt;""),--('Master Stock'!$H$2:$H$1000="OCCUPIED"),--ISNUMBER('Master Stock'!$J$2:$J$1000),--('Master Stock'!$K$2:$K$1000=""),--('Master Stock'!$J$2:$J$1000&lt;'Master Stock'!J713))+COUNTIFS('Master Stock'!$J$2:J713,'Master Stock'!J713,'Master Stock'!$D$2:D713,"&lt;&gt;",'Master Stock'!$H$2:H713,"OCCUPIED",'Master Stock'!$K$2:K713,""),"")</f>
        <v/>
      </c>
      <c r="V713" s="149">
        <f>IF(AND('Master Stock'!D713&lt;&gt;"",'Master Stock'!H713="OCCUPIED",ISNUMBER('Master Stock'!L713),'Master Stock'!L713&lt;TODAY()-30),SUMPRODUCT(--('Master Stock'!$D$2:$D$1000&lt;&gt;""),--('Master Stock'!$H$2:$H$1000="OCCUPIED"),--ISNUMBER('Master Stock'!$L$2:$L$1000),--('Master Stock'!$L$2:$L$1000&lt;TODAY()-30),--('Master Stock'!$L$2:$L$1000&lt;'Master Stock'!L713))+COUNTIFS('Master Stock'!$L$2:L713,'Master Stock'!L713,'Master Stock'!$D$2:D713,"&lt;&gt;",'Master Stock'!$H$2:H713,"OCCUPIED"),"")</f>
        <v/>
      </c>
      <c r="W713" s="149" t="n"/>
      <c r="X713" s="149" t="n"/>
      <c r="Y713" s="149" t="n"/>
      <c r="Z713" s="149" t="n"/>
    </row>
    <row r="714" ht="15.75" customHeight="1" s="236">
      <c r="A714" s="148" t="n"/>
      <c r="B714" s="148" t="n"/>
      <c r="C714" s="124" t="n"/>
      <c r="D714" s="148" t="n"/>
      <c r="E714" s="148" t="n"/>
      <c r="F714" s="148" t="n"/>
      <c r="G714" s="124" t="n"/>
      <c r="H714" s="148" t="n"/>
      <c r="I714" s="148" t="n"/>
      <c r="J714" s="148" t="n"/>
      <c r="K714" s="148" t="n"/>
      <c r="L714" s="148" t="n"/>
      <c r="M714" s="148" t="n"/>
      <c r="N714" s="148" t="n"/>
      <c r="O714" s="148" t="n"/>
      <c r="P714" s="148" t="n"/>
      <c r="Q714" s="148" t="n"/>
      <c r="R714" s="148" t="n"/>
      <c r="S714" s="148" t="n"/>
      <c r="T714" s="148" t="n"/>
      <c r="U714" s="149">
        <f>IF(AND('Master Stock'!D714&lt;&gt;"",'Master Stock'!H714="OCCUPIED",ISNUMBER('Master Stock'!J714),'Master Stock'!K714=""),SUMPRODUCT(--('Master Stock'!$D$2:$D$1000&lt;&gt;""),--('Master Stock'!$H$2:$H$1000="OCCUPIED"),--ISNUMBER('Master Stock'!$J$2:$J$1000),--('Master Stock'!$K$2:$K$1000=""),--('Master Stock'!$J$2:$J$1000&lt;'Master Stock'!J714))+COUNTIFS('Master Stock'!$J$2:J714,'Master Stock'!J714,'Master Stock'!$D$2:D714,"&lt;&gt;",'Master Stock'!$H$2:H714,"OCCUPIED",'Master Stock'!$K$2:K714,""),"")</f>
        <v/>
      </c>
      <c r="V714" s="149">
        <f>IF(AND('Master Stock'!D714&lt;&gt;"",'Master Stock'!H714="OCCUPIED",ISNUMBER('Master Stock'!L714),'Master Stock'!L714&lt;TODAY()-30),SUMPRODUCT(--('Master Stock'!$D$2:$D$1000&lt;&gt;""),--('Master Stock'!$H$2:$H$1000="OCCUPIED"),--ISNUMBER('Master Stock'!$L$2:$L$1000),--('Master Stock'!$L$2:$L$1000&lt;TODAY()-30),--('Master Stock'!$L$2:$L$1000&lt;'Master Stock'!L714))+COUNTIFS('Master Stock'!$L$2:L714,'Master Stock'!L714,'Master Stock'!$D$2:D714,"&lt;&gt;",'Master Stock'!$H$2:H714,"OCCUPIED"),"")</f>
        <v/>
      </c>
      <c r="W714" s="149" t="n"/>
      <c r="X714" s="149" t="n"/>
      <c r="Y714" s="149" t="n"/>
      <c r="Z714" s="149" t="n"/>
    </row>
    <row r="715" ht="15.75" customHeight="1" s="236">
      <c r="A715" s="148" t="n"/>
      <c r="B715" s="148" t="n"/>
      <c r="C715" s="124" t="n"/>
      <c r="D715" s="148" t="n"/>
      <c r="E715" s="148" t="n"/>
      <c r="F715" s="148" t="n"/>
      <c r="G715" s="124" t="n"/>
      <c r="H715" s="148" t="n"/>
      <c r="I715" s="148" t="n"/>
      <c r="J715" s="148" t="n"/>
      <c r="K715" s="148" t="n"/>
      <c r="L715" s="148" t="n"/>
      <c r="M715" s="148" t="n"/>
      <c r="N715" s="148" t="n"/>
      <c r="O715" s="148" t="n"/>
      <c r="P715" s="148" t="n"/>
      <c r="Q715" s="148" t="n"/>
      <c r="R715" s="148" t="n"/>
      <c r="S715" s="148" t="n"/>
      <c r="T715" s="148" t="n"/>
      <c r="U715" s="149">
        <f>IF(AND('Master Stock'!D715&lt;&gt;"",'Master Stock'!H715="OCCUPIED",ISNUMBER('Master Stock'!J715),'Master Stock'!K715=""),SUMPRODUCT(--('Master Stock'!$D$2:$D$1000&lt;&gt;""),--('Master Stock'!$H$2:$H$1000="OCCUPIED"),--ISNUMBER('Master Stock'!$J$2:$J$1000),--('Master Stock'!$K$2:$K$1000=""),--('Master Stock'!$J$2:$J$1000&lt;'Master Stock'!J715))+COUNTIFS('Master Stock'!$J$2:J715,'Master Stock'!J715,'Master Stock'!$D$2:D715,"&lt;&gt;",'Master Stock'!$H$2:H715,"OCCUPIED",'Master Stock'!$K$2:K715,""),"")</f>
        <v/>
      </c>
      <c r="V715" s="149">
        <f>IF(AND('Master Stock'!D715&lt;&gt;"",'Master Stock'!H715="OCCUPIED",ISNUMBER('Master Stock'!L715),'Master Stock'!L715&lt;TODAY()-30),SUMPRODUCT(--('Master Stock'!$D$2:$D$1000&lt;&gt;""),--('Master Stock'!$H$2:$H$1000="OCCUPIED"),--ISNUMBER('Master Stock'!$L$2:$L$1000),--('Master Stock'!$L$2:$L$1000&lt;TODAY()-30),--('Master Stock'!$L$2:$L$1000&lt;'Master Stock'!L715))+COUNTIFS('Master Stock'!$L$2:L715,'Master Stock'!L715,'Master Stock'!$D$2:D715,"&lt;&gt;",'Master Stock'!$H$2:H715,"OCCUPIED"),"")</f>
        <v/>
      </c>
      <c r="W715" s="149" t="n"/>
      <c r="X715" s="149" t="n"/>
      <c r="Y715" s="149" t="n"/>
      <c r="Z715" s="149" t="n"/>
    </row>
    <row r="716" ht="15.75" customHeight="1" s="236">
      <c r="A716" s="148" t="n"/>
      <c r="B716" s="148" t="n"/>
      <c r="C716" s="124" t="n"/>
      <c r="D716" s="148" t="n"/>
      <c r="E716" s="148" t="n"/>
      <c r="F716" s="148" t="n"/>
      <c r="G716" s="124" t="n"/>
      <c r="H716" s="148" t="n"/>
      <c r="I716" s="148" t="n"/>
      <c r="J716" s="148" t="n"/>
      <c r="K716" s="148" t="n"/>
      <c r="L716" s="148" t="n"/>
      <c r="M716" s="148" t="n"/>
      <c r="N716" s="148" t="n"/>
      <c r="O716" s="148" t="n"/>
      <c r="P716" s="148" t="n"/>
      <c r="Q716" s="148" t="n"/>
      <c r="R716" s="148" t="n"/>
      <c r="S716" s="148" t="n"/>
      <c r="T716" s="148" t="n"/>
      <c r="U716" s="149">
        <f>IF(AND('Master Stock'!D716&lt;&gt;"",'Master Stock'!H716="OCCUPIED",ISNUMBER('Master Stock'!J716),'Master Stock'!K716=""),SUMPRODUCT(--('Master Stock'!$D$2:$D$1000&lt;&gt;""),--('Master Stock'!$H$2:$H$1000="OCCUPIED"),--ISNUMBER('Master Stock'!$J$2:$J$1000),--('Master Stock'!$K$2:$K$1000=""),--('Master Stock'!$J$2:$J$1000&lt;'Master Stock'!J716))+COUNTIFS('Master Stock'!$J$2:J716,'Master Stock'!J716,'Master Stock'!$D$2:D716,"&lt;&gt;",'Master Stock'!$H$2:H716,"OCCUPIED",'Master Stock'!$K$2:K716,""),"")</f>
        <v/>
      </c>
      <c r="V716" s="149">
        <f>IF(AND('Master Stock'!D716&lt;&gt;"",'Master Stock'!H716="OCCUPIED",ISNUMBER('Master Stock'!L716),'Master Stock'!L716&lt;TODAY()-30),SUMPRODUCT(--('Master Stock'!$D$2:$D$1000&lt;&gt;""),--('Master Stock'!$H$2:$H$1000="OCCUPIED"),--ISNUMBER('Master Stock'!$L$2:$L$1000),--('Master Stock'!$L$2:$L$1000&lt;TODAY()-30),--('Master Stock'!$L$2:$L$1000&lt;'Master Stock'!L716))+COUNTIFS('Master Stock'!$L$2:L716,'Master Stock'!L716,'Master Stock'!$D$2:D716,"&lt;&gt;",'Master Stock'!$H$2:H716,"OCCUPIED"),"")</f>
        <v/>
      </c>
      <c r="W716" s="149" t="n"/>
      <c r="X716" s="149" t="n"/>
      <c r="Y716" s="149" t="n"/>
      <c r="Z716" s="149" t="n"/>
    </row>
    <row r="717" ht="15.75" customHeight="1" s="236">
      <c r="A717" s="148" t="n"/>
      <c r="B717" s="148" t="n"/>
      <c r="C717" s="124" t="n"/>
      <c r="D717" s="148" t="n"/>
      <c r="E717" s="148" t="n"/>
      <c r="F717" s="148" t="n"/>
      <c r="G717" s="124" t="n"/>
      <c r="H717" s="148" t="n"/>
      <c r="I717" s="148" t="n"/>
      <c r="J717" s="148" t="n"/>
      <c r="K717" s="148" t="n"/>
      <c r="L717" s="148" t="n"/>
      <c r="M717" s="148" t="n"/>
      <c r="N717" s="148" t="n"/>
      <c r="O717" s="148" t="n"/>
      <c r="P717" s="148" t="n"/>
      <c r="Q717" s="148" t="n"/>
      <c r="R717" s="148" t="n"/>
      <c r="S717" s="148" t="n"/>
      <c r="T717" s="148" t="n"/>
      <c r="U717" s="149">
        <f>IF(AND('Master Stock'!D717&lt;&gt;"",'Master Stock'!H717="OCCUPIED",ISNUMBER('Master Stock'!J717),'Master Stock'!K717=""),SUMPRODUCT(--('Master Stock'!$D$2:$D$1000&lt;&gt;""),--('Master Stock'!$H$2:$H$1000="OCCUPIED"),--ISNUMBER('Master Stock'!$J$2:$J$1000),--('Master Stock'!$K$2:$K$1000=""),--('Master Stock'!$J$2:$J$1000&lt;'Master Stock'!J717))+COUNTIFS('Master Stock'!$J$2:J717,'Master Stock'!J717,'Master Stock'!$D$2:D717,"&lt;&gt;",'Master Stock'!$H$2:H717,"OCCUPIED",'Master Stock'!$K$2:K717,""),"")</f>
        <v/>
      </c>
      <c r="V717" s="149">
        <f>IF(AND('Master Stock'!D717&lt;&gt;"",'Master Stock'!H717="OCCUPIED",ISNUMBER('Master Stock'!L717),'Master Stock'!L717&lt;TODAY()-30),SUMPRODUCT(--('Master Stock'!$D$2:$D$1000&lt;&gt;""),--('Master Stock'!$H$2:$H$1000="OCCUPIED"),--ISNUMBER('Master Stock'!$L$2:$L$1000),--('Master Stock'!$L$2:$L$1000&lt;TODAY()-30),--('Master Stock'!$L$2:$L$1000&lt;'Master Stock'!L717))+COUNTIFS('Master Stock'!$L$2:L717,'Master Stock'!L717,'Master Stock'!$D$2:D717,"&lt;&gt;",'Master Stock'!$H$2:H717,"OCCUPIED"),"")</f>
        <v/>
      </c>
      <c r="W717" s="149" t="n"/>
      <c r="X717" s="149" t="n"/>
      <c r="Y717" s="149" t="n"/>
      <c r="Z717" s="149" t="n"/>
    </row>
    <row r="718" ht="15.75" customHeight="1" s="236">
      <c r="A718" s="148" t="n"/>
      <c r="B718" s="148" t="n"/>
      <c r="C718" s="124" t="n"/>
      <c r="D718" s="148" t="n"/>
      <c r="E718" s="148" t="n"/>
      <c r="F718" s="148" t="n"/>
      <c r="G718" s="124" t="n"/>
      <c r="H718" s="148" t="n"/>
      <c r="I718" s="148" t="n"/>
      <c r="J718" s="148" t="n"/>
      <c r="K718" s="148" t="n"/>
      <c r="L718" s="148" t="n"/>
      <c r="M718" s="148" t="n"/>
      <c r="N718" s="148" t="n"/>
      <c r="O718" s="148" t="n"/>
      <c r="P718" s="148" t="n"/>
      <c r="Q718" s="148" t="n"/>
      <c r="R718" s="148" t="n"/>
      <c r="S718" s="148" t="n"/>
      <c r="T718" s="148" t="n"/>
      <c r="U718" s="149">
        <f>IF(AND('Master Stock'!D718&lt;&gt;"",'Master Stock'!H718="OCCUPIED",ISNUMBER('Master Stock'!J718),'Master Stock'!K718=""),SUMPRODUCT(--('Master Stock'!$D$2:$D$1000&lt;&gt;""),--('Master Stock'!$H$2:$H$1000="OCCUPIED"),--ISNUMBER('Master Stock'!$J$2:$J$1000),--('Master Stock'!$K$2:$K$1000=""),--('Master Stock'!$J$2:$J$1000&lt;'Master Stock'!J718))+COUNTIFS('Master Stock'!$J$2:J718,'Master Stock'!J718,'Master Stock'!$D$2:D718,"&lt;&gt;",'Master Stock'!$H$2:H718,"OCCUPIED",'Master Stock'!$K$2:K718,""),"")</f>
        <v/>
      </c>
      <c r="V718" s="149">
        <f>IF(AND('Master Stock'!D718&lt;&gt;"",'Master Stock'!H718="OCCUPIED",ISNUMBER('Master Stock'!L718),'Master Stock'!L718&lt;TODAY()-30),SUMPRODUCT(--('Master Stock'!$D$2:$D$1000&lt;&gt;""),--('Master Stock'!$H$2:$H$1000="OCCUPIED"),--ISNUMBER('Master Stock'!$L$2:$L$1000),--('Master Stock'!$L$2:$L$1000&lt;TODAY()-30),--('Master Stock'!$L$2:$L$1000&lt;'Master Stock'!L718))+COUNTIFS('Master Stock'!$L$2:L718,'Master Stock'!L718,'Master Stock'!$D$2:D718,"&lt;&gt;",'Master Stock'!$H$2:H718,"OCCUPIED"),"")</f>
        <v/>
      </c>
      <c r="W718" s="149" t="n"/>
      <c r="X718" s="149" t="n"/>
      <c r="Y718" s="149" t="n"/>
      <c r="Z718" s="149" t="n"/>
    </row>
    <row r="719" ht="15.75" customHeight="1" s="236">
      <c r="A719" s="148" t="n"/>
      <c r="B719" s="148" t="n"/>
      <c r="C719" s="124" t="n"/>
      <c r="D719" s="148" t="n"/>
      <c r="E719" s="148" t="n"/>
      <c r="F719" s="148" t="n"/>
      <c r="G719" s="124" t="n"/>
      <c r="H719" s="148" t="n"/>
      <c r="I719" s="148" t="n"/>
      <c r="J719" s="148" t="n"/>
      <c r="K719" s="148" t="n"/>
      <c r="L719" s="148" t="n"/>
      <c r="M719" s="148" t="n"/>
      <c r="N719" s="148" t="n"/>
      <c r="O719" s="148" t="n"/>
      <c r="P719" s="148" t="n"/>
      <c r="Q719" s="148" t="n"/>
      <c r="R719" s="148" t="n"/>
      <c r="S719" s="148" t="n"/>
      <c r="T719" s="148" t="n"/>
      <c r="U719" s="149">
        <f>IF(AND('Master Stock'!D719&lt;&gt;"",'Master Stock'!H719="OCCUPIED",ISNUMBER('Master Stock'!J719),'Master Stock'!K719=""),SUMPRODUCT(--('Master Stock'!$D$2:$D$1000&lt;&gt;""),--('Master Stock'!$H$2:$H$1000="OCCUPIED"),--ISNUMBER('Master Stock'!$J$2:$J$1000),--('Master Stock'!$K$2:$K$1000=""),--('Master Stock'!$J$2:$J$1000&lt;'Master Stock'!J719))+COUNTIFS('Master Stock'!$J$2:J719,'Master Stock'!J719,'Master Stock'!$D$2:D719,"&lt;&gt;",'Master Stock'!$H$2:H719,"OCCUPIED",'Master Stock'!$K$2:K719,""),"")</f>
        <v/>
      </c>
      <c r="V719" s="149">
        <f>IF(AND('Master Stock'!D719&lt;&gt;"",'Master Stock'!H719="OCCUPIED",ISNUMBER('Master Stock'!L719),'Master Stock'!L719&lt;TODAY()-30),SUMPRODUCT(--('Master Stock'!$D$2:$D$1000&lt;&gt;""),--('Master Stock'!$H$2:$H$1000="OCCUPIED"),--ISNUMBER('Master Stock'!$L$2:$L$1000),--('Master Stock'!$L$2:$L$1000&lt;TODAY()-30),--('Master Stock'!$L$2:$L$1000&lt;'Master Stock'!L719))+COUNTIFS('Master Stock'!$L$2:L719,'Master Stock'!L719,'Master Stock'!$D$2:D719,"&lt;&gt;",'Master Stock'!$H$2:H719,"OCCUPIED"),"")</f>
        <v/>
      </c>
      <c r="W719" s="149" t="n"/>
      <c r="X719" s="149" t="n"/>
      <c r="Y719" s="149" t="n"/>
      <c r="Z719" s="149" t="n"/>
    </row>
    <row r="720" ht="15.75" customHeight="1" s="236">
      <c r="A720" s="148" t="n"/>
      <c r="B720" s="148" t="n"/>
      <c r="C720" s="124" t="n"/>
      <c r="D720" s="148" t="n"/>
      <c r="E720" s="148" t="n"/>
      <c r="F720" s="148" t="n"/>
      <c r="G720" s="124" t="n"/>
      <c r="H720" s="148" t="n"/>
      <c r="I720" s="148" t="n"/>
      <c r="J720" s="148" t="n"/>
      <c r="K720" s="148" t="n"/>
      <c r="L720" s="148" t="n"/>
      <c r="M720" s="148" t="n"/>
      <c r="N720" s="148" t="n"/>
      <c r="O720" s="148" t="n"/>
      <c r="P720" s="148" t="n"/>
      <c r="Q720" s="148" t="n"/>
      <c r="R720" s="148" t="n"/>
      <c r="S720" s="148" t="n"/>
      <c r="T720" s="148" t="n"/>
      <c r="U720" s="149">
        <f>IF(AND('Master Stock'!D720&lt;&gt;"",'Master Stock'!H720="OCCUPIED",ISNUMBER('Master Stock'!J720),'Master Stock'!K720=""),SUMPRODUCT(--('Master Stock'!$D$2:$D$1000&lt;&gt;""),--('Master Stock'!$H$2:$H$1000="OCCUPIED"),--ISNUMBER('Master Stock'!$J$2:$J$1000),--('Master Stock'!$K$2:$K$1000=""),--('Master Stock'!$J$2:$J$1000&lt;'Master Stock'!J720))+COUNTIFS('Master Stock'!$J$2:J720,'Master Stock'!J720,'Master Stock'!$D$2:D720,"&lt;&gt;",'Master Stock'!$H$2:H720,"OCCUPIED",'Master Stock'!$K$2:K720,""),"")</f>
        <v/>
      </c>
      <c r="V720" s="149">
        <f>IF(AND('Master Stock'!D720&lt;&gt;"",'Master Stock'!H720="OCCUPIED",ISNUMBER('Master Stock'!L720),'Master Stock'!L720&lt;TODAY()-30),SUMPRODUCT(--('Master Stock'!$D$2:$D$1000&lt;&gt;""),--('Master Stock'!$H$2:$H$1000="OCCUPIED"),--ISNUMBER('Master Stock'!$L$2:$L$1000),--('Master Stock'!$L$2:$L$1000&lt;TODAY()-30),--('Master Stock'!$L$2:$L$1000&lt;'Master Stock'!L720))+COUNTIFS('Master Stock'!$L$2:L720,'Master Stock'!L720,'Master Stock'!$D$2:D720,"&lt;&gt;",'Master Stock'!$H$2:H720,"OCCUPIED"),"")</f>
        <v/>
      </c>
      <c r="W720" s="149" t="n"/>
      <c r="X720" s="149" t="n"/>
      <c r="Y720" s="149" t="n"/>
      <c r="Z720" s="149" t="n"/>
    </row>
    <row r="721" ht="15.75" customHeight="1" s="236">
      <c r="A721" s="148" t="n"/>
      <c r="B721" s="148" t="n"/>
      <c r="C721" s="124" t="n"/>
      <c r="D721" s="148" t="n"/>
      <c r="E721" s="148" t="n"/>
      <c r="F721" s="148" t="n"/>
      <c r="G721" s="124" t="n"/>
      <c r="H721" s="148" t="n"/>
      <c r="I721" s="148" t="n"/>
      <c r="J721" s="148" t="n"/>
      <c r="K721" s="148" t="n"/>
      <c r="L721" s="148" t="n"/>
      <c r="M721" s="148" t="n"/>
      <c r="N721" s="148" t="n"/>
      <c r="O721" s="148" t="n"/>
      <c r="P721" s="148" t="n"/>
      <c r="Q721" s="148" t="n"/>
      <c r="R721" s="148" t="n"/>
      <c r="S721" s="148" t="n"/>
      <c r="T721" s="148" t="n"/>
      <c r="U721" s="149">
        <f>IF(AND('Master Stock'!D721&lt;&gt;"",'Master Stock'!H721="OCCUPIED",ISNUMBER('Master Stock'!J721),'Master Stock'!K721=""),SUMPRODUCT(--('Master Stock'!$D$2:$D$1000&lt;&gt;""),--('Master Stock'!$H$2:$H$1000="OCCUPIED"),--ISNUMBER('Master Stock'!$J$2:$J$1000),--('Master Stock'!$K$2:$K$1000=""),--('Master Stock'!$J$2:$J$1000&lt;'Master Stock'!J721))+COUNTIFS('Master Stock'!$J$2:J721,'Master Stock'!J721,'Master Stock'!$D$2:D721,"&lt;&gt;",'Master Stock'!$H$2:H721,"OCCUPIED",'Master Stock'!$K$2:K721,""),"")</f>
        <v/>
      </c>
      <c r="V721" s="149">
        <f>IF(AND('Master Stock'!D721&lt;&gt;"",'Master Stock'!H721="OCCUPIED",ISNUMBER('Master Stock'!L721),'Master Stock'!L721&lt;TODAY()-30),SUMPRODUCT(--('Master Stock'!$D$2:$D$1000&lt;&gt;""),--('Master Stock'!$H$2:$H$1000="OCCUPIED"),--ISNUMBER('Master Stock'!$L$2:$L$1000),--('Master Stock'!$L$2:$L$1000&lt;TODAY()-30),--('Master Stock'!$L$2:$L$1000&lt;'Master Stock'!L721))+COUNTIFS('Master Stock'!$L$2:L721,'Master Stock'!L721,'Master Stock'!$D$2:D721,"&lt;&gt;",'Master Stock'!$H$2:H721,"OCCUPIED"),"")</f>
        <v/>
      </c>
      <c r="W721" s="149" t="n"/>
      <c r="X721" s="149" t="n"/>
      <c r="Y721" s="149" t="n"/>
      <c r="Z721" s="149" t="n"/>
    </row>
    <row r="722" ht="15.75" customHeight="1" s="236">
      <c r="A722" s="148" t="n"/>
      <c r="B722" s="148" t="n"/>
      <c r="C722" s="124" t="n"/>
      <c r="D722" s="148" t="n"/>
      <c r="E722" s="148" t="n"/>
      <c r="F722" s="148" t="n"/>
      <c r="G722" s="124" t="n"/>
      <c r="H722" s="148" t="n"/>
      <c r="I722" s="148" t="n"/>
      <c r="J722" s="148" t="n"/>
      <c r="K722" s="148" t="n"/>
      <c r="L722" s="148" t="n"/>
      <c r="M722" s="148" t="n"/>
      <c r="N722" s="148" t="n"/>
      <c r="O722" s="148" t="n"/>
      <c r="P722" s="148" t="n"/>
      <c r="Q722" s="148" t="n"/>
      <c r="R722" s="148" t="n"/>
      <c r="S722" s="148" t="n"/>
      <c r="T722" s="148" t="n"/>
      <c r="U722" s="149">
        <f>IF(AND('Master Stock'!D722&lt;&gt;"",'Master Stock'!H722="OCCUPIED",ISNUMBER('Master Stock'!J722),'Master Stock'!K722=""),SUMPRODUCT(--('Master Stock'!$D$2:$D$1000&lt;&gt;""),--('Master Stock'!$H$2:$H$1000="OCCUPIED"),--ISNUMBER('Master Stock'!$J$2:$J$1000),--('Master Stock'!$K$2:$K$1000=""),--('Master Stock'!$J$2:$J$1000&lt;'Master Stock'!J722))+COUNTIFS('Master Stock'!$J$2:J722,'Master Stock'!J722,'Master Stock'!$D$2:D722,"&lt;&gt;",'Master Stock'!$H$2:H722,"OCCUPIED",'Master Stock'!$K$2:K722,""),"")</f>
        <v/>
      </c>
      <c r="V722" s="149">
        <f>IF(AND('Master Stock'!D722&lt;&gt;"",'Master Stock'!H722="OCCUPIED",ISNUMBER('Master Stock'!L722),'Master Stock'!L722&lt;TODAY()-30),SUMPRODUCT(--('Master Stock'!$D$2:$D$1000&lt;&gt;""),--('Master Stock'!$H$2:$H$1000="OCCUPIED"),--ISNUMBER('Master Stock'!$L$2:$L$1000),--('Master Stock'!$L$2:$L$1000&lt;TODAY()-30),--('Master Stock'!$L$2:$L$1000&lt;'Master Stock'!L722))+COUNTIFS('Master Stock'!$L$2:L722,'Master Stock'!L722,'Master Stock'!$D$2:D722,"&lt;&gt;",'Master Stock'!$H$2:H722,"OCCUPIED"),"")</f>
        <v/>
      </c>
      <c r="W722" s="149" t="n"/>
      <c r="X722" s="149" t="n"/>
      <c r="Y722" s="149" t="n"/>
      <c r="Z722" s="149" t="n"/>
    </row>
    <row r="723" ht="15.75" customHeight="1" s="236">
      <c r="A723" s="148" t="n"/>
      <c r="B723" s="148" t="n"/>
      <c r="C723" s="124" t="n"/>
      <c r="D723" s="148" t="n"/>
      <c r="E723" s="148" t="n"/>
      <c r="F723" s="148" t="n"/>
      <c r="G723" s="124" t="n"/>
      <c r="H723" s="148" t="n"/>
      <c r="I723" s="148" t="n"/>
      <c r="J723" s="148" t="n"/>
      <c r="K723" s="148" t="n"/>
      <c r="L723" s="148" t="n"/>
      <c r="M723" s="148" t="n"/>
      <c r="N723" s="148" t="n"/>
      <c r="O723" s="148" t="n"/>
      <c r="P723" s="148" t="n"/>
      <c r="Q723" s="148" t="n"/>
      <c r="R723" s="148" t="n"/>
      <c r="S723" s="148" t="n"/>
      <c r="T723" s="148" t="n"/>
      <c r="U723" s="149">
        <f>IF(AND('Master Stock'!D723&lt;&gt;"",'Master Stock'!H723="OCCUPIED",ISNUMBER('Master Stock'!J723),'Master Stock'!K723=""),SUMPRODUCT(--('Master Stock'!$D$2:$D$1000&lt;&gt;""),--('Master Stock'!$H$2:$H$1000="OCCUPIED"),--ISNUMBER('Master Stock'!$J$2:$J$1000),--('Master Stock'!$K$2:$K$1000=""),--('Master Stock'!$J$2:$J$1000&lt;'Master Stock'!J723))+COUNTIFS('Master Stock'!$J$2:J723,'Master Stock'!J723,'Master Stock'!$D$2:D723,"&lt;&gt;",'Master Stock'!$H$2:H723,"OCCUPIED",'Master Stock'!$K$2:K723,""),"")</f>
        <v/>
      </c>
      <c r="V723" s="149">
        <f>IF(AND('Master Stock'!D723&lt;&gt;"",'Master Stock'!H723="OCCUPIED",ISNUMBER('Master Stock'!L723),'Master Stock'!L723&lt;TODAY()-30),SUMPRODUCT(--('Master Stock'!$D$2:$D$1000&lt;&gt;""),--('Master Stock'!$H$2:$H$1000="OCCUPIED"),--ISNUMBER('Master Stock'!$L$2:$L$1000),--('Master Stock'!$L$2:$L$1000&lt;TODAY()-30),--('Master Stock'!$L$2:$L$1000&lt;'Master Stock'!L723))+COUNTIFS('Master Stock'!$L$2:L723,'Master Stock'!L723,'Master Stock'!$D$2:D723,"&lt;&gt;",'Master Stock'!$H$2:H723,"OCCUPIED"),"")</f>
        <v/>
      </c>
      <c r="W723" s="149" t="n"/>
      <c r="X723" s="149" t="n"/>
      <c r="Y723" s="149" t="n"/>
      <c r="Z723" s="149" t="n"/>
    </row>
    <row r="724" ht="15.75" customHeight="1" s="236">
      <c r="A724" s="148" t="n"/>
      <c r="B724" s="148" t="n"/>
      <c r="C724" s="124" t="n"/>
      <c r="D724" s="148" t="n"/>
      <c r="E724" s="148" t="n"/>
      <c r="F724" s="148" t="n"/>
      <c r="G724" s="124" t="n"/>
      <c r="H724" s="148" t="n"/>
      <c r="I724" s="148" t="n"/>
      <c r="J724" s="148" t="n"/>
      <c r="K724" s="148" t="n"/>
      <c r="L724" s="148" t="n"/>
      <c r="M724" s="148" t="n"/>
      <c r="N724" s="148" t="n"/>
      <c r="O724" s="148" t="n"/>
      <c r="P724" s="148" t="n"/>
      <c r="Q724" s="148" t="n"/>
      <c r="R724" s="148" t="n"/>
      <c r="S724" s="148" t="n"/>
      <c r="T724" s="148" t="n"/>
      <c r="U724" s="149">
        <f>IF(AND('Master Stock'!D724&lt;&gt;"",'Master Stock'!H724="OCCUPIED",ISNUMBER('Master Stock'!J724),'Master Stock'!K724=""),SUMPRODUCT(--('Master Stock'!$D$2:$D$1000&lt;&gt;""),--('Master Stock'!$H$2:$H$1000="OCCUPIED"),--ISNUMBER('Master Stock'!$J$2:$J$1000),--('Master Stock'!$K$2:$K$1000=""),--('Master Stock'!$J$2:$J$1000&lt;'Master Stock'!J724))+COUNTIFS('Master Stock'!$J$2:J724,'Master Stock'!J724,'Master Stock'!$D$2:D724,"&lt;&gt;",'Master Stock'!$H$2:H724,"OCCUPIED",'Master Stock'!$K$2:K724,""),"")</f>
        <v/>
      </c>
      <c r="V724" s="149">
        <f>IF(AND('Master Stock'!D724&lt;&gt;"",'Master Stock'!H724="OCCUPIED",ISNUMBER('Master Stock'!L724),'Master Stock'!L724&lt;TODAY()-30),SUMPRODUCT(--('Master Stock'!$D$2:$D$1000&lt;&gt;""),--('Master Stock'!$H$2:$H$1000="OCCUPIED"),--ISNUMBER('Master Stock'!$L$2:$L$1000),--('Master Stock'!$L$2:$L$1000&lt;TODAY()-30),--('Master Stock'!$L$2:$L$1000&lt;'Master Stock'!L724))+COUNTIFS('Master Stock'!$L$2:L724,'Master Stock'!L724,'Master Stock'!$D$2:D724,"&lt;&gt;",'Master Stock'!$H$2:H724,"OCCUPIED"),"")</f>
        <v/>
      </c>
      <c r="W724" s="149" t="n"/>
      <c r="X724" s="149" t="n"/>
      <c r="Y724" s="149" t="n"/>
      <c r="Z724" s="149" t="n"/>
    </row>
    <row r="725" ht="15.75" customHeight="1" s="236">
      <c r="A725" s="148" t="n"/>
      <c r="B725" s="148" t="n"/>
      <c r="C725" s="124" t="n"/>
      <c r="D725" s="148" t="n"/>
      <c r="E725" s="148" t="n"/>
      <c r="F725" s="148" t="n"/>
      <c r="G725" s="124" t="n"/>
      <c r="H725" s="148" t="n"/>
      <c r="I725" s="148" t="n"/>
      <c r="J725" s="148" t="n"/>
      <c r="K725" s="148" t="n"/>
      <c r="L725" s="148" t="n"/>
      <c r="M725" s="148" t="n"/>
      <c r="N725" s="148" t="n"/>
      <c r="O725" s="148" t="n"/>
      <c r="P725" s="148" t="n"/>
      <c r="Q725" s="148" t="n"/>
      <c r="R725" s="148" t="n"/>
      <c r="S725" s="148" t="n"/>
      <c r="T725" s="148" t="n"/>
      <c r="U725" s="149">
        <f>IF(AND('Master Stock'!D725&lt;&gt;"",'Master Stock'!H725="OCCUPIED",ISNUMBER('Master Stock'!J725),'Master Stock'!K725=""),SUMPRODUCT(--('Master Stock'!$D$2:$D$1000&lt;&gt;""),--('Master Stock'!$H$2:$H$1000="OCCUPIED"),--ISNUMBER('Master Stock'!$J$2:$J$1000),--('Master Stock'!$K$2:$K$1000=""),--('Master Stock'!$J$2:$J$1000&lt;'Master Stock'!J725))+COUNTIFS('Master Stock'!$J$2:J725,'Master Stock'!J725,'Master Stock'!$D$2:D725,"&lt;&gt;",'Master Stock'!$H$2:H725,"OCCUPIED",'Master Stock'!$K$2:K725,""),"")</f>
        <v/>
      </c>
      <c r="V725" s="149">
        <f>IF(AND('Master Stock'!D725&lt;&gt;"",'Master Stock'!H725="OCCUPIED",ISNUMBER('Master Stock'!L725),'Master Stock'!L725&lt;TODAY()-30),SUMPRODUCT(--('Master Stock'!$D$2:$D$1000&lt;&gt;""),--('Master Stock'!$H$2:$H$1000="OCCUPIED"),--ISNUMBER('Master Stock'!$L$2:$L$1000),--('Master Stock'!$L$2:$L$1000&lt;TODAY()-30),--('Master Stock'!$L$2:$L$1000&lt;'Master Stock'!L725))+COUNTIFS('Master Stock'!$L$2:L725,'Master Stock'!L725,'Master Stock'!$D$2:D725,"&lt;&gt;",'Master Stock'!$H$2:H725,"OCCUPIED"),"")</f>
        <v/>
      </c>
      <c r="W725" s="149" t="n"/>
      <c r="X725" s="149" t="n"/>
      <c r="Y725" s="149" t="n"/>
      <c r="Z725" s="149" t="n"/>
    </row>
    <row r="726" ht="15.75" customHeight="1" s="236">
      <c r="A726" s="148" t="n"/>
      <c r="B726" s="148" t="n"/>
      <c r="C726" s="124" t="n"/>
      <c r="D726" s="148" t="n"/>
      <c r="E726" s="148" t="n"/>
      <c r="F726" s="148" t="n"/>
      <c r="G726" s="124" t="n"/>
      <c r="H726" s="148" t="n"/>
      <c r="I726" s="148" t="n"/>
      <c r="J726" s="148" t="n"/>
      <c r="K726" s="148" t="n"/>
      <c r="L726" s="148" t="n"/>
      <c r="M726" s="148" t="n"/>
      <c r="N726" s="148" t="n"/>
      <c r="O726" s="148" t="n"/>
      <c r="P726" s="148" t="n"/>
      <c r="Q726" s="148" t="n"/>
      <c r="R726" s="148" t="n"/>
      <c r="S726" s="148" t="n"/>
      <c r="T726" s="148" t="n"/>
      <c r="U726" s="149">
        <f>IF(AND('Master Stock'!D726&lt;&gt;"",'Master Stock'!H726="OCCUPIED",ISNUMBER('Master Stock'!J726),'Master Stock'!K726=""),SUMPRODUCT(--('Master Stock'!$D$2:$D$1000&lt;&gt;""),--('Master Stock'!$H$2:$H$1000="OCCUPIED"),--ISNUMBER('Master Stock'!$J$2:$J$1000),--('Master Stock'!$K$2:$K$1000=""),--('Master Stock'!$J$2:$J$1000&lt;'Master Stock'!J726))+COUNTIFS('Master Stock'!$J$2:J726,'Master Stock'!J726,'Master Stock'!$D$2:D726,"&lt;&gt;",'Master Stock'!$H$2:H726,"OCCUPIED",'Master Stock'!$K$2:K726,""),"")</f>
        <v/>
      </c>
      <c r="V726" s="149">
        <f>IF(AND('Master Stock'!D726&lt;&gt;"",'Master Stock'!H726="OCCUPIED",ISNUMBER('Master Stock'!L726),'Master Stock'!L726&lt;TODAY()-30),SUMPRODUCT(--('Master Stock'!$D$2:$D$1000&lt;&gt;""),--('Master Stock'!$H$2:$H$1000="OCCUPIED"),--ISNUMBER('Master Stock'!$L$2:$L$1000),--('Master Stock'!$L$2:$L$1000&lt;TODAY()-30),--('Master Stock'!$L$2:$L$1000&lt;'Master Stock'!L726))+COUNTIFS('Master Stock'!$L$2:L726,'Master Stock'!L726,'Master Stock'!$D$2:D726,"&lt;&gt;",'Master Stock'!$H$2:H726,"OCCUPIED"),"")</f>
        <v/>
      </c>
      <c r="W726" s="149" t="n"/>
      <c r="X726" s="149" t="n"/>
      <c r="Y726" s="149" t="n"/>
      <c r="Z726" s="149" t="n"/>
    </row>
    <row r="727" ht="15.75" customHeight="1" s="236">
      <c r="A727" s="148" t="n"/>
      <c r="B727" s="148" t="n"/>
      <c r="C727" s="124" t="n"/>
      <c r="D727" s="148" t="n"/>
      <c r="E727" s="148" t="n"/>
      <c r="F727" s="148" t="n"/>
      <c r="G727" s="124" t="n"/>
      <c r="H727" s="148" t="n"/>
      <c r="I727" s="148" t="n"/>
      <c r="J727" s="148" t="n"/>
      <c r="K727" s="148" t="n"/>
      <c r="L727" s="148" t="n"/>
      <c r="M727" s="148" t="n"/>
      <c r="N727" s="148" t="n"/>
      <c r="O727" s="148" t="n"/>
      <c r="P727" s="148" t="n"/>
      <c r="Q727" s="148" t="n"/>
      <c r="R727" s="148" t="n"/>
      <c r="S727" s="148" t="n"/>
      <c r="T727" s="148" t="n"/>
      <c r="U727" s="149">
        <f>IF(AND('Master Stock'!D727&lt;&gt;"",'Master Stock'!H727="OCCUPIED",ISNUMBER('Master Stock'!J727),'Master Stock'!K727=""),SUMPRODUCT(--('Master Stock'!$D$2:$D$1000&lt;&gt;""),--('Master Stock'!$H$2:$H$1000="OCCUPIED"),--ISNUMBER('Master Stock'!$J$2:$J$1000),--('Master Stock'!$K$2:$K$1000=""),--('Master Stock'!$J$2:$J$1000&lt;'Master Stock'!J727))+COUNTIFS('Master Stock'!$J$2:J727,'Master Stock'!J727,'Master Stock'!$D$2:D727,"&lt;&gt;",'Master Stock'!$H$2:H727,"OCCUPIED",'Master Stock'!$K$2:K727,""),"")</f>
        <v/>
      </c>
      <c r="V727" s="149">
        <f>IF(AND('Master Stock'!D727&lt;&gt;"",'Master Stock'!H727="OCCUPIED",ISNUMBER('Master Stock'!L727),'Master Stock'!L727&lt;TODAY()-30),SUMPRODUCT(--('Master Stock'!$D$2:$D$1000&lt;&gt;""),--('Master Stock'!$H$2:$H$1000="OCCUPIED"),--ISNUMBER('Master Stock'!$L$2:$L$1000),--('Master Stock'!$L$2:$L$1000&lt;TODAY()-30),--('Master Stock'!$L$2:$L$1000&lt;'Master Stock'!L727))+COUNTIFS('Master Stock'!$L$2:L727,'Master Stock'!L727,'Master Stock'!$D$2:D727,"&lt;&gt;",'Master Stock'!$H$2:H727,"OCCUPIED"),"")</f>
        <v/>
      </c>
      <c r="W727" s="149" t="n"/>
      <c r="X727" s="149" t="n"/>
      <c r="Y727" s="149" t="n"/>
      <c r="Z727" s="149" t="n"/>
    </row>
    <row r="728" ht="15.75" customHeight="1" s="236">
      <c r="A728" s="148" t="n"/>
      <c r="B728" s="148" t="n"/>
      <c r="C728" s="124" t="n"/>
      <c r="D728" s="148" t="n"/>
      <c r="E728" s="148" t="n"/>
      <c r="F728" s="148" t="n"/>
      <c r="G728" s="124" t="n"/>
      <c r="H728" s="148" t="n"/>
      <c r="I728" s="148" t="n"/>
      <c r="J728" s="148" t="n"/>
      <c r="K728" s="148" t="n"/>
      <c r="L728" s="148" t="n"/>
      <c r="M728" s="148" t="n"/>
      <c r="N728" s="148" t="n"/>
      <c r="O728" s="148" t="n"/>
      <c r="P728" s="148" t="n"/>
      <c r="Q728" s="148" t="n"/>
      <c r="R728" s="148" t="n"/>
      <c r="S728" s="148" t="n"/>
      <c r="T728" s="148" t="n"/>
      <c r="U728" s="149">
        <f>IF(AND('Master Stock'!D728&lt;&gt;"",'Master Stock'!H728="OCCUPIED",ISNUMBER('Master Stock'!J728),'Master Stock'!K728=""),SUMPRODUCT(--('Master Stock'!$D$2:$D$1000&lt;&gt;""),--('Master Stock'!$H$2:$H$1000="OCCUPIED"),--ISNUMBER('Master Stock'!$J$2:$J$1000),--('Master Stock'!$K$2:$K$1000=""),--('Master Stock'!$J$2:$J$1000&lt;'Master Stock'!J728))+COUNTIFS('Master Stock'!$J$2:J728,'Master Stock'!J728,'Master Stock'!$D$2:D728,"&lt;&gt;",'Master Stock'!$H$2:H728,"OCCUPIED",'Master Stock'!$K$2:K728,""),"")</f>
        <v/>
      </c>
      <c r="V728" s="149">
        <f>IF(AND('Master Stock'!D728&lt;&gt;"",'Master Stock'!H728="OCCUPIED",ISNUMBER('Master Stock'!L728),'Master Stock'!L728&lt;TODAY()-30),SUMPRODUCT(--('Master Stock'!$D$2:$D$1000&lt;&gt;""),--('Master Stock'!$H$2:$H$1000="OCCUPIED"),--ISNUMBER('Master Stock'!$L$2:$L$1000),--('Master Stock'!$L$2:$L$1000&lt;TODAY()-30),--('Master Stock'!$L$2:$L$1000&lt;'Master Stock'!L728))+COUNTIFS('Master Stock'!$L$2:L728,'Master Stock'!L728,'Master Stock'!$D$2:D728,"&lt;&gt;",'Master Stock'!$H$2:H728,"OCCUPIED"),"")</f>
        <v/>
      </c>
      <c r="W728" s="149" t="n"/>
      <c r="X728" s="149" t="n"/>
      <c r="Y728" s="149" t="n"/>
      <c r="Z728" s="149" t="n"/>
    </row>
    <row r="729" ht="15.75" customHeight="1" s="236">
      <c r="A729" s="148" t="n"/>
      <c r="B729" s="148" t="n"/>
      <c r="C729" s="124" t="n"/>
      <c r="D729" s="148" t="n"/>
      <c r="E729" s="148" t="n"/>
      <c r="F729" s="148" t="n"/>
      <c r="G729" s="124" t="n"/>
      <c r="H729" s="148" t="n"/>
      <c r="I729" s="148" t="n"/>
      <c r="J729" s="148" t="n"/>
      <c r="K729" s="148" t="n"/>
      <c r="L729" s="148" t="n"/>
      <c r="M729" s="148" t="n"/>
      <c r="N729" s="148" t="n"/>
      <c r="O729" s="148" t="n"/>
      <c r="P729" s="148" t="n"/>
      <c r="Q729" s="148" t="n"/>
      <c r="R729" s="148" t="n"/>
      <c r="S729" s="148" t="n"/>
      <c r="T729" s="148" t="n"/>
      <c r="U729" s="149">
        <f>IF(AND('Master Stock'!D729&lt;&gt;"",'Master Stock'!H729="OCCUPIED",ISNUMBER('Master Stock'!J729),'Master Stock'!K729=""),SUMPRODUCT(--('Master Stock'!$D$2:$D$1000&lt;&gt;""),--('Master Stock'!$H$2:$H$1000="OCCUPIED"),--ISNUMBER('Master Stock'!$J$2:$J$1000),--('Master Stock'!$K$2:$K$1000=""),--('Master Stock'!$J$2:$J$1000&lt;'Master Stock'!J729))+COUNTIFS('Master Stock'!$J$2:J729,'Master Stock'!J729,'Master Stock'!$D$2:D729,"&lt;&gt;",'Master Stock'!$H$2:H729,"OCCUPIED",'Master Stock'!$K$2:K729,""),"")</f>
        <v/>
      </c>
      <c r="V729" s="149">
        <f>IF(AND('Master Stock'!D729&lt;&gt;"",'Master Stock'!H729="OCCUPIED",ISNUMBER('Master Stock'!L729),'Master Stock'!L729&lt;TODAY()-30),SUMPRODUCT(--('Master Stock'!$D$2:$D$1000&lt;&gt;""),--('Master Stock'!$H$2:$H$1000="OCCUPIED"),--ISNUMBER('Master Stock'!$L$2:$L$1000),--('Master Stock'!$L$2:$L$1000&lt;TODAY()-30),--('Master Stock'!$L$2:$L$1000&lt;'Master Stock'!L729))+COUNTIFS('Master Stock'!$L$2:L729,'Master Stock'!L729,'Master Stock'!$D$2:D729,"&lt;&gt;",'Master Stock'!$H$2:H729,"OCCUPIED"),"")</f>
        <v/>
      </c>
      <c r="W729" s="149" t="n"/>
      <c r="X729" s="149" t="n"/>
      <c r="Y729" s="149" t="n"/>
      <c r="Z729" s="149" t="n"/>
    </row>
    <row r="730" ht="15.75" customHeight="1" s="236">
      <c r="A730" s="148" t="n"/>
      <c r="B730" s="148" t="n"/>
      <c r="C730" s="124" t="n"/>
      <c r="D730" s="148" t="n"/>
      <c r="E730" s="148" t="n"/>
      <c r="F730" s="148" t="n"/>
      <c r="G730" s="124" t="n"/>
      <c r="H730" s="148" t="n"/>
      <c r="I730" s="148" t="n"/>
      <c r="J730" s="148" t="n"/>
      <c r="K730" s="148" t="n"/>
      <c r="L730" s="148" t="n"/>
      <c r="M730" s="148" t="n"/>
      <c r="N730" s="148" t="n"/>
      <c r="O730" s="148" t="n"/>
      <c r="P730" s="148" t="n"/>
      <c r="Q730" s="148" t="n"/>
      <c r="R730" s="148" t="n"/>
      <c r="S730" s="148" t="n"/>
      <c r="T730" s="148" t="n"/>
      <c r="U730" s="149">
        <f>IF(AND('Master Stock'!D730&lt;&gt;"",'Master Stock'!H730="OCCUPIED",ISNUMBER('Master Stock'!J730),'Master Stock'!K730=""),SUMPRODUCT(--('Master Stock'!$D$2:$D$1000&lt;&gt;""),--('Master Stock'!$H$2:$H$1000="OCCUPIED"),--ISNUMBER('Master Stock'!$J$2:$J$1000),--('Master Stock'!$K$2:$K$1000=""),--('Master Stock'!$J$2:$J$1000&lt;'Master Stock'!J730))+COUNTIFS('Master Stock'!$J$2:J730,'Master Stock'!J730,'Master Stock'!$D$2:D730,"&lt;&gt;",'Master Stock'!$H$2:H730,"OCCUPIED",'Master Stock'!$K$2:K730,""),"")</f>
        <v/>
      </c>
      <c r="V730" s="149">
        <f>IF(AND('Master Stock'!D730&lt;&gt;"",'Master Stock'!H730="OCCUPIED",ISNUMBER('Master Stock'!L730),'Master Stock'!L730&lt;TODAY()-30),SUMPRODUCT(--('Master Stock'!$D$2:$D$1000&lt;&gt;""),--('Master Stock'!$H$2:$H$1000="OCCUPIED"),--ISNUMBER('Master Stock'!$L$2:$L$1000),--('Master Stock'!$L$2:$L$1000&lt;TODAY()-30),--('Master Stock'!$L$2:$L$1000&lt;'Master Stock'!L730))+COUNTIFS('Master Stock'!$L$2:L730,'Master Stock'!L730,'Master Stock'!$D$2:D730,"&lt;&gt;",'Master Stock'!$H$2:H730,"OCCUPIED"),"")</f>
        <v/>
      </c>
      <c r="W730" s="149" t="n"/>
      <c r="X730" s="149" t="n"/>
      <c r="Y730" s="149" t="n"/>
      <c r="Z730" s="149" t="n"/>
    </row>
    <row r="731" ht="15.75" customHeight="1" s="236">
      <c r="A731" s="148" t="n"/>
      <c r="B731" s="148" t="n"/>
      <c r="C731" s="124" t="n"/>
      <c r="D731" s="148" t="n"/>
      <c r="E731" s="148" t="n"/>
      <c r="F731" s="148" t="n"/>
      <c r="G731" s="124" t="n"/>
      <c r="H731" s="148" t="n"/>
      <c r="I731" s="148" t="n"/>
      <c r="J731" s="148" t="n"/>
      <c r="K731" s="148" t="n"/>
      <c r="L731" s="148" t="n"/>
      <c r="M731" s="148" t="n"/>
      <c r="N731" s="148" t="n"/>
      <c r="O731" s="148" t="n"/>
      <c r="P731" s="148" t="n"/>
      <c r="Q731" s="148" t="n"/>
      <c r="R731" s="148" t="n"/>
      <c r="S731" s="148" t="n"/>
      <c r="T731" s="148" t="n"/>
      <c r="U731" s="149">
        <f>IF(AND('Master Stock'!D731&lt;&gt;"",'Master Stock'!H731="OCCUPIED",ISNUMBER('Master Stock'!J731),'Master Stock'!K731=""),SUMPRODUCT(--('Master Stock'!$D$2:$D$1000&lt;&gt;""),--('Master Stock'!$H$2:$H$1000="OCCUPIED"),--ISNUMBER('Master Stock'!$J$2:$J$1000),--('Master Stock'!$K$2:$K$1000=""),--('Master Stock'!$J$2:$J$1000&lt;'Master Stock'!J731))+COUNTIFS('Master Stock'!$J$2:J731,'Master Stock'!J731,'Master Stock'!$D$2:D731,"&lt;&gt;",'Master Stock'!$H$2:H731,"OCCUPIED",'Master Stock'!$K$2:K731,""),"")</f>
        <v/>
      </c>
      <c r="V731" s="149">
        <f>IF(AND('Master Stock'!D731&lt;&gt;"",'Master Stock'!H731="OCCUPIED",ISNUMBER('Master Stock'!L731),'Master Stock'!L731&lt;TODAY()-30),SUMPRODUCT(--('Master Stock'!$D$2:$D$1000&lt;&gt;""),--('Master Stock'!$H$2:$H$1000="OCCUPIED"),--ISNUMBER('Master Stock'!$L$2:$L$1000),--('Master Stock'!$L$2:$L$1000&lt;TODAY()-30),--('Master Stock'!$L$2:$L$1000&lt;'Master Stock'!L731))+COUNTIFS('Master Stock'!$L$2:L731,'Master Stock'!L731,'Master Stock'!$D$2:D731,"&lt;&gt;",'Master Stock'!$H$2:H731,"OCCUPIED"),"")</f>
        <v/>
      </c>
      <c r="W731" s="149" t="n"/>
      <c r="X731" s="149" t="n"/>
      <c r="Y731" s="149" t="n"/>
      <c r="Z731" s="149" t="n"/>
    </row>
    <row r="732" ht="15.75" customHeight="1" s="236">
      <c r="A732" s="148" t="n"/>
      <c r="B732" s="148" t="n"/>
      <c r="C732" s="124" t="n"/>
      <c r="D732" s="148" t="n"/>
      <c r="E732" s="148" t="n"/>
      <c r="F732" s="148" t="n"/>
      <c r="G732" s="124" t="n"/>
      <c r="H732" s="148" t="n"/>
      <c r="I732" s="148" t="n"/>
      <c r="J732" s="148" t="n"/>
      <c r="K732" s="148" t="n"/>
      <c r="L732" s="148" t="n"/>
      <c r="M732" s="148" t="n"/>
      <c r="N732" s="148" t="n"/>
      <c r="O732" s="148" t="n"/>
      <c r="P732" s="148" t="n"/>
      <c r="Q732" s="148" t="n"/>
      <c r="R732" s="148" t="n"/>
      <c r="S732" s="148" t="n"/>
      <c r="T732" s="148" t="n"/>
      <c r="U732" s="149">
        <f>IF(AND('Master Stock'!D732&lt;&gt;"",'Master Stock'!H732="OCCUPIED",ISNUMBER('Master Stock'!J732),'Master Stock'!K732=""),SUMPRODUCT(--('Master Stock'!$D$2:$D$1000&lt;&gt;""),--('Master Stock'!$H$2:$H$1000="OCCUPIED"),--ISNUMBER('Master Stock'!$J$2:$J$1000),--('Master Stock'!$K$2:$K$1000=""),--('Master Stock'!$J$2:$J$1000&lt;'Master Stock'!J732))+COUNTIFS('Master Stock'!$J$2:J732,'Master Stock'!J732,'Master Stock'!$D$2:D732,"&lt;&gt;",'Master Stock'!$H$2:H732,"OCCUPIED",'Master Stock'!$K$2:K732,""),"")</f>
        <v/>
      </c>
      <c r="V732" s="149">
        <f>IF(AND('Master Stock'!D732&lt;&gt;"",'Master Stock'!H732="OCCUPIED",ISNUMBER('Master Stock'!L732),'Master Stock'!L732&lt;TODAY()-30),SUMPRODUCT(--('Master Stock'!$D$2:$D$1000&lt;&gt;""),--('Master Stock'!$H$2:$H$1000="OCCUPIED"),--ISNUMBER('Master Stock'!$L$2:$L$1000),--('Master Stock'!$L$2:$L$1000&lt;TODAY()-30),--('Master Stock'!$L$2:$L$1000&lt;'Master Stock'!L732))+COUNTIFS('Master Stock'!$L$2:L732,'Master Stock'!L732,'Master Stock'!$D$2:D732,"&lt;&gt;",'Master Stock'!$H$2:H732,"OCCUPIED"),"")</f>
        <v/>
      </c>
      <c r="W732" s="149" t="n"/>
      <c r="X732" s="149" t="n"/>
      <c r="Y732" s="149" t="n"/>
      <c r="Z732" s="149" t="n"/>
    </row>
    <row r="733" ht="15.75" customHeight="1" s="236">
      <c r="A733" s="148" t="n"/>
      <c r="B733" s="148" t="n"/>
      <c r="C733" s="124" t="n"/>
      <c r="D733" s="148" t="n"/>
      <c r="E733" s="148" t="n"/>
      <c r="F733" s="148" t="n"/>
      <c r="G733" s="124" t="n"/>
      <c r="H733" s="148" t="n"/>
      <c r="I733" s="148" t="n"/>
      <c r="J733" s="148" t="n"/>
      <c r="K733" s="148" t="n"/>
      <c r="L733" s="148" t="n"/>
      <c r="M733" s="148" t="n"/>
      <c r="N733" s="148" t="n"/>
      <c r="O733" s="148" t="n"/>
      <c r="P733" s="148" t="n"/>
      <c r="Q733" s="148" t="n"/>
      <c r="R733" s="148" t="n"/>
      <c r="S733" s="148" t="n"/>
      <c r="T733" s="148" t="n"/>
      <c r="U733" s="149">
        <f>IF(AND('Master Stock'!D733&lt;&gt;"",'Master Stock'!H733="OCCUPIED",ISNUMBER('Master Stock'!J733),'Master Stock'!K733=""),SUMPRODUCT(--('Master Stock'!$D$2:$D$1000&lt;&gt;""),--('Master Stock'!$H$2:$H$1000="OCCUPIED"),--ISNUMBER('Master Stock'!$J$2:$J$1000),--('Master Stock'!$K$2:$K$1000=""),--('Master Stock'!$J$2:$J$1000&lt;'Master Stock'!J733))+COUNTIFS('Master Stock'!$J$2:J733,'Master Stock'!J733,'Master Stock'!$D$2:D733,"&lt;&gt;",'Master Stock'!$H$2:H733,"OCCUPIED",'Master Stock'!$K$2:K733,""),"")</f>
        <v/>
      </c>
      <c r="V733" s="149">
        <f>IF(AND('Master Stock'!D733&lt;&gt;"",'Master Stock'!H733="OCCUPIED",ISNUMBER('Master Stock'!L733),'Master Stock'!L733&lt;TODAY()-30),SUMPRODUCT(--('Master Stock'!$D$2:$D$1000&lt;&gt;""),--('Master Stock'!$H$2:$H$1000="OCCUPIED"),--ISNUMBER('Master Stock'!$L$2:$L$1000),--('Master Stock'!$L$2:$L$1000&lt;TODAY()-30),--('Master Stock'!$L$2:$L$1000&lt;'Master Stock'!L733))+COUNTIFS('Master Stock'!$L$2:L733,'Master Stock'!L733,'Master Stock'!$D$2:D733,"&lt;&gt;",'Master Stock'!$H$2:H733,"OCCUPIED"),"")</f>
        <v/>
      </c>
      <c r="W733" s="149" t="n"/>
      <c r="X733" s="149" t="n"/>
      <c r="Y733" s="149" t="n"/>
      <c r="Z733" s="149" t="n"/>
    </row>
    <row r="734" ht="15.75" customHeight="1" s="236">
      <c r="A734" s="148" t="n"/>
      <c r="B734" s="148" t="n"/>
      <c r="C734" s="124" t="n"/>
      <c r="D734" s="148" t="n"/>
      <c r="E734" s="148" t="n"/>
      <c r="F734" s="148" t="n"/>
      <c r="G734" s="124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9">
        <f>IF(AND('Master Stock'!D734&lt;&gt;"",'Master Stock'!H734="OCCUPIED",ISNUMBER('Master Stock'!J734),'Master Stock'!K734=""),SUMPRODUCT(--('Master Stock'!$D$2:$D$1000&lt;&gt;""),--('Master Stock'!$H$2:$H$1000="OCCUPIED"),--ISNUMBER('Master Stock'!$J$2:$J$1000),--('Master Stock'!$K$2:$K$1000=""),--('Master Stock'!$J$2:$J$1000&lt;'Master Stock'!J734))+COUNTIFS('Master Stock'!$J$2:J734,'Master Stock'!J734,'Master Stock'!$D$2:D734,"&lt;&gt;",'Master Stock'!$H$2:H734,"OCCUPIED",'Master Stock'!$K$2:K734,""),"")</f>
        <v/>
      </c>
      <c r="V734" s="149">
        <f>IF(AND('Master Stock'!D734&lt;&gt;"",'Master Stock'!H734="OCCUPIED",ISNUMBER('Master Stock'!L734),'Master Stock'!L734&lt;TODAY()-30),SUMPRODUCT(--('Master Stock'!$D$2:$D$1000&lt;&gt;""),--('Master Stock'!$H$2:$H$1000="OCCUPIED"),--ISNUMBER('Master Stock'!$L$2:$L$1000),--('Master Stock'!$L$2:$L$1000&lt;TODAY()-30),--('Master Stock'!$L$2:$L$1000&lt;'Master Stock'!L734))+COUNTIFS('Master Stock'!$L$2:L734,'Master Stock'!L734,'Master Stock'!$D$2:D734,"&lt;&gt;",'Master Stock'!$H$2:H734,"OCCUPIED"),"")</f>
        <v/>
      </c>
      <c r="W734" s="149" t="n"/>
      <c r="X734" s="149" t="n"/>
      <c r="Y734" s="149" t="n"/>
      <c r="Z734" s="149" t="n"/>
    </row>
    <row r="735" ht="15.75" customHeight="1" s="236">
      <c r="A735" s="148" t="n"/>
      <c r="B735" s="148" t="n"/>
      <c r="C735" s="124" t="n"/>
      <c r="D735" s="148" t="n"/>
      <c r="E735" s="148" t="n"/>
      <c r="F735" s="148" t="n"/>
      <c r="G735" s="124" t="n"/>
      <c r="H735" s="148" t="n"/>
      <c r="I735" s="148" t="n"/>
      <c r="J735" s="148" t="n"/>
      <c r="K735" s="148" t="n"/>
      <c r="L735" s="148" t="n"/>
      <c r="M735" s="148" t="n"/>
      <c r="N735" s="148" t="n"/>
      <c r="O735" s="148" t="n"/>
      <c r="P735" s="148" t="n"/>
      <c r="Q735" s="148" t="n"/>
      <c r="R735" s="148" t="n"/>
      <c r="S735" s="148" t="n"/>
      <c r="T735" s="148" t="n"/>
      <c r="U735" s="149">
        <f>IF(AND('Master Stock'!D735&lt;&gt;"",'Master Stock'!H735="OCCUPIED",ISNUMBER('Master Stock'!J735),'Master Stock'!K735=""),SUMPRODUCT(--('Master Stock'!$D$2:$D$1000&lt;&gt;""),--('Master Stock'!$H$2:$H$1000="OCCUPIED"),--ISNUMBER('Master Stock'!$J$2:$J$1000),--('Master Stock'!$K$2:$K$1000=""),--('Master Stock'!$J$2:$J$1000&lt;'Master Stock'!J735))+COUNTIFS('Master Stock'!$J$2:J735,'Master Stock'!J735,'Master Stock'!$D$2:D735,"&lt;&gt;",'Master Stock'!$H$2:H735,"OCCUPIED",'Master Stock'!$K$2:K735,""),"")</f>
        <v/>
      </c>
      <c r="V735" s="149">
        <f>IF(AND('Master Stock'!D735&lt;&gt;"",'Master Stock'!H735="OCCUPIED",ISNUMBER('Master Stock'!L735),'Master Stock'!L735&lt;TODAY()-30),SUMPRODUCT(--('Master Stock'!$D$2:$D$1000&lt;&gt;""),--('Master Stock'!$H$2:$H$1000="OCCUPIED"),--ISNUMBER('Master Stock'!$L$2:$L$1000),--('Master Stock'!$L$2:$L$1000&lt;TODAY()-30),--('Master Stock'!$L$2:$L$1000&lt;'Master Stock'!L735))+COUNTIFS('Master Stock'!$L$2:L735,'Master Stock'!L735,'Master Stock'!$D$2:D735,"&lt;&gt;",'Master Stock'!$H$2:H735,"OCCUPIED"),"")</f>
        <v/>
      </c>
      <c r="W735" s="149" t="n"/>
      <c r="X735" s="149" t="n"/>
      <c r="Y735" s="149" t="n"/>
      <c r="Z735" s="149" t="n"/>
    </row>
    <row r="736" ht="15.75" customHeight="1" s="236">
      <c r="A736" s="148" t="n"/>
      <c r="B736" s="148" t="n"/>
      <c r="C736" s="124" t="n"/>
      <c r="D736" s="148" t="n"/>
      <c r="E736" s="148" t="n"/>
      <c r="F736" s="148" t="n"/>
      <c r="G736" s="124" t="n"/>
      <c r="H736" s="148" t="n"/>
      <c r="I736" s="148" t="n"/>
      <c r="J736" s="148" t="n"/>
      <c r="K736" s="148" t="n"/>
      <c r="L736" s="148" t="n"/>
      <c r="M736" s="148" t="n"/>
      <c r="N736" s="148" t="n"/>
      <c r="O736" s="148" t="n"/>
      <c r="P736" s="148" t="n"/>
      <c r="Q736" s="148" t="n"/>
      <c r="R736" s="148" t="n"/>
      <c r="S736" s="148" t="n"/>
      <c r="T736" s="148" t="n"/>
      <c r="U736" s="149">
        <f>IF(AND('Master Stock'!D736&lt;&gt;"",'Master Stock'!H736="OCCUPIED",ISNUMBER('Master Stock'!J736),'Master Stock'!K736=""),SUMPRODUCT(--('Master Stock'!$D$2:$D$1000&lt;&gt;""),--('Master Stock'!$H$2:$H$1000="OCCUPIED"),--ISNUMBER('Master Stock'!$J$2:$J$1000),--('Master Stock'!$K$2:$K$1000=""),--('Master Stock'!$J$2:$J$1000&lt;'Master Stock'!J736))+COUNTIFS('Master Stock'!$J$2:J736,'Master Stock'!J736,'Master Stock'!$D$2:D736,"&lt;&gt;",'Master Stock'!$H$2:H736,"OCCUPIED",'Master Stock'!$K$2:K736,""),"")</f>
        <v/>
      </c>
      <c r="V736" s="149">
        <f>IF(AND('Master Stock'!D736&lt;&gt;"",'Master Stock'!H736="OCCUPIED",ISNUMBER('Master Stock'!L736),'Master Stock'!L736&lt;TODAY()-30),SUMPRODUCT(--('Master Stock'!$D$2:$D$1000&lt;&gt;""),--('Master Stock'!$H$2:$H$1000="OCCUPIED"),--ISNUMBER('Master Stock'!$L$2:$L$1000),--('Master Stock'!$L$2:$L$1000&lt;TODAY()-30),--('Master Stock'!$L$2:$L$1000&lt;'Master Stock'!L736))+COUNTIFS('Master Stock'!$L$2:L736,'Master Stock'!L736,'Master Stock'!$D$2:D736,"&lt;&gt;",'Master Stock'!$H$2:H736,"OCCUPIED"),"")</f>
        <v/>
      </c>
      <c r="W736" s="149" t="n"/>
      <c r="X736" s="149" t="n"/>
      <c r="Y736" s="149" t="n"/>
      <c r="Z736" s="149" t="n"/>
    </row>
    <row r="737" ht="15.75" customHeight="1" s="236">
      <c r="A737" s="148" t="n"/>
      <c r="B737" s="148" t="n"/>
      <c r="C737" s="124" t="n"/>
      <c r="D737" s="148" t="n"/>
      <c r="E737" s="148" t="n"/>
      <c r="F737" s="148" t="n"/>
      <c r="G737" s="124" t="n"/>
      <c r="H737" s="148" t="n"/>
      <c r="I737" s="148" t="n"/>
      <c r="J737" s="148" t="n"/>
      <c r="K737" s="148" t="n"/>
      <c r="L737" s="148" t="n"/>
      <c r="M737" s="148" t="n"/>
      <c r="N737" s="148" t="n"/>
      <c r="O737" s="148" t="n"/>
      <c r="P737" s="148" t="n"/>
      <c r="Q737" s="148" t="n"/>
      <c r="R737" s="148" t="n"/>
      <c r="S737" s="148" t="n"/>
      <c r="T737" s="148" t="n"/>
      <c r="U737" s="149">
        <f>IF(AND('Master Stock'!D737&lt;&gt;"",'Master Stock'!H737="OCCUPIED",ISNUMBER('Master Stock'!J737),'Master Stock'!K737=""),SUMPRODUCT(--('Master Stock'!$D$2:$D$1000&lt;&gt;""),--('Master Stock'!$H$2:$H$1000="OCCUPIED"),--ISNUMBER('Master Stock'!$J$2:$J$1000),--('Master Stock'!$K$2:$K$1000=""),--('Master Stock'!$J$2:$J$1000&lt;'Master Stock'!J737))+COUNTIFS('Master Stock'!$J$2:J737,'Master Stock'!J737,'Master Stock'!$D$2:D737,"&lt;&gt;",'Master Stock'!$H$2:H737,"OCCUPIED",'Master Stock'!$K$2:K737,""),"")</f>
        <v/>
      </c>
      <c r="V737" s="149">
        <f>IF(AND('Master Stock'!D737&lt;&gt;"",'Master Stock'!H737="OCCUPIED",ISNUMBER('Master Stock'!L737),'Master Stock'!L737&lt;TODAY()-30),SUMPRODUCT(--('Master Stock'!$D$2:$D$1000&lt;&gt;""),--('Master Stock'!$H$2:$H$1000="OCCUPIED"),--ISNUMBER('Master Stock'!$L$2:$L$1000),--('Master Stock'!$L$2:$L$1000&lt;TODAY()-30),--('Master Stock'!$L$2:$L$1000&lt;'Master Stock'!L737))+COUNTIFS('Master Stock'!$L$2:L737,'Master Stock'!L737,'Master Stock'!$D$2:D737,"&lt;&gt;",'Master Stock'!$H$2:H737,"OCCUPIED"),"")</f>
        <v/>
      </c>
      <c r="W737" s="149" t="n"/>
      <c r="X737" s="149" t="n"/>
      <c r="Y737" s="149" t="n"/>
      <c r="Z737" s="149" t="n"/>
    </row>
    <row r="738" ht="15.75" customHeight="1" s="236">
      <c r="A738" s="148" t="n"/>
      <c r="B738" s="148" t="n"/>
      <c r="C738" s="124" t="n"/>
      <c r="D738" s="148" t="n"/>
      <c r="E738" s="148" t="n"/>
      <c r="F738" s="148" t="n"/>
      <c r="G738" s="124" t="n"/>
      <c r="H738" s="148" t="n"/>
      <c r="I738" s="148" t="n"/>
      <c r="J738" s="148" t="n"/>
      <c r="K738" s="148" t="n"/>
      <c r="L738" s="148" t="n"/>
      <c r="M738" s="148" t="n"/>
      <c r="N738" s="148" t="n"/>
      <c r="O738" s="148" t="n"/>
      <c r="P738" s="148" t="n"/>
      <c r="Q738" s="148" t="n"/>
      <c r="R738" s="148" t="n"/>
      <c r="S738" s="148" t="n"/>
      <c r="T738" s="148" t="n"/>
      <c r="U738" s="149">
        <f>IF(AND('Master Stock'!D738&lt;&gt;"",'Master Stock'!H738="OCCUPIED",ISNUMBER('Master Stock'!J738),'Master Stock'!K738=""),SUMPRODUCT(--('Master Stock'!$D$2:$D$1000&lt;&gt;""),--('Master Stock'!$H$2:$H$1000="OCCUPIED"),--ISNUMBER('Master Stock'!$J$2:$J$1000),--('Master Stock'!$K$2:$K$1000=""),--('Master Stock'!$J$2:$J$1000&lt;'Master Stock'!J738))+COUNTIFS('Master Stock'!$J$2:J738,'Master Stock'!J738,'Master Stock'!$D$2:D738,"&lt;&gt;",'Master Stock'!$H$2:H738,"OCCUPIED",'Master Stock'!$K$2:K738,""),"")</f>
        <v/>
      </c>
      <c r="V738" s="149">
        <f>IF(AND('Master Stock'!D738&lt;&gt;"",'Master Stock'!H738="OCCUPIED",ISNUMBER('Master Stock'!L738),'Master Stock'!L738&lt;TODAY()-30),SUMPRODUCT(--('Master Stock'!$D$2:$D$1000&lt;&gt;""),--('Master Stock'!$H$2:$H$1000="OCCUPIED"),--ISNUMBER('Master Stock'!$L$2:$L$1000),--('Master Stock'!$L$2:$L$1000&lt;TODAY()-30),--('Master Stock'!$L$2:$L$1000&lt;'Master Stock'!L738))+COUNTIFS('Master Stock'!$L$2:L738,'Master Stock'!L738,'Master Stock'!$D$2:D738,"&lt;&gt;",'Master Stock'!$H$2:H738,"OCCUPIED"),"")</f>
        <v/>
      </c>
      <c r="W738" s="149" t="n"/>
      <c r="X738" s="149" t="n"/>
      <c r="Y738" s="149" t="n"/>
      <c r="Z738" s="149" t="n"/>
    </row>
    <row r="739" ht="15.75" customHeight="1" s="236">
      <c r="A739" s="148" t="n"/>
      <c r="B739" s="148" t="n"/>
      <c r="C739" s="124" t="n"/>
      <c r="D739" s="148" t="n"/>
      <c r="E739" s="148" t="n"/>
      <c r="F739" s="148" t="n"/>
      <c r="G739" s="124" t="n"/>
      <c r="H739" s="148" t="n"/>
      <c r="I739" s="148" t="n"/>
      <c r="J739" s="148" t="n"/>
      <c r="K739" s="148" t="n"/>
      <c r="L739" s="148" t="n"/>
      <c r="M739" s="148" t="n"/>
      <c r="N739" s="148" t="n"/>
      <c r="O739" s="148" t="n"/>
      <c r="P739" s="148" t="n"/>
      <c r="Q739" s="148" t="n"/>
      <c r="R739" s="148" t="n"/>
      <c r="S739" s="148" t="n"/>
      <c r="T739" s="148" t="n"/>
      <c r="U739" s="149">
        <f>IF(AND('Master Stock'!D739&lt;&gt;"",'Master Stock'!H739="OCCUPIED",ISNUMBER('Master Stock'!J739),'Master Stock'!K739=""),SUMPRODUCT(--('Master Stock'!$D$2:$D$1000&lt;&gt;""),--('Master Stock'!$H$2:$H$1000="OCCUPIED"),--ISNUMBER('Master Stock'!$J$2:$J$1000),--('Master Stock'!$K$2:$K$1000=""),--('Master Stock'!$J$2:$J$1000&lt;'Master Stock'!J739))+COUNTIFS('Master Stock'!$J$2:J739,'Master Stock'!J739,'Master Stock'!$D$2:D739,"&lt;&gt;",'Master Stock'!$H$2:H739,"OCCUPIED",'Master Stock'!$K$2:K739,""),"")</f>
        <v/>
      </c>
      <c r="V739" s="149">
        <f>IF(AND('Master Stock'!D739&lt;&gt;"",'Master Stock'!H739="OCCUPIED",ISNUMBER('Master Stock'!L739),'Master Stock'!L739&lt;TODAY()-30),SUMPRODUCT(--('Master Stock'!$D$2:$D$1000&lt;&gt;""),--('Master Stock'!$H$2:$H$1000="OCCUPIED"),--ISNUMBER('Master Stock'!$L$2:$L$1000),--('Master Stock'!$L$2:$L$1000&lt;TODAY()-30),--('Master Stock'!$L$2:$L$1000&lt;'Master Stock'!L739))+COUNTIFS('Master Stock'!$L$2:L739,'Master Stock'!L739,'Master Stock'!$D$2:D739,"&lt;&gt;",'Master Stock'!$H$2:H739,"OCCUPIED"),"")</f>
        <v/>
      </c>
      <c r="W739" s="149" t="n"/>
      <c r="X739" s="149" t="n"/>
      <c r="Y739" s="149" t="n"/>
      <c r="Z739" s="149" t="n"/>
    </row>
    <row r="740" ht="15.75" customHeight="1" s="236">
      <c r="A740" s="148" t="n"/>
      <c r="B740" s="148" t="n"/>
      <c r="C740" s="124" t="n"/>
      <c r="D740" s="148" t="n"/>
      <c r="E740" s="148" t="n"/>
      <c r="F740" s="148" t="n"/>
      <c r="G740" s="124" t="n"/>
      <c r="H740" s="148" t="n"/>
      <c r="I740" s="148" t="n"/>
      <c r="J740" s="148" t="n"/>
      <c r="K740" s="148" t="n"/>
      <c r="L740" s="148" t="n"/>
      <c r="M740" s="148" t="n"/>
      <c r="N740" s="148" t="n"/>
      <c r="O740" s="148" t="n"/>
      <c r="P740" s="148" t="n"/>
      <c r="Q740" s="148" t="n"/>
      <c r="R740" s="148" t="n"/>
      <c r="S740" s="148" t="n"/>
      <c r="T740" s="148" t="n"/>
      <c r="U740" s="149">
        <f>IF(AND('Master Stock'!D740&lt;&gt;"",'Master Stock'!H740="OCCUPIED",ISNUMBER('Master Stock'!J740),'Master Stock'!K740=""),SUMPRODUCT(--('Master Stock'!$D$2:$D$1000&lt;&gt;""),--('Master Stock'!$H$2:$H$1000="OCCUPIED"),--ISNUMBER('Master Stock'!$J$2:$J$1000),--('Master Stock'!$K$2:$K$1000=""),--('Master Stock'!$J$2:$J$1000&lt;'Master Stock'!J740))+COUNTIFS('Master Stock'!$J$2:J740,'Master Stock'!J740,'Master Stock'!$D$2:D740,"&lt;&gt;",'Master Stock'!$H$2:H740,"OCCUPIED",'Master Stock'!$K$2:K740,""),"")</f>
        <v/>
      </c>
      <c r="V740" s="149">
        <f>IF(AND('Master Stock'!D740&lt;&gt;"",'Master Stock'!H740="OCCUPIED",ISNUMBER('Master Stock'!L740),'Master Stock'!L740&lt;TODAY()-30),SUMPRODUCT(--('Master Stock'!$D$2:$D$1000&lt;&gt;""),--('Master Stock'!$H$2:$H$1000="OCCUPIED"),--ISNUMBER('Master Stock'!$L$2:$L$1000),--('Master Stock'!$L$2:$L$1000&lt;TODAY()-30),--('Master Stock'!$L$2:$L$1000&lt;'Master Stock'!L740))+COUNTIFS('Master Stock'!$L$2:L740,'Master Stock'!L740,'Master Stock'!$D$2:D740,"&lt;&gt;",'Master Stock'!$H$2:H740,"OCCUPIED"),"")</f>
        <v/>
      </c>
      <c r="W740" s="149" t="n"/>
      <c r="X740" s="149" t="n"/>
      <c r="Y740" s="149" t="n"/>
      <c r="Z740" s="149" t="n"/>
    </row>
    <row r="741" ht="15.75" customHeight="1" s="236">
      <c r="A741" s="148" t="n"/>
      <c r="B741" s="148" t="n"/>
      <c r="C741" s="124" t="n"/>
      <c r="D741" s="148" t="n"/>
      <c r="E741" s="148" t="n"/>
      <c r="F741" s="148" t="n"/>
      <c r="G741" s="124" t="n"/>
      <c r="H741" s="148" t="n"/>
      <c r="I741" s="148" t="n"/>
      <c r="J741" s="148" t="n"/>
      <c r="K741" s="148" t="n"/>
      <c r="L741" s="148" t="n"/>
      <c r="M741" s="148" t="n"/>
      <c r="N741" s="148" t="n"/>
      <c r="O741" s="148" t="n"/>
      <c r="P741" s="148" t="n"/>
      <c r="Q741" s="148" t="n"/>
      <c r="R741" s="148" t="n"/>
      <c r="S741" s="148" t="n"/>
      <c r="T741" s="148" t="n"/>
      <c r="U741" s="149">
        <f>IF(AND('Master Stock'!D741&lt;&gt;"",'Master Stock'!H741="OCCUPIED",ISNUMBER('Master Stock'!J741),'Master Stock'!K741=""),SUMPRODUCT(--('Master Stock'!$D$2:$D$1000&lt;&gt;""),--('Master Stock'!$H$2:$H$1000="OCCUPIED"),--ISNUMBER('Master Stock'!$J$2:$J$1000),--('Master Stock'!$K$2:$K$1000=""),--('Master Stock'!$J$2:$J$1000&lt;'Master Stock'!J741))+COUNTIFS('Master Stock'!$J$2:J741,'Master Stock'!J741,'Master Stock'!$D$2:D741,"&lt;&gt;",'Master Stock'!$H$2:H741,"OCCUPIED",'Master Stock'!$K$2:K741,""),"")</f>
        <v/>
      </c>
      <c r="V741" s="149">
        <f>IF(AND('Master Stock'!D741&lt;&gt;"",'Master Stock'!H741="OCCUPIED",ISNUMBER('Master Stock'!L741),'Master Stock'!L741&lt;TODAY()-30),SUMPRODUCT(--('Master Stock'!$D$2:$D$1000&lt;&gt;""),--('Master Stock'!$H$2:$H$1000="OCCUPIED"),--ISNUMBER('Master Stock'!$L$2:$L$1000),--('Master Stock'!$L$2:$L$1000&lt;TODAY()-30),--('Master Stock'!$L$2:$L$1000&lt;'Master Stock'!L741))+COUNTIFS('Master Stock'!$L$2:L741,'Master Stock'!L741,'Master Stock'!$D$2:D741,"&lt;&gt;",'Master Stock'!$H$2:H741,"OCCUPIED"),"")</f>
        <v/>
      </c>
      <c r="W741" s="149" t="n"/>
      <c r="X741" s="149" t="n"/>
      <c r="Y741" s="149" t="n"/>
      <c r="Z741" s="149" t="n"/>
    </row>
    <row r="742" ht="15.75" customHeight="1" s="236">
      <c r="A742" s="148" t="n"/>
      <c r="B742" s="148" t="n"/>
      <c r="C742" s="124" t="n"/>
      <c r="D742" s="148" t="n"/>
      <c r="E742" s="148" t="n"/>
      <c r="F742" s="148" t="n"/>
      <c r="G742" s="124" t="n"/>
      <c r="H742" s="148" t="n"/>
      <c r="I742" s="148" t="n"/>
      <c r="J742" s="148" t="n"/>
      <c r="K742" s="148" t="n"/>
      <c r="L742" s="148" t="n"/>
      <c r="M742" s="148" t="n"/>
      <c r="N742" s="148" t="n"/>
      <c r="O742" s="148" t="n"/>
      <c r="P742" s="148" t="n"/>
      <c r="Q742" s="148" t="n"/>
      <c r="R742" s="148" t="n"/>
      <c r="S742" s="148" t="n"/>
      <c r="T742" s="148" t="n"/>
      <c r="U742" s="149">
        <f>IF(AND('Master Stock'!D742&lt;&gt;"",'Master Stock'!H742="OCCUPIED",ISNUMBER('Master Stock'!J742),'Master Stock'!K742=""),SUMPRODUCT(--('Master Stock'!$D$2:$D$1000&lt;&gt;""),--('Master Stock'!$H$2:$H$1000="OCCUPIED"),--ISNUMBER('Master Stock'!$J$2:$J$1000),--('Master Stock'!$K$2:$K$1000=""),--('Master Stock'!$J$2:$J$1000&lt;'Master Stock'!J742))+COUNTIFS('Master Stock'!$J$2:J742,'Master Stock'!J742,'Master Stock'!$D$2:D742,"&lt;&gt;",'Master Stock'!$H$2:H742,"OCCUPIED",'Master Stock'!$K$2:K742,""),"")</f>
        <v/>
      </c>
      <c r="V742" s="149">
        <f>IF(AND('Master Stock'!D742&lt;&gt;"",'Master Stock'!H742="OCCUPIED",ISNUMBER('Master Stock'!L742),'Master Stock'!L742&lt;TODAY()-30),SUMPRODUCT(--('Master Stock'!$D$2:$D$1000&lt;&gt;""),--('Master Stock'!$H$2:$H$1000="OCCUPIED"),--ISNUMBER('Master Stock'!$L$2:$L$1000),--('Master Stock'!$L$2:$L$1000&lt;TODAY()-30),--('Master Stock'!$L$2:$L$1000&lt;'Master Stock'!L742))+COUNTIFS('Master Stock'!$L$2:L742,'Master Stock'!L742,'Master Stock'!$D$2:D742,"&lt;&gt;",'Master Stock'!$H$2:H742,"OCCUPIED"),"")</f>
        <v/>
      </c>
      <c r="W742" s="149" t="n"/>
      <c r="X742" s="149" t="n"/>
      <c r="Y742" s="149" t="n"/>
      <c r="Z742" s="149" t="n"/>
    </row>
    <row r="743" ht="15.75" customHeight="1" s="236">
      <c r="A743" s="148" t="n"/>
      <c r="B743" s="148" t="n"/>
      <c r="C743" s="124" t="n"/>
      <c r="D743" s="148" t="n"/>
      <c r="E743" s="148" t="n"/>
      <c r="F743" s="148" t="n"/>
      <c r="G743" s="124" t="n"/>
      <c r="H743" s="148" t="n"/>
      <c r="I743" s="148" t="n"/>
      <c r="J743" s="148" t="n"/>
      <c r="K743" s="148" t="n"/>
      <c r="L743" s="148" t="n"/>
      <c r="M743" s="148" t="n"/>
      <c r="N743" s="148" t="n"/>
      <c r="O743" s="148" t="n"/>
      <c r="P743" s="148" t="n"/>
      <c r="Q743" s="148" t="n"/>
      <c r="R743" s="148" t="n"/>
      <c r="S743" s="148" t="n"/>
      <c r="T743" s="148" t="n"/>
      <c r="U743" s="149">
        <f>IF(AND('Master Stock'!D743&lt;&gt;"",'Master Stock'!H743="OCCUPIED",ISNUMBER('Master Stock'!J743),'Master Stock'!K743=""),SUMPRODUCT(--('Master Stock'!$D$2:$D$1000&lt;&gt;""),--('Master Stock'!$H$2:$H$1000="OCCUPIED"),--ISNUMBER('Master Stock'!$J$2:$J$1000),--('Master Stock'!$K$2:$K$1000=""),--('Master Stock'!$J$2:$J$1000&lt;'Master Stock'!J743))+COUNTIFS('Master Stock'!$J$2:J743,'Master Stock'!J743,'Master Stock'!$D$2:D743,"&lt;&gt;",'Master Stock'!$H$2:H743,"OCCUPIED",'Master Stock'!$K$2:K743,""),"")</f>
        <v/>
      </c>
      <c r="V743" s="149">
        <f>IF(AND('Master Stock'!D743&lt;&gt;"",'Master Stock'!H743="OCCUPIED",ISNUMBER('Master Stock'!L743),'Master Stock'!L743&lt;TODAY()-30),SUMPRODUCT(--('Master Stock'!$D$2:$D$1000&lt;&gt;""),--('Master Stock'!$H$2:$H$1000="OCCUPIED"),--ISNUMBER('Master Stock'!$L$2:$L$1000),--('Master Stock'!$L$2:$L$1000&lt;TODAY()-30),--('Master Stock'!$L$2:$L$1000&lt;'Master Stock'!L743))+COUNTIFS('Master Stock'!$L$2:L743,'Master Stock'!L743,'Master Stock'!$D$2:D743,"&lt;&gt;",'Master Stock'!$H$2:H743,"OCCUPIED"),"")</f>
        <v/>
      </c>
      <c r="W743" s="149" t="n"/>
      <c r="X743" s="149" t="n"/>
      <c r="Y743" s="149" t="n"/>
      <c r="Z743" s="149" t="n"/>
    </row>
    <row r="744" ht="15.75" customHeight="1" s="236">
      <c r="A744" s="148" t="n"/>
      <c r="B744" s="148" t="n"/>
      <c r="C744" s="124" t="n"/>
      <c r="D744" s="148" t="n"/>
      <c r="E744" s="148" t="n"/>
      <c r="F744" s="148" t="n"/>
      <c r="G744" s="124" t="n"/>
      <c r="H744" s="148" t="n"/>
      <c r="I744" s="148" t="n"/>
      <c r="J744" s="148" t="n"/>
      <c r="K744" s="148" t="n"/>
      <c r="L744" s="148" t="n"/>
      <c r="M744" s="148" t="n"/>
      <c r="N744" s="148" t="n"/>
      <c r="O744" s="148" t="n"/>
      <c r="P744" s="148" t="n"/>
      <c r="Q744" s="148" t="n"/>
      <c r="R744" s="148" t="n"/>
      <c r="S744" s="148" t="n"/>
      <c r="T744" s="148" t="n"/>
      <c r="U744" s="149">
        <f>IF(AND('Master Stock'!D744&lt;&gt;"",'Master Stock'!H744="OCCUPIED",ISNUMBER('Master Stock'!J744),'Master Stock'!K744=""),SUMPRODUCT(--('Master Stock'!$D$2:$D$1000&lt;&gt;""),--('Master Stock'!$H$2:$H$1000="OCCUPIED"),--ISNUMBER('Master Stock'!$J$2:$J$1000),--('Master Stock'!$K$2:$K$1000=""),--('Master Stock'!$J$2:$J$1000&lt;'Master Stock'!J744))+COUNTIFS('Master Stock'!$J$2:J744,'Master Stock'!J744,'Master Stock'!$D$2:D744,"&lt;&gt;",'Master Stock'!$H$2:H744,"OCCUPIED",'Master Stock'!$K$2:K744,""),"")</f>
        <v/>
      </c>
      <c r="V744" s="149">
        <f>IF(AND('Master Stock'!D744&lt;&gt;"",'Master Stock'!H744="OCCUPIED",ISNUMBER('Master Stock'!L744),'Master Stock'!L744&lt;TODAY()-30),SUMPRODUCT(--('Master Stock'!$D$2:$D$1000&lt;&gt;""),--('Master Stock'!$H$2:$H$1000="OCCUPIED"),--ISNUMBER('Master Stock'!$L$2:$L$1000),--('Master Stock'!$L$2:$L$1000&lt;TODAY()-30),--('Master Stock'!$L$2:$L$1000&lt;'Master Stock'!L744))+COUNTIFS('Master Stock'!$L$2:L744,'Master Stock'!L744,'Master Stock'!$D$2:D744,"&lt;&gt;",'Master Stock'!$H$2:H744,"OCCUPIED"),"")</f>
        <v/>
      </c>
      <c r="W744" s="149" t="n"/>
      <c r="X744" s="149" t="n"/>
      <c r="Y744" s="149" t="n"/>
      <c r="Z744" s="149" t="n"/>
    </row>
    <row r="745" ht="15.75" customHeight="1" s="236">
      <c r="A745" s="148" t="n"/>
      <c r="B745" s="148" t="n"/>
      <c r="C745" s="124" t="n"/>
      <c r="D745" s="148" t="n"/>
      <c r="E745" s="148" t="n"/>
      <c r="F745" s="148" t="n"/>
      <c r="G745" s="124" t="n"/>
      <c r="H745" s="148" t="n"/>
      <c r="I745" s="148" t="n"/>
      <c r="J745" s="148" t="n"/>
      <c r="K745" s="148" t="n"/>
      <c r="L745" s="148" t="n"/>
      <c r="M745" s="148" t="n"/>
      <c r="N745" s="148" t="n"/>
      <c r="O745" s="148" t="n"/>
      <c r="P745" s="148" t="n"/>
      <c r="Q745" s="148" t="n"/>
      <c r="R745" s="148" t="n"/>
      <c r="S745" s="148" t="n"/>
      <c r="T745" s="148" t="n"/>
      <c r="U745" s="149">
        <f>IF(AND('Master Stock'!D745&lt;&gt;"",'Master Stock'!H745="OCCUPIED",ISNUMBER('Master Stock'!J745),'Master Stock'!K745=""),SUMPRODUCT(--('Master Stock'!$D$2:$D$1000&lt;&gt;""),--('Master Stock'!$H$2:$H$1000="OCCUPIED"),--ISNUMBER('Master Stock'!$J$2:$J$1000),--('Master Stock'!$K$2:$K$1000=""),--('Master Stock'!$J$2:$J$1000&lt;'Master Stock'!J745))+COUNTIFS('Master Stock'!$J$2:J745,'Master Stock'!J745,'Master Stock'!$D$2:D745,"&lt;&gt;",'Master Stock'!$H$2:H745,"OCCUPIED",'Master Stock'!$K$2:K745,""),"")</f>
        <v/>
      </c>
      <c r="V745" s="149">
        <f>IF(AND('Master Stock'!D745&lt;&gt;"",'Master Stock'!H745="OCCUPIED",ISNUMBER('Master Stock'!L745),'Master Stock'!L745&lt;TODAY()-30),SUMPRODUCT(--('Master Stock'!$D$2:$D$1000&lt;&gt;""),--('Master Stock'!$H$2:$H$1000="OCCUPIED"),--ISNUMBER('Master Stock'!$L$2:$L$1000),--('Master Stock'!$L$2:$L$1000&lt;TODAY()-30),--('Master Stock'!$L$2:$L$1000&lt;'Master Stock'!L745))+COUNTIFS('Master Stock'!$L$2:L745,'Master Stock'!L745,'Master Stock'!$D$2:D745,"&lt;&gt;",'Master Stock'!$H$2:H745,"OCCUPIED"),"")</f>
        <v/>
      </c>
      <c r="W745" s="149" t="n"/>
      <c r="X745" s="149" t="n"/>
      <c r="Y745" s="149" t="n"/>
      <c r="Z745" s="149" t="n"/>
    </row>
    <row r="746" ht="15.75" customHeight="1" s="236">
      <c r="A746" s="148" t="n"/>
      <c r="B746" s="148" t="n"/>
      <c r="C746" s="124" t="n"/>
      <c r="D746" s="148" t="n"/>
      <c r="E746" s="148" t="n"/>
      <c r="F746" s="148" t="n"/>
      <c r="G746" s="124" t="n"/>
      <c r="H746" s="148" t="n"/>
      <c r="I746" s="148" t="n"/>
      <c r="J746" s="148" t="n"/>
      <c r="K746" s="148" t="n"/>
      <c r="L746" s="148" t="n"/>
      <c r="M746" s="148" t="n"/>
      <c r="N746" s="148" t="n"/>
      <c r="O746" s="148" t="n"/>
      <c r="P746" s="148" t="n"/>
      <c r="Q746" s="148" t="n"/>
      <c r="R746" s="148" t="n"/>
      <c r="S746" s="148" t="n"/>
      <c r="T746" s="148" t="n"/>
      <c r="U746" s="149">
        <f>IF(AND('Master Stock'!D746&lt;&gt;"",'Master Stock'!H746="OCCUPIED",ISNUMBER('Master Stock'!J746),'Master Stock'!K746=""),SUMPRODUCT(--('Master Stock'!$D$2:$D$1000&lt;&gt;""),--('Master Stock'!$H$2:$H$1000="OCCUPIED"),--ISNUMBER('Master Stock'!$J$2:$J$1000),--('Master Stock'!$K$2:$K$1000=""),--('Master Stock'!$J$2:$J$1000&lt;'Master Stock'!J746))+COUNTIFS('Master Stock'!$J$2:J746,'Master Stock'!J746,'Master Stock'!$D$2:D746,"&lt;&gt;",'Master Stock'!$H$2:H746,"OCCUPIED",'Master Stock'!$K$2:K746,""),"")</f>
        <v/>
      </c>
      <c r="V746" s="149">
        <f>IF(AND('Master Stock'!D746&lt;&gt;"",'Master Stock'!H746="OCCUPIED",ISNUMBER('Master Stock'!L746),'Master Stock'!L746&lt;TODAY()-30),SUMPRODUCT(--('Master Stock'!$D$2:$D$1000&lt;&gt;""),--('Master Stock'!$H$2:$H$1000="OCCUPIED"),--ISNUMBER('Master Stock'!$L$2:$L$1000),--('Master Stock'!$L$2:$L$1000&lt;TODAY()-30),--('Master Stock'!$L$2:$L$1000&lt;'Master Stock'!L746))+COUNTIFS('Master Stock'!$L$2:L746,'Master Stock'!L746,'Master Stock'!$D$2:D746,"&lt;&gt;",'Master Stock'!$H$2:H746,"OCCUPIED"),"")</f>
        <v/>
      </c>
      <c r="W746" s="149" t="n"/>
      <c r="X746" s="149" t="n"/>
      <c r="Y746" s="149" t="n"/>
      <c r="Z746" s="149" t="n"/>
    </row>
    <row r="747" ht="15.75" customHeight="1" s="236">
      <c r="A747" s="148" t="n"/>
      <c r="B747" s="148" t="n"/>
      <c r="C747" s="124" t="n"/>
      <c r="D747" s="148" t="n"/>
      <c r="E747" s="148" t="n"/>
      <c r="F747" s="148" t="n"/>
      <c r="G747" s="124" t="n"/>
      <c r="H747" s="148" t="n"/>
      <c r="I747" s="148" t="n"/>
      <c r="J747" s="148" t="n"/>
      <c r="K747" s="148" t="n"/>
      <c r="L747" s="148" t="n"/>
      <c r="M747" s="148" t="n"/>
      <c r="N747" s="148" t="n"/>
      <c r="O747" s="148" t="n"/>
      <c r="P747" s="148" t="n"/>
      <c r="Q747" s="148" t="n"/>
      <c r="R747" s="148" t="n"/>
      <c r="S747" s="148" t="n"/>
      <c r="T747" s="148" t="n"/>
      <c r="U747" s="149">
        <f>IF(AND('Master Stock'!D747&lt;&gt;"",'Master Stock'!H747="OCCUPIED",ISNUMBER('Master Stock'!J747),'Master Stock'!K747=""),SUMPRODUCT(--('Master Stock'!$D$2:$D$1000&lt;&gt;""),--('Master Stock'!$H$2:$H$1000="OCCUPIED"),--ISNUMBER('Master Stock'!$J$2:$J$1000),--('Master Stock'!$K$2:$K$1000=""),--('Master Stock'!$J$2:$J$1000&lt;'Master Stock'!J747))+COUNTIFS('Master Stock'!$J$2:J747,'Master Stock'!J747,'Master Stock'!$D$2:D747,"&lt;&gt;",'Master Stock'!$H$2:H747,"OCCUPIED",'Master Stock'!$K$2:K747,""),"")</f>
        <v/>
      </c>
      <c r="V747" s="149">
        <f>IF(AND('Master Stock'!D747&lt;&gt;"",'Master Stock'!H747="OCCUPIED",ISNUMBER('Master Stock'!L747),'Master Stock'!L747&lt;TODAY()-30),SUMPRODUCT(--('Master Stock'!$D$2:$D$1000&lt;&gt;""),--('Master Stock'!$H$2:$H$1000="OCCUPIED"),--ISNUMBER('Master Stock'!$L$2:$L$1000),--('Master Stock'!$L$2:$L$1000&lt;TODAY()-30),--('Master Stock'!$L$2:$L$1000&lt;'Master Stock'!L747))+COUNTIFS('Master Stock'!$L$2:L747,'Master Stock'!L747,'Master Stock'!$D$2:D747,"&lt;&gt;",'Master Stock'!$H$2:H747,"OCCUPIED"),"")</f>
        <v/>
      </c>
      <c r="W747" s="149" t="n"/>
      <c r="X747" s="149" t="n"/>
      <c r="Y747" s="149" t="n"/>
      <c r="Z747" s="149" t="n"/>
    </row>
    <row r="748" ht="15.75" customHeight="1" s="236">
      <c r="A748" s="148" t="n"/>
      <c r="B748" s="148" t="n"/>
      <c r="C748" s="124" t="n"/>
      <c r="D748" s="148" t="n"/>
      <c r="E748" s="148" t="n"/>
      <c r="F748" s="148" t="n"/>
      <c r="G748" s="124" t="n"/>
      <c r="H748" s="148" t="n"/>
      <c r="I748" s="148" t="n"/>
      <c r="J748" s="148" t="n"/>
      <c r="K748" s="148" t="n"/>
      <c r="L748" s="148" t="n"/>
      <c r="M748" s="148" t="n"/>
      <c r="N748" s="148" t="n"/>
      <c r="O748" s="148" t="n"/>
      <c r="P748" s="148" t="n"/>
      <c r="Q748" s="148" t="n"/>
      <c r="R748" s="148" t="n"/>
      <c r="S748" s="148" t="n"/>
      <c r="T748" s="148" t="n"/>
      <c r="U748" s="149">
        <f>IF(AND('Master Stock'!D748&lt;&gt;"",'Master Stock'!H748="OCCUPIED",ISNUMBER('Master Stock'!J748),'Master Stock'!K748=""),SUMPRODUCT(--('Master Stock'!$D$2:$D$1000&lt;&gt;""),--('Master Stock'!$H$2:$H$1000="OCCUPIED"),--ISNUMBER('Master Stock'!$J$2:$J$1000),--('Master Stock'!$K$2:$K$1000=""),--('Master Stock'!$J$2:$J$1000&lt;'Master Stock'!J748))+COUNTIFS('Master Stock'!$J$2:J748,'Master Stock'!J748,'Master Stock'!$D$2:D748,"&lt;&gt;",'Master Stock'!$H$2:H748,"OCCUPIED",'Master Stock'!$K$2:K748,""),"")</f>
        <v/>
      </c>
      <c r="V748" s="149">
        <f>IF(AND('Master Stock'!D748&lt;&gt;"",'Master Stock'!H748="OCCUPIED",ISNUMBER('Master Stock'!L748),'Master Stock'!L748&lt;TODAY()-30),SUMPRODUCT(--('Master Stock'!$D$2:$D$1000&lt;&gt;""),--('Master Stock'!$H$2:$H$1000="OCCUPIED"),--ISNUMBER('Master Stock'!$L$2:$L$1000),--('Master Stock'!$L$2:$L$1000&lt;TODAY()-30),--('Master Stock'!$L$2:$L$1000&lt;'Master Stock'!L748))+COUNTIFS('Master Stock'!$L$2:L748,'Master Stock'!L748,'Master Stock'!$D$2:D748,"&lt;&gt;",'Master Stock'!$H$2:H748,"OCCUPIED"),"")</f>
        <v/>
      </c>
      <c r="W748" s="149" t="n"/>
      <c r="X748" s="149" t="n"/>
      <c r="Y748" s="149" t="n"/>
      <c r="Z748" s="149" t="n"/>
    </row>
    <row r="749" ht="15.75" customHeight="1" s="236">
      <c r="A749" s="148" t="n"/>
      <c r="B749" s="148" t="n"/>
      <c r="C749" s="124" t="n"/>
      <c r="D749" s="148" t="n"/>
      <c r="E749" s="148" t="n"/>
      <c r="F749" s="148" t="n"/>
      <c r="G749" s="124" t="n"/>
      <c r="H749" s="148" t="n"/>
      <c r="I749" s="148" t="n"/>
      <c r="J749" s="148" t="n"/>
      <c r="K749" s="148" t="n"/>
      <c r="L749" s="148" t="n"/>
      <c r="M749" s="148" t="n"/>
      <c r="N749" s="148" t="n"/>
      <c r="O749" s="148" t="n"/>
      <c r="P749" s="148" t="n"/>
      <c r="Q749" s="148" t="n"/>
      <c r="R749" s="148" t="n"/>
      <c r="S749" s="148" t="n"/>
      <c r="T749" s="148" t="n"/>
      <c r="U749" s="149">
        <f>IF(AND('Master Stock'!D749&lt;&gt;"",'Master Stock'!H749="OCCUPIED",ISNUMBER('Master Stock'!J749),'Master Stock'!K749=""),SUMPRODUCT(--('Master Stock'!$D$2:$D$1000&lt;&gt;""),--('Master Stock'!$H$2:$H$1000="OCCUPIED"),--ISNUMBER('Master Stock'!$J$2:$J$1000),--('Master Stock'!$K$2:$K$1000=""),--('Master Stock'!$J$2:$J$1000&lt;'Master Stock'!J749))+COUNTIFS('Master Stock'!$J$2:J749,'Master Stock'!J749,'Master Stock'!$D$2:D749,"&lt;&gt;",'Master Stock'!$H$2:H749,"OCCUPIED",'Master Stock'!$K$2:K749,""),"")</f>
        <v/>
      </c>
      <c r="V749" s="149">
        <f>IF(AND('Master Stock'!D749&lt;&gt;"",'Master Stock'!H749="OCCUPIED",ISNUMBER('Master Stock'!L749),'Master Stock'!L749&lt;TODAY()-30),SUMPRODUCT(--('Master Stock'!$D$2:$D$1000&lt;&gt;""),--('Master Stock'!$H$2:$H$1000="OCCUPIED"),--ISNUMBER('Master Stock'!$L$2:$L$1000),--('Master Stock'!$L$2:$L$1000&lt;TODAY()-30),--('Master Stock'!$L$2:$L$1000&lt;'Master Stock'!L749))+COUNTIFS('Master Stock'!$L$2:L749,'Master Stock'!L749,'Master Stock'!$D$2:D749,"&lt;&gt;",'Master Stock'!$H$2:H749,"OCCUPIED"),"")</f>
        <v/>
      </c>
      <c r="W749" s="149" t="n"/>
      <c r="X749" s="149" t="n"/>
      <c r="Y749" s="149" t="n"/>
      <c r="Z749" s="149" t="n"/>
    </row>
    <row r="750" ht="15.75" customHeight="1" s="236">
      <c r="A750" s="148" t="n"/>
      <c r="B750" s="148" t="n"/>
      <c r="C750" s="124" t="n"/>
      <c r="D750" s="148" t="n"/>
      <c r="E750" s="148" t="n"/>
      <c r="F750" s="148" t="n"/>
      <c r="G750" s="124" t="n"/>
      <c r="H750" s="148" t="n"/>
      <c r="I750" s="148" t="n"/>
      <c r="J750" s="148" t="n"/>
      <c r="K750" s="148" t="n"/>
      <c r="L750" s="148" t="n"/>
      <c r="M750" s="148" t="n"/>
      <c r="N750" s="148" t="n"/>
      <c r="O750" s="148" t="n"/>
      <c r="P750" s="148" t="n"/>
      <c r="Q750" s="148" t="n"/>
      <c r="R750" s="148" t="n"/>
      <c r="S750" s="148" t="n"/>
      <c r="T750" s="148" t="n"/>
      <c r="U750" s="149">
        <f>IF(AND('Master Stock'!D750&lt;&gt;"",'Master Stock'!H750="OCCUPIED",ISNUMBER('Master Stock'!J750),'Master Stock'!K750=""),SUMPRODUCT(--('Master Stock'!$D$2:$D$1000&lt;&gt;""),--('Master Stock'!$H$2:$H$1000="OCCUPIED"),--ISNUMBER('Master Stock'!$J$2:$J$1000),--('Master Stock'!$K$2:$K$1000=""),--('Master Stock'!$J$2:$J$1000&lt;'Master Stock'!J750))+COUNTIFS('Master Stock'!$J$2:J750,'Master Stock'!J750,'Master Stock'!$D$2:D750,"&lt;&gt;",'Master Stock'!$H$2:H750,"OCCUPIED",'Master Stock'!$K$2:K750,""),"")</f>
        <v/>
      </c>
      <c r="V750" s="149">
        <f>IF(AND('Master Stock'!D750&lt;&gt;"",'Master Stock'!H750="OCCUPIED",ISNUMBER('Master Stock'!L750),'Master Stock'!L750&lt;TODAY()-30),SUMPRODUCT(--('Master Stock'!$D$2:$D$1000&lt;&gt;""),--('Master Stock'!$H$2:$H$1000="OCCUPIED"),--ISNUMBER('Master Stock'!$L$2:$L$1000),--('Master Stock'!$L$2:$L$1000&lt;TODAY()-30),--('Master Stock'!$L$2:$L$1000&lt;'Master Stock'!L750))+COUNTIFS('Master Stock'!$L$2:L750,'Master Stock'!L750,'Master Stock'!$D$2:D750,"&lt;&gt;",'Master Stock'!$H$2:H750,"OCCUPIED"),"")</f>
        <v/>
      </c>
      <c r="W750" s="149" t="n"/>
      <c r="X750" s="149" t="n"/>
      <c r="Y750" s="149" t="n"/>
      <c r="Z750" s="149" t="n"/>
    </row>
    <row r="751" ht="15.75" customHeight="1" s="236">
      <c r="A751" s="148" t="n"/>
      <c r="B751" s="148" t="n"/>
      <c r="C751" s="124" t="n"/>
      <c r="D751" s="148" t="n"/>
      <c r="E751" s="148" t="n"/>
      <c r="F751" s="148" t="n"/>
      <c r="G751" s="124" t="n"/>
      <c r="H751" s="148" t="n"/>
      <c r="I751" s="148" t="n"/>
      <c r="J751" s="148" t="n"/>
      <c r="K751" s="148" t="n"/>
      <c r="L751" s="148" t="n"/>
      <c r="M751" s="148" t="n"/>
      <c r="N751" s="148" t="n"/>
      <c r="O751" s="148" t="n"/>
      <c r="P751" s="148" t="n"/>
      <c r="Q751" s="148" t="n"/>
      <c r="R751" s="148" t="n"/>
      <c r="S751" s="148" t="n"/>
      <c r="T751" s="148" t="n"/>
      <c r="U751" s="149">
        <f>IF(AND('Master Stock'!D751&lt;&gt;"",'Master Stock'!H751="OCCUPIED",ISNUMBER('Master Stock'!J751),'Master Stock'!K751=""),SUMPRODUCT(--('Master Stock'!$D$2:$D$1000&lt;&gt;""),--('Master Stock'!$H$2:$H$1000="OCCUPIED"),--ISNUMBER('Master Stock'!$J$2:$J$1000),--('Master Stock'!$K$2:$K$1000=""),--('Master Stock'!$J$2:$J$1000&lt;'Master Stock'!J751))+COUNTIFS('Master Stock'!$J$2:J751,'Master Stock'!J751,'Master Stock'!$D$2:D751,"&lt;&gt;",'Master Stock'!$H$2:H751,"OCCUPIED",'Master Stock'!$K$2:K751,""),"")</f>
        <v/>
      </c>
      <c r="V751" s="149">
        <f>IF(AND('Master Stock'!D751&lt;&gt;"",'Master Stock'!H751="OCCUPIED",ISNUMBER('Master Stock'!L751),'Master Stock'!L751&lt;TODAY()-30),SUMPRODUCT(--('Master Stock'!$D$2:$D$1000&lt;&gt;""),--('Master Stock'!$H$2:$H$1000="OCCUPIED"),--ISNUMBER('Master Stock'!$L$2:$L$1000),--('Master Stock'!$L$2:$L$1000&lt;TODAY()-30),--('Master Stock'!$L$2:$L$1000&lt;'Master Stock'!L751))+COUNTIFS('Master Stock'!$L$2:L751,'Master Stock'!L751,'Master Stock'!$D$2:D751,"&lt;&gt;",'Master Stock'!$H$2:H751,"OCCUPIED"),"")</f>
        <v/>
      </c>
      <c r="W751" s="149" t="n"/>
      <c r="X751" s="149" t="n"/>
      <c r="Y751" s="149" t="n"/>
      <c r="Z751" s="149" t="n"/>
    </row>
    <row r="752" ht="15.75" customHeight="1" s="236">
      <c r="A752" s="148" t="n"/>
      <c r="B752" s="148" t="n"/>
      <c r="C752" s="124" t="n"/>
      <c r="D752" s="148" t="n"/>
      <c r="E752" s="148" t="n"/>
      <c r="F752" s="148" t="n"/>
      <c r="G752" s="124" t="n"/>
      <c r="H752" s="148" t="n"/>
      <c r="I752" s="148" t="n"/>
      <c r="J752" s="148" t="n"/>
      <c r="K752" s="148" t="n"/>
      <c r="L752" s="148" t="n"/>
      <c r="M752" s="148" t="n"/>
      <c r="N752" s="148" t="n"/>
      <c r="O752" s="148" t="n"/>
      <c r="P752" s="148" t="n"/>
      <c r="Q752" s="148" t="n"/>
      <c r="R752" s="148" t="n"/>
      <c r="S752" s="148" t="n"/>
      <c r="T752" s="148" t="n"/>
      <c r="U752" s="149">
        <f>IF(AND('Master Stock'!D752&lt;&gt;"",'Master Stock'!H752="OCCUPIED",ISNUMBER('Master Stock'!J752),'Master Stock'!K752=""),SUMPRODUCT(--('Master Stock'!$D$2:$D$1000&lt;&gt;""),--('Master Stock'!$H$2:$H$1000="OCCUPIED"),--ISNUMBER('Master Stock'!$J$2:$J$1000),--('Master Stock'!$K$2:$K$1000=""),--('Master Stock'!$J$2:$J$1000&lt;'Master Stock'!J752))+COUNTIFS('Master Stock'!$J$2:J752,'Master Stock'!J752,'Master Stock'!$D$2:D752,"&lt;&gt;",'Master Stock'!$H$2:H752,"OCCUPIED",'Master Stock'!$K$2:K752,""),"")</f>
        <v/>
      </c>
      <c r="V752" s="149">
        <f>IF(AND('Master Stock'!D752&lt;&gt;"",'Master Stock'!H752="OCCUPIED",ISNUMBER('Master Stock'!L752),'Master Stock'!L752&lt;TODAY()-30),SUMPRODUCT(--('Master Stock'!$D$2:$D$1000&lt;&gt;""),--('Master Stock'!$H$2:$H$1000="OCCUPIED"),--ISNUMBER('Master Stock'!$L$2:$L$1000),--('Master Stock'!$L$2:$L$1000&lt;TODAY()-30),--('Master Stock'!$L$2:$L$1000&lt;'Master Stock'!L752))+COUNTIFS('Master Stock'!$L$2:L752,'Master Stock'!L752,'Master Stock'!$D$2:D752,"&lt;&gt;",'Master Stock'!$H$2:H752,"OCCUPIED"),"")</f>
        <v/>
      </c>
      <c r="W752" s="149" t="n"/>
      <c r="X752" s="149" t="n"/>
      <c r="Y752" s="149" t="n"/>
      <c r="Z752" s="149" t="n"/>
    </row>
    <row r="753" ht="15.75" customHeight="1" s="236">
      <c r="A753" s="148" t="n"/>
      <c r="B753" s="148" t="n"/>
      <c r="C753" s="124" t="n"/>
      <c r="D753" s="148" t="n"/>
      <c r="E753" s="148" t="n"/>
      <c r="F753" s="148" t="n"/>
      <c r="G753" s="124" t="n"/>
      <c r="H753" s="148" t="n"/>
      <c r="I753" s="148" t="n"/>
      <c r="J753" s="148" t="n"/>
      <c r="K753" s="148" t="n"/>
      <c r="L753" s="148" t="n"/>
      <c r="M753" s="148" t="n"/>
      <c r="N753" s="148" t="n"/>
      <c r="O753" s="148" t="n"/>
      <c r="P753" s="148" t="n"/>
      <c r="Q753" s="148" t="n"/>
      <c r="R753" s="148" t="n"/>
      <c r="S753" s="148" t="n"/>
      <c r="T753" s="148" t="n"/>
      <c r="U753" s="149">
        <f>IF(AND('Master Stock'!D753&lt;&gt;"",'Master Stock'!H753="OCCUPIED",ISNUMBER('Master Stock'!J753),'Master Stock'!K753=""),SUMPRODUCT(--('Master Stock'!$D$2:$D$1000&lt;&gt;""),--('Master Stock'!$H$2:$H$1000="OCCUPIED"),--ISNUMBER('Master Stock'!$J$2:$J$1000),--('Master Stock'!$K$2:$K$1000=""),--('Master Stock'!$J$2:$J$1000&lt;'Master Stock'!J753))+COUNTIFS('Master Stock'!$J$2:J753,'Master Stock'!J753,'Master Stock'!$D$2:D753,"&lt;&gt;",'Master Stock'!$H$2:H753,"OCCUPIED",'Master Stock'!$K$2:K753,""),"")</f>
        <v/>
      </c>
      <c r="V753" s="149">
        <f>IF(AND('Master Stock'!D753&lt;&gt;"",'Master Stock'!H753="OCCUPIED",ISNUMBER('Master Stock'!L753),'Master Stock'!L753&lt;TODAY()-30),SUMPRODUCT(--('Master Stock'!$D$2:$D$1000&lt;&gt;""),--('Master Stock'!$H$2:$H$1000="OCCUPIED"),--ISNUMBER('Master Stock'!$L$2:$L$1000),--('Master Stock'!$L$2:$L$1000&lt;TODAY()-30),--('Master Stock'!$L$2:$L$1000&lt;'Master Stock'!L753))+COUNTIFS('Master Stock'!$L$2:L753,'Master Stock'!L753,'Master Stock'!$D$2:D753,"&lt;&gt;",'Master Stock'!$H$2:H753,"OCCUPIED"),"")</f>
        <v/>
      </c>
      <c r="W753" s="149" t="n"/>
      <c r="X753" s="149" t="n"/>
      <c r="Y753" s="149" t="n"/>
      <c r="Z753" s="149" t="n"/>
    </row>
    <row r="754" ht="15.75" customHeight="1" s="236">
      <c r="A754" s="148" t="n"/>
      <c r="B754" s="148" t="n"/>
      <c r="C754" s="124" t="n"/>
      <c r="D754" s="148" t="n"/>
      <c r="E754" s="148" t="n"/>
      <c r="F754" s="148" t="n"/>
      <c r="G754" s="124" t="n"/>
      <c r="H754" s="148" t="n"/>
      <c r="I754" s="148" t="n"/>
      <c r="J754" s="148" t="n"/>
      <c r="K754" s="148" t="n"/>
      <c r="L754" s="148" t="n"/>
      <c r="M754" s="148" t="n"/>
      <c r="N754" s="148" t="n"/>
      <c r="O754" s="148" t="n"/>
      <c r="P754" s="148" t="n"/>
      <c r="Q754" s="148" t="n"/>
      <c r="R754" s="148" t="n"/>
      <c r="S754" s="148" t="n"/>
      <c r="T754" s="148" t="n"/>
      <c r="U754" s="149">
        <f>IF(AND('Master Stock'!D754&lt;&gt;"",'Master Stock'!H754="OCCUPIED",ISNUMBER('Master Stock'!J754),'Master Stock'!K754=""),SUMPRODUCT(--('Master Stock'!$D$2:$D$1000&lt;&gt;""),--('Master Stock'!$H$2:$H$1000="OCCUPIED"),--ISNUMBER('Master Stock'!$J$2:$J$1000),--('Master Stock'!$K$2:$K$1000=""),--('Master Stock'!$J$2:$J$1000&lt;'Master Stock'!J754))+COUNTIFS('Master Stock'!$J$2:J754,'Master Stock'!J754,'Master Stock'!$D$2:D754,"&lt;&gt;",'Master Stock'!$H$2:H754,"OCCUPIED",'Master Stock'!$K$2:K754,""),"")</f>
        <v/>
      </c>
      <c r="V754" s="149">
        <f>IF(AND('Master Stock'!D754&lt;&gt;"",'Master Stock'!H754="OCCUPIED",ISNUMBER('Master Stock'!L754),'Master Stock'!L754&lt;TODAY()-30),SUMPRODUCT(--('Master Stock'!$D$2:$D$1000&lt;&gt;""),--('Master Stock'!$H$2:$H$1000="OCCUPIED"),--ISNUMBER('Master Stock'!$L$2:$L$1000),--('Master Stock'!$L$2:$L$1000&lt;TODAY()-30),--('Master Stock'!$L$2:$L$1000&lt;'Master Stock'!L754))+COUNTIFS('Master Stock'!$L$2:L754,'Master Stock'!L754,'Master Stock'!$D$2:D754,"&lt;&gt;",'Master Stock'!$H$2:H754,"OCCUPIED"),"")</f>
        <v/>
      </c>
      <c r="W754" s="149" t="n"/>
      <c r="X754" s="149" t="n"/>
      <c r="Y754" s="149" t="n"/>
      <c r="Z754" s="149" t="n"/>
    </row>
    <row r="755" ht="15.75" customHeight="1" s="236">
      <c r="A755" s="148" t="n"/>
      <c r="B755" s="148" t="n"/>
      <c r="C755" s="124" t="n"/>
      <c r="D755" s="148" t="n"/>
      <c r="E755" s="148" t="n"/>
      <c r="F755" s="148" t="n"/>
      <c r="G755" s="124" t="n"/>
      <c r="H755" s="148" t="n"/>
      <c r="I755" s="148" t="n"/>
      <c r="J755" s="148" t="n"/>
      <c r="K755" s="148" t="n"/>
      <c r="L755" s="148" t="n"/>
      <c r="M755" s="148" t="n"/>
      <c r="N755" s="148" t="n"/>
      <c r="O755" s="148" t="n"/>
      <c r="P755" s="148" t="n"/>
      <c r="Q755" s="148" t="n"/>
      <c r="R755" s="148" t="n"/>
      <c r="S755" s="148" t="n"/>
      <c r="T755" s="148" t="n"/>
      <c r="U755" s="149">
        <f>IF(AND('Master Stock'!D755&lt;&gt;"",'Master Stock'!H755="OCCUPIED",ISNUMBER('Master Stock'!J755),'Master Stock'!K755=""),SUMPRODUCT(--('Master Stock'!$D$2:$D$1000&lt;&gt;""),--('Master Stock'!$H$2:$H$1000="OCCUPIED"),--ISNUMBER('Master Stock'!$J$2:$J$1000),--('Master Stock'!$K$2:$K$1000=""),--('Master Stock'!$J$2:$J$1000&lt;'Master Stock'!J755))+COUNTIFS('Master Stock'!$J$2:J755,'Master Stock'!J755,'Master Stock'!$D$2:D755,"&lt;&gt;",'Master Stock'!$H$2:H755,"OCCUPIED",'Master Stock'!$K$2:K755,""),"")</f>
        <v/>
      </c>
      <c r="V755" s="149">
        <f>IF(AND('Master Stock'!D755&lt;&gt;"",'Master Stock'!H755="OCCUPIED",ISNUMBER('Master Stock'!L755),'Master Stock'!L755&lt;TODAY()-30),SUMPRODUCT(--('Master Stock'!$D$2:$D$1000&lt;&gt;""),--('Master Stock'!$H$2:$H$1000="OCCUPIED"),--ISNUMBER('Master Stock'!$L$2:$L$1000),--('Master Stock'!$L$2:$L$1000&lt;TODAY()-30),--('Master Stock'!$L$2:$L$1000&lt;'Master Stock'!L755))+COUNTIFS('Master Stock'!$L$2:L755,'Master Stock'!L755,'Master Stock'!$D$2:D755,"&lt;&gt;",'Master Stock'!$H$2:H755,"OCCUPIED"),"")</f>
        <v/>
      </c>
      <c r="W755" s="149" t="n"/>
      <c r="X755" s="149" t="n"/>
      <c r="Y755" s="149" t="n"/>
      <c r="Z755" s="149" t="n"/>
    </row>
    <row r="756" ht="15.75" customHeight="1" s="236">
      <c r="A756" s="148" t="n"/>
      <c r="B756" s="148" t="n"/>
      <c r="C756" s="124" t="n"/>
      <c r="D756" s="148" t="n"/>
      <c r="E756" s="148" t="n"/>
      <c r="F756" s="148" t="n"/>
      <c r="G756" s="124" t="n"/>
      <c r="H756" s="148" t="n"/>
      <c r="I756" s="148" t="n"/>
      <c r="J756" s="148" t="n"/>
      <c r="K756" s="148" t="n"/>
      <c r="L756" s="148" t="n"/>
      <c r="M756" s="148" t="n"/>
      <c r="N756" s="148" t="n"/>
      <c r="O756" s="148" t="n"/>
      <c r="P756" s="148" t="n"/>
      <c r="Q756" s="148" t="n"/>
      <c r="R756" s="148" t="n"/>
      <c r="S756" s="148" t="n"/>
      <c r="T756" s="148" t="n"/>
      <c r="U756" s="149">
        <f>IF(AND('Master Stock'!D756&lt;&gt;"",'Master Stock'!H756="OCCUPIED",ISNUMBER('Master Stock'!J756),'Master Stock'!K756=""),SUMPRODUCT(--('Master Stock'!$D$2:$D$1000&lt;&gt;""),--('Master Stock'!$H$2:$H$1000="OCCUPIED"),--ISNUMBER('Master Stock'!$J$2:$J$1000),--('Master Stock'!$K$2:$K$1000=""),--('Master Stock'!$J$2:$J$1000&lt;'Master Stock'!J756))+COUNTIFS('Master Stock'!$J$2:J756,'Master Stock'!J756,'Master Stock'!$D$2:D756,"&lt;&gt;",'Master Stock'!$H$2:H756,"OCCUPIED",'Master Stock'!$K$2:K756,""),"")</f>
        <v/>
      </c>
      <c r="V756" s="149">
        <f>IF(AND('Master Stock'!D756&lt;&gt;"",'Master Stock'!H756="OCCUPIED",ISNUMBER('Master Stock'!L756),'Master Stock'!L756&lt;TODAY()-30),SUMPRODUCT(--('Master Stock'!$D$2:$D$1000&lt;&gt;""),--('Master Stock'!$H$2:$H$1000="OCCUPIED"),--ISNUMBER('Master Stock'!$L$2:$L$1000),--('Master Stock'!$L$2:$L$1000&lt;TODAY()-30),--('Master Stock'!$L$2:$L$1000&lt;'Master Stock'!L756))+COUNTIFS('Master Stock'!$L$2:L756,'Master Stock'!L756,'Master Stock'!$D$2:D756,"&lt;&gt;",'Master Stock'!$H$2:H756,"OCCUPIED"),"")</f>
        <v/>
      </c>
      <c r="W756" s="149" t="n"/>
      <c r="X756" s="149" t="n"/>
      <c r="Y756" s="149" t="n"/>
      <c r="Z756" s="149" t="n"/>
    </row>
    <row r="757" ht="15.75" customHeight="1" s="236">
      <c r="A757" s="148" t="n"/>
      <c r="B757" s="148" t="n"/>
      <c r="C757" s="124" t="n"/>
      <c r="D757" s="148" t="n"/>
      <c r="E757" s="148" t="n"/>
      <c r="F757" s="148" t="n"/>
      <c r="G757" s="124" t="n"/>
      <c r="H757" s="148" t="n"/>
      <c r="I757" s="148" t="n"/>
      <c r="J757" s="148" t="n"/>
      <c r="K757" s="148" t="n"/>
      <c r="L757" s="148" t="n"/>
      <c r="M757" s="148" t="n"/>
      <c r="N757" s="148" t="n"/>
      <c r="O757" s="148" t="n"/>
      <c r="P757" s="148" t="n"/>
      <c r="Q757" s="148" t="n"/>
      <c r="R757" s="148" t="n"/>
      <c r="S757" s="148" t="n"/>
      <c r="T757" s="148" t="n"/>
      <c r="U757" s="149">
        <f>IF(AND('Master Stock'!D757&lt;&gt;"",'Master Stock'!H757="OCCUPIED",ISNUMBER('Master Stock'!J757),'Master Stock'!K757=""),SUMPRODUCT(--('Master Stock'!$D$2:$D$1000&lt;&gt;""),--('Master Stock'!$H$2:$H$1000="OCCUPIED"),--ISNUMBER('Master Stock'!$J$2:$J$1000),--('Master Stock'!$K$2:$K$1000=""),--('Master Stock'!$J$2:$J$1000&lt;'Master Stock'!J757))+COUNTIFS('Master Stock'!$J$2:J757,'Master Stock'!J757,'Master Stock'!$D$2:D757,"&lt;&gt;",'Master Stock'!$H$2:H757,"OCCUPIED",'Master Stock'!$K$2:K757,""),"")</f>
        <v/>
      </c>
      <c r="V757" s="149">
        <f>IF(AND('Master Stock'!D757&lt;&gt;"",'Master Stock'!H757="OCCUPIED",ISNUMBER('Master Stock'!L757),'Master Stock'!L757&lt;TODAY()-30),SUMPRODUCT(--('Master Stock'!$D$2:$D$1000&lt;&gt;""),--('Master Stock'!$H$2:$H$1000="OCCUPIED"),--ISNUMBER('Master Stock'!$L$2:$L$1000),--('Master Stock'!$L$2:$L$1000&lt;TODAY()-30),--('Master Stock'!$L$2:$L$1000&lt;'Master Stock'!L757))+COUNTIFS('Master Stock'!$L$2:L757,'Master Stock'!L757,'Master Stock'!$D$2:D757,"&lt;&gt;",'Master Stock'!$H$2:H757,"OCCUPIED"),"")</f>
        <v/>
      </c>
      <c r="W757" s="149" t="n"/>
      <c r="X757" s="149" t="n"/>
      <c r="Y757" s="149" t="n"/>
      <c r="Z757" s="149" t="n"/>
    </row>
    <row r="758" ht="15.75" customHeight="1" s="236">
      <c r="A758" s="148" t="n"/>
      <c r="B758" s="148" t="n"/>
      <c r="C758" s="124" t="n"/>
      <c r="D758" s="148" t="n"/>
      <c r="E758" s="148" t="n"/>
      <c r="F758" s="148" t="n"/>
      <c r="G758" s="124" t="n"/>
      <c r="H758" s="148" t="n"/>
      <c r="I758" s="148" t="n"/>
      <c r="J758" s="148" t="n"/>
      <c r="K758" s="148" t="n"/>
      <c r="L758" s="148" t="n"/>
      <c r="M758" s="148" t="n"/>
      <c r="N758" s="148" t="n"/>
      <c r="O758" s="148" t="n"/>
      <c r="P758" s="148" t="n"/>
      <c r="Q758" s="148" t="n"/>
      <c r="R758" s="148" t="n"/>
      <c r="S758" s="148" t="n"/>
      <c r="T758" s="148" t="n"/>
      <c r="U758" s="149">
        <f>IF(AND('Master Stock'!D758&lt;&gt;"",'Master Stock'!H758="OCCUPIED",ISNUMBER('Master Stock'!J758),'Master Stock'!K758=""),SUMPRODUCT(--('Master Stock'!$D$2:$D$1000&lt;&gt;""),--('Master Stock'!$H$2:$H$1000="OCCUPIED"),--ISNUMBER('Master Stock'!$J$2:$J$1000),--('Master Stock'!$K$2:$K$1000=""),--('Master Stock'!$J$2:$J$1000&lt;'Master Stock'!J758))+COUNTIFS('Master Stock'!$J$2:J758,'Master Stock'!J758,'Master Stock'!$D$2:D758,"&lt;&gt;",'Master Stock'!$H$2:H758,"OCCUPIED",'Master Stock'!$K$2:K758,""),"")</f>
        <v/>
      </c>
      <c r="V758" s="149">
        <f>IF(AND('Master Stock'!D758&lt;&gt;"",'Master Stock'!H758="OCCUPIED",ISNUMBER('Master Stock'!L758),'Master Stock'!L758&lt;TODAY()-30),SUMPRODUCT(--('Master Stock'!$D$2:$D$1000&lt;&gt;""),--('Master Stock'!$H$2:$H$1000="OCCUPIED"),--ISNUMBER('Master Stock'!$L$2:$L$1000),--('Master Stock'!$L$2:$L$1000&lt;TODAY()-30),--('Master Stock'!$L$2:$L$1000&lt;'Master Stock'!L758))+COUNTIFS('Master Stock'!$L$2:L758,'Master Stock'!L758,'Master Stock'!$D$2:D758,"&lt;&gt;",'Master Stock'!$H$2:H758,"OCCUPIED"),"")</f>
        <v/>
      </c>
      <c r="W758" s="149" t="n"/>
      <c r="X758" s="149" t="n"/>
      <c r="Y758" s="149" t="n"/>
      <c r="Z758" s="149" t="n"/>
    </row>
    <row r="759" ht="15.75" customHeight="1" s="236">
      <c r="A759" s="148" t="n"/>
      <c r="B759" s="148" t="n"/>
      <c r="C759" s="124" t="n"/>
      <c r="D759" s="148" t="n"/>
      <c r="E759" s="148" t="n"/>
      <c r="F759" s="148" t="n"/>
      <c r="G759" s="124" t="n"/>
      <c r="H759" s="148" t="n"/>
      <c r="I759" s="148" t="n"/>
      <c r="J759" s="148" t="n"/>
      <c r="K759" s="148" t="n"/>
      <c r="L759" s="148" t="n"/>
      <c r="M759" s="148" t="n"/>
      <c r="N759" s="148" t="n"/>
      <c r="O759" s="148" t="n"/>
      <c r="P759" s="148" t="n"/>
      <c r="Q759" s="148" t="n"/>
      <c r="R759" s="148" t="n"/>
      <c r="S759" s="148" t="n"/>
      <c r="T759" s="148" t="n"/>
      <c r="U759" s="149">
        <f>IF(AND('Master Stock'!D759&lt;&gt;"",'Master Stock'!H759="OCCUPIED",ISNUMBER('Master Stock'!J759),'Master Stock'!K759=""),SUMPRODUCT(--('Master Stock'!$D$2:$D$1000&lt;&gt;""),--('Master Stock'!$H$2:$H$1000="OCCUPIED"),--ISNUMBER('Master Stock'!$J$2:$J$1000),--('Master Stock'!$K$2:$K$1000=""),--('Master Stock'!$J$2:$J$1000&lt;'Master Stock'!J759))+COUNTIFS('Master Stock'!$J$2:J759,'Master Stock'!J759,'Master Stock'!$D$2:D759,"&lt;&gt;",'Master Stock'!$H$2:H759,"OCCUPIED",'Master Stock'!$K$2:K759,""),"")</f>
        <v/>
      </c>
      <c r="V759" s="149">
        <f>IF(AND('Master Stock'!D759&lt;&gt;"",'Master Stock'!H759="OCCUPIED",ISNUMBER('Master Stock'!L759),'Master Stock'!L759&lt;TODAY()-30),SUMPRODUCT(--('Master Stock'!$D$2:$D$1000&lt;&gt;""),--('Master Stock'!$H$2:$H$1000="OCCUPIED"),--ISNUMBER('Master Stock'!$L$2:$L$1000),--('Master Stock'!$L$2:$L$1000&lt;TODAY()-30),--('Master Stock'!$L$2:$L$1000&lt;'Master Stock'!L759))+COUNTIFS('Master Stock'!$L$2:L759,'Master Stock'!L759,'Master Stock'!$D$2:D759,"&lt;&gt;",'Master Stock'!$H$2:H759,"OCCUPIED"),"")</f>
        <v/>
      </c>
      <c r="W759" s="149" t="n"/>
      <c r="X759" s="149" t="n"/>
      <c r="Y759" s="149" t="n"/>
      <c r="Z759" s="149" t="n"/>
    </row>
    <row r="760" ht="15.75" customHeight="1" s="236">
      <c r="A760" s="148" t="n"/>
      <c r="B760" s="148" t="n"/>
      <c r="C760" s="124" t="n"/>
      <c r="D760" s="148" t="n"/>
      <c r="E760" s="148" t="n"/>
      <c r="F760" s="148" t="n"/>
      <c r="G760" s="124" t="n"/>
      <c r="H760" s="148" t="n"/>
      <c r="I760" s="148" t="n"/>
      <c r="J760" s="148" t="n"/>
      <c r="K760" s="148" t="n"/>
      <c r="L760" s="148" t="n"/>
      <c r="M760" s="148" t="n"/>
      <c r="N760" s="148" t="n"/>
      <c r="O760" s="148" t="n"/>
      <c r="P760" s="148" t="n"/>
      <c r="Q760" s="148" t="n"/>
      <c r="R760" s="148" t="n"/>
      <c r="S760" s="148" t="n"/>
      <c r="T760" s="148" t="n"/>
      <c r="U760" s="149">
        <f>IF(AND('Master Stock'!D760&lt;&gt;"",'Master Stock'!H760="OCCUPIED",ISNUMBER('Master Stock'!J760),'Master Stock'!K760=""),SUMPRODUCT(--('Master Stock'!$D$2:$D$1000&lt;&gt;""),--('Master Stock'!$H$2:$H$1000="OCCUPIED"),--ISNUMBER('Master Stock'!$J$2:$J$1000),--('Master Stock'!$K$2:$K$1000=""),--('Master Stock'!$J$2:$J$1000&lt;'Master Stock'!J760))+COUNTIFS('Master Stock'!$J$2:J760,'Master Stock'!J760,'Master Stock'!$D$2:D760,"&lt;&gt;",'Master Stock'!$H$2:H760,"OCCUPIED",'Master Stock'!$K$2:K760,""),"")</f>
        <v/>
      </c>
      <c r="V760" s="149">
        <f>IF(AND('Master Stock'!D760&lt;&gt;"",'Master Stock'!H760="OCCUPIED",ISNUMBER('Master Stock'!L760),'Master Stock'!L760&lt;TODAY()-30),SUMPRODUCT(--('Master Stock'!$D$2:$D$1000&lt;&gt;""),--('Master Stock'!$H$2:$H$1000="OCCUPIED"),--ISNUMBER('Master Stock'!$L$2:$L$1000),--('Master Stock'!$L$2:$L$1000&lt;TODAY()-30),--('Master Stock'!$L$2:$L$1000&lt;'Master Stock'!L760))+COUNTIFS('Master Stock'!$L$2:L760,'Master Stock'!L760,'Master Stock'!$D$2:D760,"&lt;&gt;",'Master Stock'!$H$2:H760,"OCCUPIED"),"")</f>
        <v/>
      </c>
      <c r="W760" s="149" t="n"/>
      <c r="X760" s="149" t="n"/>
      <c r="Y760" s="149" t="n"/>
      <c r="Z760" s="149" t="n"/>
    </row>
    <row r="761" ht="15.75" customHeight="1" s="236">
      <c r="A761" s="148" t="n"/>
      <c r="B761" s="148" t="n"/>
      <c r="C761" s="124" t="n"/>
      <c r="D761" s="148" t="n"/>
      <c r="E761" s="148" t="n"/>
      <c r="F761" s="148" t="n"/>
      <c r="G761" s="124" t="n"/>
      <c r="H761" s="148" t="n"/>
      <c r="I761" s="148" t="n"/>
      <c r="J761" s="148" t="n"/>
      <c r="K761" s="148" t="n"/>
      <c r="L761" s="148" t="n"/>
      <c r="M761" s="148" t="n"/>
      <c r="N761" s="148" t="n"/>
      <c r="O761" s="148" t="n"/>
      <c r="P761" s="148" t="n"/>
      <c r="Q761" s="148" t="n"/>
      <c r="R761" s="148" t="n"/>
      <c r="S761" s="148" t="n"/>
      <c r="T761" s="148" t="n"/>
      <c r="U761" s="149">
        <f>IF(AND('Master Stock'!D761&lt;&gt;"",'Master Stock'!H761="OCCUPIED",ISNUMBER('Master Stock'!J761),'Master Stock'!K761=""),SUMPRODUCT(--('Master Stock'!$D$2:$D$1000&lt;&gt;""),--('Master Stock'!$H$2:$H$1000="OCCUPIED"),--ISNUMBER('Master Stock'!$J$2:$J$1000),--('Master Stock'!$K$2:$K$1000=""),--('Master Stock'!$J$2:$J$1000&lt;'Master Stock'!J761))+COUNTIFS('Master Stock'!$J$2:J761,'Master Stock'!J761,'Master Stock'!$D$2:D761,"&lt;&gt;",'Master Stock'!$H$2:H761,"OCCUPIED",'Master Stock'!$K$2:K761,""),"")</f>
        <v/>
      </c>
      <c r="V761" s="149">
        <f>IF(AND('Master Stock'!D761&lt;&gt;"",'Master Stock'!H761="OCCUPIED",ISNUMBER('Master Stock'!L761),'Master Stock'!L761&lt;TODAY()-30),SUMPRODUCT(--('Master Stock'!$D$2:$D$1000&lt;&gt;""),--('Master Stock'!$H$2:$H$1000="OCCUPIED"),--ISNUMBER('Master Stock'!$L$2:$L$1000),--('Master Stock'!$L$2:$L$1000&lt;TODAY()-30),--('Master Stock'!$L$2:$L$1000&lt;'Master Stock'!L761))+COUNTIFS('Master Stock'!$L$2:L761,'Master Stock'!L761,'Master Stock'!$D$2:D761,"&lt;&gt;",'Master Stock'!$H$2:H761,"OCCUPIED"),"")</f>
        <v/>
      </c>
      <c r="W761" s="149" t="n"/>
      <c r="X761" s="149" t="n"/>
      <c r="Y761" s="149" t="n"/>
      <c r="Z761" s="149" t="n"/>
    </row>
    <row r="762" ht="15.75" customHeight="1" s="236">
      <c r="A762" s="148" t="n"/>
      <c r="B762" s="148" t="n"/>
      <c r="C762" s="124" t="n"/>
      <c r="D762" s="148" t="n"/>
      <c r="E762" s="148" t="n"/>
      <c r="F762" s="148" t="n"/>
      <c r="G762" s="124" t="n"/>
      <c r="H762" s="148" t="n"/>
      <c r="I762" s="148" t="n"/>
      <c r="J762" s="148" t="n"/>
      <c r="K762" s="148" t="n"/>
      <c r="L762" s="148" t="n"/>
      <c r="M762" s="148" t="n"/>
      <c r="N762" s="148" t="n"/>
      <c r="O762" s="148" t="n"/>
      <c r="P762" s="148" t="n"/>
      <c r="Q762" s="148" t="n"/>
      <c r="R762" s="148" t="n"/>
      <c r="S762" s="148" t="n"/>
      <c r="T762" s="148" t="n"/>
      <c r="U762" s="149">
        <f>IF(AND('Master Stock'!D762&lt;&gt;"",'Master Stock'!H762="OCCUPIED",ISNUMBER('Master Stock'!J762),'Master Stock'!K762=""),SUMPRODUCT(--('Master Stock'!$D$2:$D$1000&lt;&gt;""),--('Master Stock'!$H$2:$H$1000="OCCUPIED"),--ISNUMBER('Master Stock'!$J$2:$J$1000),--('Master Stock'!$K$2:$K$1000=""),--('Master Stock'!$J$2:$J$1000&lt;'Master Stock'!J762))+COUNTIFS('Master Stock'!$J$2:J762,'Master Stock'!J762,'Master Stock'!$D$2:D762,"&lt;&gt;",'Master Stock'!$H$2:H762,"OCCUPIED",'Master Stock'!$K$2:K762,""),"")</f>
        <v/>
      </c>
      <c r="V762" s="149">
        <f>IF(AND('Master Stock'!D762&lt;&gt;"",'Master Stock'!H762="OCCUPIED",ISNUMBER('Master Stock'!L762),'Master Stock'!L762&lt;TODAY()-30),SUMPRODUCT(--('Master Stock'!$D$2:$D$1000&lt;&gt;""),--('Master Stock'!$H$2:$H$1000="OCCUPIED"),--ISNUMBER('Master Stock'!$L$2:$L$1000),--('Master Stock'!$L$2:$L$1000&lt;TODAY()-30),--('Master Stock'!$L$2:$L$1000&lt;'Master Stock'!L762))+COUNTIFS('Master Stock'!$L$2:L762,'Master Stock'!L762,'Master Stock'!$D$2:D762,"&lt;&gt;",'Master Stock'!$H$2:H762,"OCCUPIED"),"")</f>
        <v/>
      </c>
      <c r="W762" s="149" t="n"/>
      <c r="X762" s="149" t="n"/>
      <c r="Y762" s="149" t="n"/>
      <c r="Z762" s="149" t="n"/>
    </row>
    <row r="763" ht="15.75" customHeight="1" s="236">
      <c r="A763" s="148" t="n"/>
      <c r="B763" s="148" t="n"/>
      <c r="C763" s="124" t="n"/>
      <c r="D763" s="148" t="n"/>
      <c r="E763" s="148" t="n"/>
      <c r="F763" s="148" t="n"/>
      <c r="G763" s="124" t="n"/>
      <c r="H763" s="148" t="n"/>
      <c r="I763" s="148" t="n"/>
      <c r="J763" s="148" t="n"/>
      <c r="K763" s="148" t="n"/>
      <c r="L763" s="148" t="n"/>
      <c r="M763" s="148" t="n"/>
      <c r="N763" s="148" t="n"/>
      <c r="O763" s="148" t="n"/>
      <c r="P763" s="148" t="n"/>
      <c r="Q763" s="148" t="n"/>
      <c r="R763" s="148" t="n"/>
      <c r="S763" s="148" t="n"/>
      <c r="T763" s="148" t="n"/>
      <c r="U763" s="149">
        <f>IF(AND('Master Stock'!D763&lt;&gt;"",'Master Stock'!H763="OCCUPIED",ISNUMBER('Master Stock'!J763),'Master Stock'!K763=""),SUMPRODUCT(--('Master Stock'!$D$2:$D$1000&lt;&gt;""),--('Master Stock'!$H$2:$H$1000="OCCUPIED"),--ISNUMBER('Master Stock'!$J$2:$J$1000),--('Master Stock'!$K$2:$K$1000=""),--('Master Stock'!$J$2:$J$1000&lt;'Master Stock'!J763))+COUNTIFS('Master Stock'!$J$2:J763,'Master Stock'!J763,'Master Stock'!$D$2:D763,"&lt;&gt;",'Master Stock'!$H$2:H763,"OCCUPIED",'Master Stock'!$K$2:K763,""),"")</f>
        <v/>
      </c>
      <c r="V763" s="149">
        <f>IF(AND('Master Stock'!D763&lt;&gt;"",'Master Stock'!H763="OCCUPIED",ISNUMBER('Master Stock'!L763),'Master Stock'!L763&lt;TODAY()-30),SUMPRODUCT(--('Master Stock'!$D$2:$D$1000&lt;&gt;""),--('Master Stock'!$H$2:$H$1000="OCCUPIED"),--ISNUMBER('Master Stock'!$L$2:$L$1000),--('Master Stock'!$L$2:$L$1000&lt;TODAY()-30),--('Master Stock'!$L$2:$L$1000&lt;'Master Stock'!L763))+COUNTIFS('Master Stock'!$L$2:L763,'Master Stock'!L763,'Master Stock'!$D$2:D763,"&lt;&gt;",'Master Stock'!$H$2:H763,"OCCUPIED"),"")</f>
        <v/>
      </c>
      <c r="W763" s="149" t="n"/>
      <c r="X763" s="149" t="n"/>
      <c r="Y763" s="149" t="n"/>
      <c r="Z763" s="149" t="n"/>
    </row>
    <row r="764" ht="15.75" customHeight="1" s="236">
      <c r="A764" s="148" t="n"/>
      <c r="B764" s="148" t="n"/>
      <c r="C764" s="124" t="n"/>
      <c r="D764" s="148" t="n"/>
      <c r="E764" s="148" t="n"/>
      <c r="F764" s="148" t="n"/>
      <c r="G764" s="124" t="n"/>
      <c r="H764" s="148" t="n"/>
      <c r="I764" s="148" t="n"/>
      <c r="J764" s="148" t="n"/>
      <c r="K764" s="148" t="n"/>
      <c r="L764" s="148" t="n"/>
      <c r="M764" s="148" t="n"/>
      <c r="N764" s="148" t="n"/>
      <c r="O764" s="148" t="n"/>
      <c r="P764" s="148" t="n"/>
      <c r="Q764" s="148" t="n"/>
      <c r="R764" s="148" t="n"/>
      <c r="S764" s="148" t="n"/>
      <c r="T764" s="148" t="n"/>
      <c r="U764" s="149">
        <f>IF(AND('Master Stock'!D764&lt;&gt;"",'Master Stock'!H764="OCCUPIED",ISNUMBER('Master Stock'!J764),'Master Stock'!K764=""),SUMPRODUCT(--('Master Stock'!$D$2:$D$1000&lt;&gt;""),--('Master Stock'!$H$2:$H$1000="OCCUPIED"),--ISNUMBER('Master Stock'!$J$2:$J$1000),--('Master Stock'!$K$2:$K$1000=""),--('Master Stock'!$J$2:$J$1000&lt;'Master Stock'!J764))+COUNTIFS('Master Stock'!$J$2:J764,'Master Stock'!J764,'Master Stock'!$D$2:D764,"&lt;&gt;",'Master Stock'!$H$2:H764,"OCCUPIED",'Master Stock'!$K$2:K764,""),"")</f>
        <v/>
      </c>
      <c r="V764" s="149">
        <f>IF(AND('Master Stock'!D764&lt;&gt;"",'Master Stock'!H764="OCCUPIED",ISNUMBER('Master Stock'!L764),'Master Stock'!L764&lt;TODAY()-30),SUMPRODUCT(--('Master Stock'!$D$2:$D$1000&lt;&gt;""),--('Master Stock'!$H$2:$H$1000="OCCUPIED"),--ISNUMBER('Master Stock'!$L$2:$L$1000),--('Master Stock'!$L$2:$L$1000&lt;TODAY()-30),--('Master Stock'!$L$2:$L$1000&lt;'Master Stock'!L764))+COUNTIFS('Master Stock'!$L$2:L764,'Master Stock'!L764,'Master Stock'!$D$2:D764,"&lt;&gt;",'Master Stock'!$H$2:H764,"OCCUPIED"),"")</f>
        <v/>
      </c>
      <c r="W764" s="149" t="n"/>
      <c r="X764" s="149" t="n"/>
      <c r="Y764" s="149" t="n"/>
      <c r="Z764" s="149" t="n"/>
    </row>
    <row r="765" ht="15.75" customHeight="1" s="236">
      <c r="A765" s="148" t="n"/>
      <c r="B765" s="148" t="n"/>
      <c r="C765" s="124" t="n"/>
      <c r="D765" s="148" t="n"/>
      <c r="E765" s="148" t="n"/>
      <c r="F765" s="148" t="n"/>
      <c r="G765" s="124" t="n"/>
      <c r="H765" s="148" t="n"/>
      <c r="I765" s="148" t="n"/>
      <c r="J765" s="148" t="n"/>
      <c r="K765" s="148" t="n"/>
      <c r="L765" s="148" t="n"/>
      <c r="M765" s="148" t="n"/>
      <c r="N765" s="148" t="n"/>
      <c r="O765" s="148" t="n"/>
      <c r="P765" s="148" t="n"/>
      <c r="Q765" s="148" t="n"/>
      <c r="R765" s="148" t="n"/>
      <c r="S765" s="148" t="n"/>
      <c r="T765" s="148" t="n"/>
      <c r="U765" s="149">
        <f>IF(AND('Master Stock'!D765&lt;&gt;"",'Master Stock'!H765="OCCUPIED",ISNUMBER('Master Stock'!J765),'Master Stock'!K765=""),SUMPRODUCT(--('Master Stock'!$D$2:$D$1000&lt;&gt;""),--('Master Stock'!$H$2:$H$1000="OCCUPIED"),--ISNUMBER('Master Stock'!$J$2:$J$1000),--('Master Stock'!$K$2:$K$1000=""),--('Master Stock'!$J$2:$J$1000&lt;'Master Stock'!J765))+COUNTIFS('Master Stock'!$J$2:J765,'Master Stock'!J765,'Master Stock'!$D$2:D765,"&lt;&gt;",'Master Stock'!$H$2:H765,"OCCUPIED",'Master Stock'!$K$2:K765,""),"")</f>
        <v/>
      </c>
      <c r="V765" s="149">
        <f>IF(AND('Master Stock'!D765&lt;&gt;"",'Master Stock'!H765="OCCUPIED",ISNUMBER('Master Stock'!L765),'Master Stock'!L765&lt;TODAY()-30),SUMPRODUCT(--('Master Stock'!$D$2:$D$1000&lt;&gt;""),--('Master Stock'!$H$2:$H$1000="OCCUPIED"),--ISNUMBER('Master Stock'!$L$2:$L$1000),--('Master Stock'!$L$2:$L$1000&lt;TODAY()-30),--('Master Stock'!$L$2:$L$1000&lt;'Master Stock'!L765))+COUNTIFS('Master Stock'!$L$2:L765,'Master Stock'!L765,'Master Stock'!$D$2:D765,"&lt;&gt;",'Master Stock'!$H$2:H765,"OCCUPIED"),"")</f>
        <v/>
      </c>
      <c r="W765" s="149" t="n"/>
      <c r="X765" s="149" t="n"/>
      <c r="Y765" s="149" t="n"/>
      <c r="Z765" s="149" t="n"/>
    </row>
    <row r="766" ht="15.75" customHeight="1" s="236">
      <c r="A766" s="148" t="n"/>
      <c r="B766" s="148" t="n"/>
      <c r="C766" s="124" t="n"/>
      <c r="D766" s="148" t="n"/>
      <c r="E766" s="148" t="n"/>
      <c r="F766" s="148" t="n"/>
      <c r="G766" s="124" t="n"/>
      <c r="H766" s="148" t="n"/>
      <c r="I766" s="148" t="n"/>
      <c r="J766" s="148" t="n"/>
      <c r="K766" s="148" t="n"/>
      <c r="L766" s="148" t="n"/>
      <c r="M766" s="148" t="n"/>
      <c r="N766" s="148" t="n"/>
      <c r="O766" s="148" t="n"/>
      <c r="P766" s="148" t="n"/>
      <c r="Q766" s="148" t="n"/>
      <c r="R766" s="148" t="n"/>
      <c r="S766" s="148" t="n"/>
      <c r="T766" s="148" t="n"/>
      <c r="U766" s="149">
        <f>IF(AND('Master Stock'!D766&lt;&gt;"",'Master Stock'!H766="OCCUPIED",ISNUMBER('Master Stock'!J766),'Master Stock'!K766=""),SUMPRODUCT(--('Master Stock'!$D$2:$D$1000&lt;&gt;""),--('Master Stock'!$H$2:$H$1000="OCCUPIED"),--ISNUMBER('Master Stock'!$J$2:$J$1000),--('Master Stock'!$K$2:$K$1000=""),--('Master Stock'!$J$2:$J$1000&lt;'Master Stock'!J766))+COUNTIFS('Master Stock'!$J$2:J766,'Master Stock'!J766,'Master Stock'!$D$2:D766,"&lt;&gt;",'Master Stock'!$H$2:H766,"OCCUPIED",'Master Stock'!$K$2:K766,""),"")</f>
        <v/>
      </c>
      <c r="V766" s="149">
        <f>IF(AND('Master Stock'!D766&lt;&gt;"",'Master Stock'!H766="OCCUPIED",ISNUMBER('Master Stock'!L766),'Master Stock'!L766&lt;TODAY()-30),SUMPRODUCT(--('Master Stock'!$D$2:$D$1000&lt;&gt;""),--('Master Stock'!$H$2:$H$1000="OCCUPIED"),--ISNUMBER('Master Stock'!$L$2:$L$1000),--('Master Stock'!$L$2:$L$1000&lt;TODAY()-30),--('Master Stock'!$L$2:$L$1000&lt;'Master Stock'!L766))+COUNTIFS('Master Stock'!$L$2:L766,'Master Stock'!L766,'Master Stock'!$D$2:D766,"&lt;&gt;",'Master Stock'!$H$2:H766,"OCCUPIED"),"")</f>
        <v/>
      </c>
      <c r="W766" s="149" t="n"/>
      <c r="X766" s="149" t="n"/>
      <c r="Y766" s="149" t="n"/>
      <c r="Z766" s="149" t="n"/>
    </row>
    <row r="767" ht="15.75" customHeight="1" s="236">
      <c r="A767" s="148" t="n"/>
      <c r="B767" s="148" t="n"/>
      <c r="C767" s="124" t="n"/>
      <c r="D767" s="148" t="n"/>
      <c r="E767" s="148" t="n"/>
      <c r="F767" s="148" t="n"/>
      <c r="G767" s="124" t="n"/>
      <c r="H767" s="148" t="n"/>
      <c r="I767" s="148" t="n"/>
      <c r="J767" s="148" t="n"/>
      <c r="K767" s="148" t="n"/>
      <c r="L767" s="148" t="n"/>
      <c r="M767" s="148" t="n"/>
      <c r="N767" s="148" t="n"/>
      <c r="O767" s="148" t="n"/>
      <c r="P767" s="148" t="n"/>
      <c r="Q767" s="148" t="n"/>
      <c r="R767" s="148" t="n"/>
      <c r="S767" s="148" t="n"/>
      <c r="T767" s="148" t="n"/>
      <c r="U767" s="149">
        <f>IF(AND('Master Stock'!D767&lt;&gt;"",'Master Stock'!H767="OCCUPIED",ISNUMBER('Master Stock'!J767),'Master Stock'!K767=""),SUMPRODUCT(--('Master Stock'!$D$2:$D$1000&lt;&gt;""),--('Master Stock'!$H$2:$H$1000="OCCUPIED"),--ISNUMBER('Master Stock'!$J$2:$J$1000),--('Master Stock'!$K$2:$K$1000=""),--('Master Stock'!$J$2:$J$1000&lt;'Master Stock'!J767))+COUNTIFS('Master Stock'!$J$2:J767,'Master Stock'!J767,'Master Stock'!$D$2:D767,"&lt;&gt;",'Master Stock'!$H$2:H767,"OCCUPIED",'Master Stock'!$K$2:K767,""),"")</f>
        <v/>
      </c>
      <c r="V767" s="149">
        <f>IF(AND('Master Stock'!D767&lt;&gt;"",'Master Stock'!H767="OCCUPIED",ISNUMBER('Master Stock'!L767),'Master Stock'!L767&lt;TODAY()-30),SUMPRODUCT(--('Master Stock'!$D$2:$D$1000&lt;&gt;""),--('Master Stock'!$H$2:$H$1000="OCCUPIED"),--ISNUMBER('Master Stock'!$L$2:$L$1000),--('Master Stock'!$L$2:$L$1000&lt;TODAY()-30),--('Master Stock'!$L$2:$L$1000&lt;'Master Stock'!L767))+COUNTIFS('Master Stock'!$L$2:L767,'Master Stock'!L767,'Master Stock'!$D$2:D767,"&lt;&gt;",'Master Stock'!$H$2:H767,"OCCUPIED"),"")</f>
        <v/>
      </c>
      <c r="W767" s="149" t="n"/>
      <c r="X767" s="149" t="n"/>
      <c r="Y767" s="149" t="n"/>
      <c r="Z767" s="149" t="n"/>
    </row>
    <row r="768" ht="15.75" customHeight="1" s="236">
      <c r="A768" s="148" t="n"/>
      <c r="B768" s="148" t="n"/>
      <c r="C768" s="124" t="n"/>
      <c r="D768" s="148" t="n"/>
      <c r="E768" s="148" t="n"/>
      <c r="F768" s="148" t="n"/>
      <c r="G768" s="124" t="n"/>
      <c r="H768" s="148" t="n"/>
      <c r="I768" s="148" t="n"/>
      <c r="J768" s="148" t="n"/>
      <c r="K768" s="148" t="n"/>
      <c r="L768" s="148" t="n"/>
      <c r="M768" s="148" t="n"/>
      <c r="N768" s="148" t="n"/>
      <c r="O768" s="148" t="n"/>
      <c r="P768" s="148" t="n"/>
      <c r="Q768" s="148" t="n"/>
      <c r="R768" s="148" t="n"/>
      <c r="S768" s="148" t="n"/>
      <c r="T768" s="148" t="n"/>
      <c r="U768" s="149">
        <f>IF(AND('Master Stock'!D768&lt;&gt;"",'Master Stock'!H768="OCCUPIED",ISNUMBER('Master Stock'!J768),'Master Stock'!K768=""),SUMPRODUCT(--('Master Stock'!$D$2:$D$1000&lt;&gt;""),--('Master Stock'!$H$2:$H$1000="OCCUPIED"),--ISNUMBER('Master Stock'!$J$2:$J$1000),--('Master Stock'!$K$2:$K$1000=""),--('Master Stock'!$J$2:$J$1000&lt;'Master Stock'!J768))+COUNTIFS('Master Stock'!$J$2:J768,'Master Stock'!J768,'Master Stock'!$D$2:D768,"&lt;&gt;",'Master Stock'!$H$2:H768,"OCCUPIED",'Master Stock'!$K$2:K768,""),"")</f>
        <v/>
      </c>
      <c r="V768" s="149">
        <f>IF(AND('Master Stock'!D768&lt;&gt;"",'Master Stock'!H768="OCCUPIED",ISNUMBER('Master Stock'!L768),'Master Stock'!L768&lt;TODAY()-30),SUMPRODUCT(--('Master Stock'!$D$2:$D$1000&lt;&gt;""),--('Master Stock'!$H$2:$H$1000="OCCUPIED"),--ISNUMBER('Master Stock'!$L$2:$L$1000),--('Master Stock'!$L$2:$L$1000&lt;TODAY()-30),--('Master Stock'!$L$2:$L$1000&lt;'Master Stock'!L768))+COUNTIFS('Master Stock'!$L$2:L768,'Master Stock'!L768,'Master Stock'!$D$2:D768,"&lt;&gt;",'Master Stock'!$H$2:H768,"OCCUPIED"),"")</f>
        <v/>
      </c>
      <c r="W768" s="149" t="n"/>
      <c r="X768" s="149" t="n"/>
      <c r="Y768" s="149" t="n"/>
      <c r="Z768" s="149" t="n"/>
    </row>
    <row r="769" ht="15.75" customHeight="1" s="236">
      <c r="A769" s="148" t="n"/>
      <c r="B769" s="148" t="n"/>
      <c r="C769" s="124" t="n"/>
      <c r="D769" s="148" t="n"/>
      <c r="E769" s="148" t="n"/>
      <c r="F769" s="148" t="n"/>
      <c r="G769" s="124" t="n"/>
      <c r="H769" s="148" t="n"/>
      <c r="I769" s="148" t="n"/>
      <c r="J769" s="148" t="n"/>
      <c r="K769" s="148" t="n"/>
      <c r="L769" s="148" t="n"/>
      <c r="M769" s="148" t="n"/>
      <c r="N769" s="148" t="n"/>
      <c r="O769" s="148" t="n"/>
      <c r="P769" s="148" t="n"/>
      <c r="Q769" s="148" t="n"/>
      <c r="R769" s="148" t="n"/>
      <c r="S769" s="148" t="n"/>
      <c r="T769" s="148" t="n"/>
      <c r="U769" s="149">
        <f>IF(AND('Master Stock'!D769&lt;&gt;"",'Master Stock'!H769="OCCUPIED",ISNUMBER('Master Stock'!J769),'Master Stock'!K769=""),SUMPRODUCT(--('Master Stock'!$D$2:$D$1000&lt;&gt;""),--('Master Stock'!$H$2:$H$1000="OCCUPIED"),--ISNUMBER('Master Stock'!$J$2:$J$1000),--('Master Stock'!$K$2:$K$1000=""),--('Master Stock'!$J$2:$J$1000&lt;'Master Stock'!J769))+COUNTIFS('Master Stock'!$J$2:J769,'Master Stock'!J769,'Master Stock'!$D$2:D769,"&lt;&gt;",'Master Stock'!$H$2:H769,"OCCUPIED",'Master Stock'!$K$2:K769,""),"")</f>
        <v/>
      </c>
      <c r="V769" s="149">
        <f>IF(AND('Master Stock'!D769&lt;&gt;"",'Master Stock'!H769="OCCUPIED",ISNUMBER('Master Stock'!L769),'Master Stock'!L769&lt;TODAY()-30),SUMPRODUCT(--('Master Stock'!$D$2:$D$1000&lt;&gt;""),--('Master Stock'!$H$2:$H$1000="OCCUPIED"),--ISNUMBER('Master Stock'!$L$2:$L$1000),--('Master Stock'!$L$2:$L$1000&lt;TODAY()-30),--('Master Stock'!$L$2:$L$1000&lt;'Master Stock'!L769))+COUNTIFS('Master Stock'!$L$2:L769,'Master Stock'!L769,'Master Stock'!$D$2:D769,"&lt;&gt;",'Master Stock'!$H$2:H769,"OCCUPIED"),"")</f>
        <v/>
      </c>
      <c r="W769" s="149" t="n"/>
      <c r="X769" s="149" t="n"/>
      <c r="Y769" s="149" t="n"/>
      <c r="Z769" s="149" t="n"/>
    </row>
    <row r="770" ht="15.75" customHeight="1" s="236">
      <c r="A770" s="148" t="n"/>
      <c r="B770" s="148" t="n"/>
      <c r="C770" s="124" t="n"/>
      <c r="D770" s="148" t="n"/>
      <c r="E770" s="148" t="n"/>
      <c r="F770" s="148" t="n"/>
      <c r="G770" s="124" t="n"/>
      <c r="H770" s="148" t="n"/>
      <c r="I770" s="148" t="n"/>
      <c r="J770" s="148" t="n"/>
      <c r="K770" s="148" t="n"/>
      <c r="L770" s="148" t="n"/>
      <c r="M770" s="148" t="n"/>
      <c r="N770" s="148" t="n"/>
      <c r="O770" s="148" t="n"/>
      <c r="P770" s="148" t="n"/>
      <c r="Q770" s="148" t="n"/>
      <c r="R770" s="148" t="n"/>
      <c r="S770" s="148" t="n"/>
      <c r="T770" s="148" t="n"/>
      <c r="U770" s="149">
        <f>IF(AND('Master Stock'!D770&lt;&gt;"",'Master Stock'!H770="OCCUPIED",ISNUMBER('Master Stock'!J770),'Master Stock'!K770=""),SUMPRODUCT(--('Master Stock'!$D$2:$D$1000&lt;&gt;""),--('Master Stock'!$H$2:$H$1000="OCCUPIED"),--ISNUMBER('Master Stock'!$J$2:$J$1000),--('Master Stock'!$K$2:$K$1000=""),--('Master Stock'!$J$2:$J$1000&lt;'Master Stock'!J770))+COUNTIFS('Master Stock'!$J$2:J770,'Master Stock'!J770,'Master Stock'!$D$2:D770,"&lt;&gt;",'Master Stock'!$H$2:H770,"OCCUPIED",'Master Stock'!$K$2:K770,""),"")</f>
        <v/>
      </c>
      <c r="V770" s="149">
        <f>IF(AND('Master Stock'!D770&lt;&gt;"",'Master Stock'!H770="OCCUPIED",ISNUMBER('Master Stock'!L770),'Master Stock'!L770&lt;TODAY()-30),SUMPRODUCT(--('Master Stock'!$D$2:$D$1000&lt;&gt;""),--('Master Stock'!$H$2:$H$1000="OCCUPIED"),--ISNUMBER('Master Stock'!$L$2:$L$1000),--('Master Stock'!$L$2:$L$1000&lt;TODAY()-30),--('Master Stock'!$L$2:$L$1000&lt;'Master Stock'!L770))+COUNTIFS('Master Stock'!$L$2:L770,'Master Stock'!L770,'Master Stock'!$D$2:D770,"&lt;&gt;",'Master Stock'!$H$2:H770,"OCCUPIED"),"")</f>
        <v/>
      </c>
      <c r="W770" s="149" t="n"/>
      <c r="X770" s="149" t="n"/>
      <c r="Y770" s="149" t="n"/>
      <c r="Z770" s="149" t="n"/>
    </row>
    <row r="771" ht="15.75" customHeight="1" s="236">
      <c r="A771" s="148" t="n"/>
      <c r="B771" s="148" t="n"/>
      <c r="C771" s="124" t="n"/>
      <c r="D771" s="148" t="n"/>
      <c r="E771" s="148" t="n"/>
      <c r="F771" s="148" t="n"/>
      <c r="G771" s="124" t="n"/>
      <c r="H771" s="148" t="n"/>
      <c r="I771" s="148" t="n"/>
      <c r="J771" s="148" t="n"/>
      <c r="K771" s="148" t="n"/>
      <c r="L771" s="148" t="n"/>
      <c r="M771" s="148" t="n"/>
      <c r="N771" s="148" t="n"/>
      <c r="O771" s="148" t="n"/>
      <c r="P771" s="148" t="n"/>
      <c r="Q771" s="148" t="n"/>
      <c r="R771" s="148" t="n"/>
      <c r="S771" s="148" t="n"/>
      <c r="T771" s="148" t="n"/>
      <c r="U771" s="149">
        <f>IF(AND('Master Stock'!D771&lt;&gt;"",'Master Stock'!H771="OCCUPIED",ISNUMBER('Master Stock'!J771),'Master Stock'!K771=""),SUMPRODUCT(--('Master Stock'!$D$2:$D$1000&lt;&gt;""),--('Master Stock'!$H$2:$H$1000="OCCUPIED"),--ISNUMBER('Master Stock'!$J$2:$J$1000),--('Master Stock'!$K$2:$K$1000=""),--('Master Stock'!$J$2:$J$1000&lt;'Master Stock'!J771))+COUNTIFS('Master Stock'!$J$2:J771,'Master Stock'!J771,'Master Stock'!$D$2:D771,"&lt;&gt;",'Master Stock'!$H$2:H771,"OCCUPIED",'Master Stock'!$K$2:K771,""),"")</f>
        <v/>
      </c>
      <c r="V771" s="149">
        <f>IF(AND('Master Stock'!D771&lt;&gt;"",'Master Stock'!H771="OCCUPIED",ISNUMBER('Master Stock'!L771),'Master Stock'!L771&lt;TODAY()-30),SUMPRODUCT(--('Master Stock'!$D$2:$D$1000&lt;&gt;""),--('Master Stock'!$H$2:$H$1000="OCCUPIED"),--ISNUMBER('Master Stock'!$L$2:$L$1000),--('Master Stock'!$L$2:$L$1000&lt;TODAY()-30),--('Master Stock'!$L$2:$L$1000&lt;'Master Stock'!L771))+COUNTIFS('Master Stock'!$L$2:L771,'Master Stock'!L771,'Master Stock'!$D$2:D771,"&lt;&gt;",'Master Stock'!$H$2:H771,"OCCUPIED"),"")</f>
        <v/>
      </c>
      <c r="W771" s="149" t="n"/>
      <c r="X771" s="149" t="n"/>
      <c r="Y771" s="149" t="n"/>
      <c r="Z771" s="149" t="n"/>
    </row>
    <row r="772" ht="15.75" customHeight="1" s="236">
      <c r="A772" s="148" t="n"/>
      <c r="B772" s="148" t="n"/>
      <c r="C772" s="124" t="n"/>
      <c r="D772" s="148" t="n"/>
      <c r="E772" s="148" t="n"/>
      <c r="F772" s="148" t="n"/>
      <c r="G772" s="124" t="n"/>
      <c r="H772" s="148" t="n"/>
      <c r="I772" s="148" t="n"/>
      <c r="J772" s="148" t="n"/>
      <c r="K772" s="148" t="n"/>
      <c r="L772" s="148" t="n"/>
      <c r="M772" s="148" t="n"/>
      <c r="N772" s="148" t="n"/>
      <c r="O772" s="148" t="n"/>
      <c r="P772" s="148" t="n"/>
      <c r="Q772" s="148" t="n"/>
      <c r="R772" s="148" t="n"/>
      <c r="S772" s="148" t="n"/>
      <c r="T772" s="148" t="n"/>
      <c r="U772" s="149">
        <f>IF(AND('Master Stock'!D772&lt;&gt;"",'Master Stock'!H772="OCCUPIED",ISNUMBER('Master Stock'!J772),'Master Stock'!K772=""),SUMPRODUCT(--('Master Stock'!$D$2:$D$1000&lt;&gt;""),--('Master Stock'!$H$2:$H$1000="OCCUPIED"),--ISNUMBER('Master Stock'!$J$2:$J$1000),--('Master Stock'!$K$2:$K$1000=""),--('Master Stock'!$J$2:$J$1000&lt;'Master Stock'!J772))+COUNTIFS('Master Stock'!$J$2:J772,'Master Stock'!J772,'Master Stock'!$D$2:D772,"&lt;&gt;",'Master Stock'!$H$2:H772,"OCCUPIED",'Master Stock'!$K$2:K772,""),"")</f>
        <v/>
      </c>
      <c r="V772" s="149">
        <f>IF(AND('Master Stock'!D772&lt;&gt;"",'Master Stock'!H772="OCCUPIED",ISNUMBER('Master Stock'!L772),'Master Stock'!L772&lt;TODAY()-30),SUMPRODUCT(--('Master Stock'!$D$2:$D$1000&lt;&gt;""),--('Master Stock'!$H$2:$H$1000="OCCUPIED"),--ISNUMBER('Master Stock'!$L$2:$L$1000),--('Master Stock'!$L$2:$L$1000&lt;TODAY()-30),--('Master Stock'!$L$2:$L$1000&lt;'Master Stock'!L772))+COUNTIFS('Master Stock'!$L$2:L772,'Master Stock'!L772,'Master Stock'!$D$2:D772,"&lt;&gt;",'Master Stock'!$H$2:H772,"OCCUPIED"),"")</f>
        <v/>
      </c>
      <c r="W772" s="149" t="n"/>
      <c r="X772" s="149" t="n"/>
      <c r="Y772" s="149" t="n"/>
      <c r="Z772" s="149" t="n"/>
    </row>
    <row r="773" ht="15.75" customHeight="1" s="236">
      <c r="A773" s="148" t="n"/>
      <c r="B773" s="148" t="n"/>
      <c r="C773" s="124" t="n"/>
      <c r="D773" s="148" t="n"/>
      <c r="E773" s="148" t="n"/>
      <c r="F773" s="148" t="n"/>
      <c r="G773" s="124" t="n"/>
      <c r="H773" s="148" t="n"/>
      <c r="I773" s="148" t="n"/>
      <c r="J773" s="148" t="n"/>
      <c r="K773" s="148" t="n"/>
      <c r="L773" s="148" t="n"/>
      <c r="M773" s="148" t="n"/>
      <c r="N773" s="148" t="n"/>
      <c r="O773" s="148" t="n"/>
      <c r="P773" s="148" t="n"/>
      <c r="Q773" s="148" t="n"/>
      <c r="R773" s="148" t="n"/>
      <c r="S773" s="148" t="n"/>
      <c r="T773" s="148" t="n"/>
      <c r="U773" s="149">
        <f>IF(AND('Master Stock'!D773&lt;&gt;"",'Master Stock'!H773="OCCUPIED",ISNUMBER('Master Stock'!J773),'Master Stock'!K773=""),SUMPRODUCT(--('Master Stock'!$D$2:$D$1000&lt;&gt;""),--('Master Stock'!$H$2:$H$1000="OCCUPIED"),--ISNUMBER('Master Stock'!$J$2:$J$1000),--('Master Stock'!$K$2:$K$1000=""),--('Master Stock'!$J$2:$J$1000&lt;'Master Stock'!J773))+COUNTIFS('Master Stock'!$J$2:J773,'Master Stock'!J773,'Master Stock'!$D$2:D773,"&lt;&gt;",'Master Stock'!$H$2:H773,"OCCUPIED",'Master Stock'!$K$2:K773,""),"")</f>
        <v/>
      </c>
      <c r="V773" s="149">
        <f>IF(AND('Master Stock'!D773&lt;&gt;"",'Master Stock'!H773="OCCUPIED",ISNUMBER('Master Stock'!L773),'Master Stock'!L773&lt;TODAY()-30),SUMPRODUCT(--('Master Stock'!$D$2:$D$1000&lt;&gt;""),--('Master Stock'!$H$2:$H$1000="OCCUPIED"),--ISNUMBER('Master Stock'!$L$2:$L$1000),--('Master Stock'!$L$2:$L$1000&lt;TODAY()-30),--('Master Stock'!$L$2:$L$1000&lt;'Master Stock'!L773))+COUNTIFS('Master Stock'!$L$2:L773,'Master Stock'!L773,'Master Stock'!$D$2:D773,"&lt;&gt;",'Master Stock'!$H$2:H773,"OCCUPIED"),"")</f>
        <v/>
      </c>
      <c r="W773" s="149" t="n"/>
      <c r="X773" s="149" t="n"/>
      <c r="Y773" s="149" t="n"/>
      <c r="Z773" s="149" t="n"/>
    </row>
    <row r="774" ht="15.75" customHeight="1" s="236">
      <c r="A774" s="148" t="n"/>
      <c r="B774" s="148" t="n"/>
      <c r="C774" s="124" t="n"/>
      <c r="D774" s="148" t="n"/>
      <c r="E774" s="148" t="n"/>
      <c r="F774" s="148" t="n"/>
      <c r="G774" s="124" t="n"/>
      <c r="H774" s="148" t="n"/>
      <c r="I774" s="148" t="n"/>
      <c r="J774" s="148" t="n"/>
      <c r="K774" s="148" t="n"/>
      <c r="L774" s="148" t="n"/>
      <c r="M774" s="148" t="n"/>
      <c r="N774" s="148" t="n"/>
      <c r="O774" s="148" t="n"/>
      <c r="P774" s="148" t="n"/>
      <c r="Q774" s="148" t="n"/>
      <c r="R774" s="148" t="n"/>
      <c r="S774" s="148" t="n"/>
      <c r="T774" s="148" t="n"/>
      <c r="U774" s="149">
        <f>IF(AND('Master Stock'!D774&lt;&gt;"",'Master Stock'!H774="OCCUPIED",ISNUMBER('Master Stock'!J774),'Master Stock'!K774=""),SUMPRODUCT(--('Master Stock'!$D$2:$D$1000&lt;&gt;""),--('Master Stock'!$H$2:$H$1000="OCCUPIED"),--ISNUMBER('Master Stock'!$J$2:$J$1000),--('Master Stock'!$K$2:$K$1000=""),--('Master Stock'!$J$2:$J$1000&lt;'Master Stock'!J774))+COUNTIFS('Master Stock'!$J$2:J774,'Master Stock'!J774,'Master Stock'!$D$2:D774,"&lt;&gt;",'Master Stock'!$H$2:H774,"OCCUPIED",'Master Stock'!$K$2:K774,""),"")</f>
        <v/>
      </c>
      <c r="V774" s="149">
        <f>IF(AND('Master Stock'!D774&lt;&gt;"",'Master Stock'!H774="OCCUPIED",ISNUMBER('Master Stock'!L774),'Master Stock'!L774&lt;TODAY()-30),SUMPRODUCT(--('Master Stock'!$D$2:$D$1000&lt;&gt;""),--('Master Stock'!$H$2:$H$1000="OCCUPIED"),--ISNUMBER('Master Stock'!$L$2:$L$1000),--('Master Stock'!$L$2:$L$1000&lt;TODAY()-30),--('Master Stock'!$L$2:$L$1000&lt;'Master Stock'!L774))+COUNTIFS('Master Stock'!$L$2:L774,'Master Stock'!L774,'Master Stock'!$D$2:D774,"&lt;&gt;",'Master Stock'!$H$2:H774,"OCCUPIED"),"")</f>
        <v/>
      </c>
      <c r="W774" s="149" t="n"/>
      <c r="X774" s="149" t="n"/>
      <c r="Y774" s="149" t="n"/>
      <c r="Z774" s="149" t="n"/>
    </row>
    <row r="775" ht="15.75" customHeight="1" s="236">
      <c r="A775" s="148" t="n"/>
      <c r="B775" s="148" t="n"/>
      <c r="C775" s="124" t="n"/>
      <c r="D775" s="148" t="n"/>
      <c r="E775" s="148" t="n"/>
      <c r="F775" s="148" t="n"/>
      <c r="G775" s="124" t="n"/>
      <c r="H775" s="148" t="n"/>
      <c r="I775" s="148" t="n"/>
      <c r="J775" s="148" t="n"/>
      <c r="K775" s="148" t="n"/>
      <c r="L775" s="148" t="n"/>
      <c r="M775" s="148" t="n"/>
      <c r="N775" s="148" t="n"/>
      <c r="O775" s="148" t="n"/>
      <c r="P775" s="148" t="n"/>
      <c r="Q775" s="148" t="n"/>
      <c r="R775" s="148" t="n"/>
      <c r="S775" s="148" t="n"/>
      <c r="T775" s="148" t="n"/>
      <c r="U775" s="149">
        <f>IF(AND('Master Stock'!D775&lt;&gt;"",'Master Stock'!H775="OCCUPIED",ISNUMBER('Master Stock'!J775),'Master Stock'!K775=""),SUMPRODUCT(--('Master Stock'!$D$2:$D$1000&lt;&gt;""),--('Master Stock'!$H$2:$H$1000="OCCUPIED"),--ISNUMBER('Master Stock'!$J$2:$J$1000),--('Master Stock'!$K$2:$K$1000=""),--('Master Stock'!$J$2:$J$1000&lt;'Master Stock'!J775))+COUNTIFS('Master Stock'!$J$2:J775,'Master Stock'!J775,'Master Stock'!$D$2:D775,"&lt;&gt;",'Master Stock'!$H$2:H775,"OCCUPIED",'Master Stock'!$K$2:K775,""),"")</f>
        <v/>
      </c>
      <c r="V775" s="149">
        <f>IF(AND('Master Stock'!D775&lt;&gt;"",'Master Stock'!H775="OCCUPIED",ISNUMBER('Master Stock'!L775),'Master Stock'!L775&lt;TODAY()-30),SUMPRODUCT(--('Master Stock'!$D$2:$D$1000&lt;&gt;""),--('Master Stock'!$H$2:$H$1000="OCCUPIED"),--ISNUMBER('Master Stock'!$L$2:$L$1000),--('Master Stock'!$L$2:$L$1000&lt;TODAY()-30),--('Master Stock'!$L$2:$L$1000&lt;'Master Stock'!L775))+COUNTIFS('Master Stock'!$L$2:L775,'Master Stock'!L775,'Master Stock'!$D$2:D775,"&lt;&gt;",'Master Stock'!$H$2:H775,"OCCUPIED"),"")</f>
        <v/>
      </c>
      <c r="W775" s="149" t="n"/>
      <c r="X775" s="149" t="n"/>
      <c r="Y775" s="149" t="n"/>
      <c r="Z775" s="149" t="n"/>
    </row>
    <row r="776" ht="15.75" customHeight="1" s="236">
      <c r="A776" s="148" t="n"/>
      <c r="B776" s="148" t="n"/>
      <c r="C776" s="124" t="n"/>
      <c r="D776" s="148" t="n"/>
      <c r="E776" s="148" t="n"/>
      <c r="F776" s="148" t="n"/>
      <c r="G776" s="124" t="n"/>
      <c r="H776" s="148" t="n"/>
      <c r="I776" s="148" t="n"/>
      <c r="J776" s="148" t="n"/>
      <c r="K776" s="148" t="n"/>
      <c r="L776" s="148" t="n"/>
      <c r="M776" s="148" t="n"/>
      <c r="N776" s="148" t="n"/>
      <c r="O776" s="148" t="n"/>
      <c r="P776" s="148" t="n"/>
      <c r="Q776" s="148" t="n"/>
      <c r="R776" s="148" t="n"/>
      <c r="S776" s="148" t="n"/>
      <c r="T776" s="148" t="n"/>
      <c r="U776" s="149">
        <f>IF(AND('Master Stock'!D776&lt;&gt;"",'Master Stock'!H776="OCCUPIED",ISNUMBER('Master Stock'!J776),'Master Stock'!K776=""),SUMPRODUCT(--('Master Stock'!$D$2:$D$1000&lt;&gt;""),--('Master Stock'!$H$2:$H$1000="OCCUPIED"),--ISNUMBER('Master Stock'!$J$2:$J$1000),--('Master Stock'!$K$2:$K$1000=""),--('Master Stock'!$J$2:$J$1000&lt;'Master Stock'!J776))+COUNTIFS('Master Stock'!$J$2:J776,'Master Stock'!J776,'Master Stock'!$D$2:D776,"&lt;&gt;",'Master Stock'!$H$2:H776,"OCCUPIED",'Master Stock'!$K$2:K776,""),"")</f>
        <v/>
      </c>
      <c r="V776" s="149">
        <f>IF(AND('Master Stock'!D776&lt;&gt;"",'Master Stock'!H776="OCCUPIED",ISNUMBER('Master Stock'!L776),'Master Stock'!L776&lt;TODAY()-30),SUMPRODUCT(--('Master Stock'!$D$2:$D$1000&lt;&gt;""),--('Master Stock'!$H$2:$H$1000="OCCUPIED"),--ISNUMBER('Master Stock'!$L$2:$L$1000),--('Master Stock'!$L$2:$L$1000&lt;TODAY()-30),--('Master Stock'!$L$2:$L$1000&lt;'Master Stock'!L776))+COUNTIFS('Master Stock'!$L$2:L776,'Master Stock'!L776,'Master Stock'!$D$2:D776,"&lt;&gt;",'Master Stock'!$H$2:H776,"OCCUPIED"),"")</f>
        <v/>
      </c>
      <c r="W776" s="149" t="n"/>
      <c r="X776" s="149" t="n"/>
      <c r="Y776" s="149" t="n"/>
      <c r="Z776" s="149" t="n"/>
    </row>
    <row r="777" ht="15.75" customHeight="1" s="236">
      <c r="A777" s="148" t="n"/>
      <c r="B777" s="148" t="n"/>
      <c r="C777" s="124" t="n"/>
      <c r="D777" s="148" t="n"/>
      <c r="E777" s="148" t="n"/>
      <c r="F777" s="148" t="n"/>
      <c r="G777" s="124" t="n"/>
      <c r="H777" s="148" t="n"/>
      <c r="I777" s="148" t="n"/>
      <c r="J777" s="148" t="n"/>
      <c r="K777" s="148" t="n"/>
      <c r="L777" s="148" t="n"/>
      <c r="M777" s="148" t="n"/>
      <c r="N777" s="148" t="n"/>
      <c r="O777" s="148" t="n"/>
      <c r="P777" s="148" t="n"/>
      <c r="Q777" s="148" t="n"/>
      <c r="R777" s="148" t="n"/>
      <c r="S777" s="148" t="n"/>
      <c r="T777" s="148" t="n"/>
      <c r="U777" s="149">
        <f>IF(AND('Master Stock'!D777&lt;&gt;"",'Master Stock'!H777="OCCUPIED",ISNUMBER('Master Stock'!J777),'Master Stock'!K777=""),SUMPRODUCT(--('Master Stock'!$D$2:$D$1000&lt;&gt;""),--('Master Stock'!$H$2:$H$1000="OCCUPIED"),--ISNUMBER('Master Stock'!$J$2:$J$1000),--('Master Stock'!$K$2:$K$1000=""),--('Master Stock'!$J$2:$J$1000&lt;'Master Stock'!J777))+COUNTIFS('Master Stock'!$J$2:J777,'Master Stock'!J777,'Master Stock'!$D$2:D777,"&lt;&gt;",'Master Stock'!$H$2:H777,"OCCUPIED",'Master Stock'!$K$2:K777,""),"")</f>
        <v/>
      </c>
      <c r="V777" s="149">
        <f>IF(AND('Master Stock'!D777&lt;&gt;"",'Master Stock'!H777="OCCUPIED",ISNUMBER('Master Stock'!L777),'Master Stock'!L777&lt;TODAY()-30),SUMPRODUCT(--('Master Stock'!$D$2:$D$1000&lt;&gt;""),--('Master Stock'!$H$2:$H$1000="OCCUPIED"),--ISNUMBER('Master Stock'!$L$2:$L$1000),--('Master Stock'!$L$2:$L$1000&lt;TODAY()-30),--('Master Stock'!$L$2:$L$1000&lt;'Master Stock'!L777))+COUNTIFS('Master Stock'!$L$2:L777,'Master Stock'!L777,'Master Stock'!$D$2:D777,"&lt;&gt;",'Master Stock'!$H$2:H777,"OCCUPIED"),"")</f>
        <v/>
      </c>
      <c r="W777" s="149" t="n"/>
      <c r="X777" s="149" t="n"/>
      <c r="Y777" s="149" t="n"/>
      <c r="Z777" s="149" t="n"/>
    </row>
    <row r="778" ht="15.75" customHeight="1" s="236">
      <c r="A778" s="148" t="n"/>
      <c r="B778" s="148" t="n"/>
      <c r="C778" s="124" t="n"/>
      <c r="D778" s="148" t="n"/>
      <c r="E778" s="148" t="n"/>
      <c r="F778" s="148" t="n"/>
      <c r="G778" s="124" t="n"/>
      <c r="H778" s="148" t="n"/>
      <c r="I778" s="148" t="n"/>
      <c r="J778" s="148" t="n"/>
      <c r="K778" s="148" t="n"/>
      <c r="L778" s="148" t="n"/>
      <c r="M778" s="148" t="n"/>
      <c r="N778" s="148" t="n"/>
      <c r="O778" s="148" t="n"/>
      <c r="P778" s="148" t="n"/>
      <c r="Q778" s="148" t="n"/>
      <c r="R778" s="148" t="n"/>
      <c r="S778" s="148" t="n"/>
      <c r="T778" s="148" t="n"/>
      <c r="U778" s="149">
        <f>IF(AND('Master Stock'!D778&lt;&gt;"",'Master Stock'!H778="OCCUPIED",ISNUMBER('Master Stock'!J778),'Master Stock'!K778=""),SUMPRODUCT(--('Master Stock'!$D$2:$D$1000&lt;&gt;""),--('Master Stock'!$H$2:$H$1000="OCCUPIED"),--ISNUMBER('Master Stock'!$J$2:$J$1000),--('Master Stock'!$K$2:$K$1000=""),--('Master Stock'!$J$2:$J$1000&lt;'Master Stock'!J778))+COUNTIFS('Master Stock'!$J$2:J778,'Master Stock'!J778,'Master Stock'!$D$2:D778,"&lt;&gt;",'Master Stock'!$H$2:H778,"OCCUPIED",'Master Stock'!$K$2:K778,""),"")</f>
        <v/>
      </c>
      <c r="V778" s="149">
        <f>IF(AND('Master Stock'!D778&lt;&gt;"",'Master Stock'!H778="OCCUPIED",ISNUMBER('Master Stock'!L778),'Master Stock'!L778&lt;TODAY()-30),SUMPRODUCT(--('Master Stock'!$D$2:$D$1000&lt;&gt;""),--('Master Stock'!$H$2:$H$1000="OCCUPIED"),--ISNUMBER('Master Stock'!$L$2:$L$1000),--('Master Stock'!$L$2:$L$1000&lt;TODAY()-30),--('Master Stock'!$L$2:$L$1000&lt;'Master Stock'!L778))+COUNTIFS('Master Stock'!$L$2:L778,'Master Stock'!L778,'Master Stock'!$D$2:D778,"&lt;&gt;",'Master Stock'!$H$2:H778,"OCCUPIED"),"")</f>
        <v/>
      </c>
      <c r="W778" s="149" t="n"/>
      <c r="X778" s="149" t="n"/>
      <c r="Y778" s="149" t="n"/>
      <c r="Z778" s="149" t="n"/>
    </row>
    <row r="779" ht="15.75" customHeight="1" s="236">
      <c r="A779" s="148" t="n"/>
      <c r="B779" s="148" t="n"/>
      <c r="C779" s="124" t="n"/>
      <c r="D779" s="148" t="n"/>
      <c r="E779" s="148" t="n"/>
      <c r="F779" s="148" t="n"/>
      <c r="G779" s="124" t="n"/>
      <c r="H779" s="148" t="n"/>
      <c r="I779" s="148" t="n"/>
      <c r="J779" s="148" t="n"/>
      <c r="K779" s="148" t="n"/>
      <c r="L779" s="148" t="n"/>
      <c r="M779" s="148" t="n"/>
      <c r="N779" s="148" t="n"/>
      <c r="O779" s="148" t="n"/>
      <c r="P779" s="148" t="n"/>
      <c r="Q779" s="148" t="n"/>
      <c r="R779" s="148" t="n"/>
      <c r="S779" s="148" t="n"/>
      <c r="T779" s="148" t="n"/>
      <c r="U779" s="149">
        <f>IF(AND('Master Stock'!D779&lt;&gt;"",'Master Stock'!H779="OCCUPIED",ISNUMBER('Master Stock'!J779),'Master Stock'!K779=""),SUMPRODUCT(--('Master Stock'!$D$2:$D$1000&lt;&gt;""),--('Master Stock'!$H$2:$H$1000="OCCUPIED"),--ISNUMBER('Master Stock'!$J$2:$J$1000),--('Master Stock'!$K$2:$K$1000=""),--('Master Stock'!$J$2:$J$1000&lt;'Master Stock'!J779))+COUNTIFS('Master Stock'!$J$2:J779,'Master Stock'!J779,'Master Stock'!$D$2:D779,"&lt;&gt;",'Master Stock'!$H$2:H779,"OCCUPIED",'Master Stock'!$K$2:K779,""),"")</f>
        <v/>
      </c>
      <c r="V779" s="149">
        <f>IF(AND('Master Stock'!D779&lt;&gt;"",'Master Stock'!H779="OCCUPIED",ISNUMBER('Master Stock'!L779),'Master Stock'!L779&lt;TODAY()-30),SUMPRODUCT(--('Master Stock'!$D$2:$D$1000&lt;&gt;""),--('Master Stock'!$H$2:$H$1000="OCCUPIED"),--ISNUMBER('Master Stock'!$L$2:$L$1000),--('Master Stock'!$L$2:$L$1000&lt;TODAY()-30),--('Master Stock'!$L$2:$L$1000&lt;'Master Stock'!L779))+COUNTIFS('Master Stock'!$L$2:L779,'Master Stock'!L779,'Master Stock'!$D$2:D779,"&lt;&gt;",'Master Stock'!$H$2:H779,"OCCUPIED"),"")</f>
        <v/>
      </c>
      <c r="W779" s="149" t="n"/>
      <c r="X779" s="149" t="n"/>
      <c r="Y779" s="149" t="n"/>
      <c r="Z779" s="149" t="n"/>
    </row>
    <row r="780" ht="15.75" customHeight="1" s="236">
      <c r="A780" s="148" t="n"/>
      <c r="B780" s="148" t="n"/>
      <c r="C780" s="124" t="n"/>
      <c r="D780" s="148" t="n"/>
      <c r="E780" s="148" t="n"/>
      <c r="F780" s="148" t="n"/>
      <c r="G780" s="124" t="n"/>
      <c r="H780" s="148" t="n"/>
      <c r="I780" s="148" t="n"/>
      <c r="J780" s="148" t="n"/>
      <c r="K780" s="148" t="n"/>
      <c r="L780" s="148" t="n"/>
      <c r="M780" s="148" t="n"/>
      <c r="N780" s="148" t="n"/>
      <c r="O780" s="148" t="n"/>
      <c r="P780" s="148" t="n"/>
      <c r="Q780" s="148" t="n"/>
      <c r="R780" s="148" t="n"/>
      <c r="S780" s="148" t="n"/>
      <c r="T780" s="148" t="n"/>
      <c r="U780" s="149">
        <f>IF(AND('Master Stock'!D780&lt;&gt;"",'Master Stock'!H780="OCCUPIED",ISNUMBER('Master Stock'!J780),'Master Stock'!K780=""),SUMPRODUCT(--('Master Stock'!$D$2:$D$1000&lt;&gt;""),--('Master Stock'!$H$2:$H$1000="OCCUPIED"),--ISNUMBER('Master Stock'!$J$2:$J$1000),--('Master Stock'!$K$2:$K$1000=""),--('Master Stock'!$J$2:$J$1000&lt;'Master Stock'!J780))+COUNTIFS('Master Stock'!$J$2:J780,'Master Stock'!J780,'Master Stock'!$D$2:D780,"&lt;&gt;",'Master Stock'!$H$2:H780,"OCCUPIED",'Master Stock'!$K$2:K780,""),"")</f>
        <v/>
      </c>
      <c r="V780" s="149">
        <f>IF(AND('Master Stock'!D780&lt;&gt;"",'Master Stock'!H780="OCCUPIED",ISNUMBER('Master Stock'!L780),'Master Stock'!L780&lt;TODAY()-30),SUMPRODUCT(--('Master Stock'!$D$2:$D$1000&lt;&gt;""),--('Master Stock'!$H$2:$H$1000="OCCUPIED"),--ISNUMBER('Master Stock'!$L$2:$L$1000),--('Master Stock'!$L$2:$L$1000&lt;TODAY()-30),--('Master Stock'!$L$2:$L$1000&lt;'Master Stock'!L780))+COUNTIFS('Master Stock'!$L$2:L780,'Master Stock'!L780,'Master Stock'!$D$2:D780,"&lt;&gt;",'Master Stock'!$H$2:H780,"OCCUPIED"),"")</f>
        <v/>
      </c>
      <c r="W780" s="149" t="n"/>
      <c r="X780" s="149" t="n"/>
      <c r="Y780" s="149" t="n"/>
      <c r="Z780" s="149" t="n"/>
    </row>
    <row r="781" ht="15.75" customHeight="1" s="236">
      <c r="A781" s="148" t="n"/>
      <c r="B781" s="148" t="n"/>
      <c r="C781" s="124" t="n"/>
      <c r="D781" s="148" t="n"/>
      <c r="E781" s="148" t="n"/>
      <c r="F781" s="148" t="n"/>
      <c r="G781" s="124" t="n"/>
      <c r="H781" s="148" t="n"/>
      <c r="I781" s="148" t="n"/>
      <c r="J781" s="148" t="n"/>
      <c r="K781" s="148" t="n"/>
      <c r="L781" s="148" t="n"/>
      <c r="M781" s="148" t="n"/>
      <c r="N781" s="148" t="n"/>
      <c r="O781" s="148" t="n"/>
      <c r="P781" s="148" t="n"/>
      <c r="Q781" s="148" t="n"/>
      <c r="R781" s="148" t="n"/>
      <c r="S781" s="148" t="n"/>
      <c r="T781" s="148" t="n"/>
      <c r="U781" s="149">
        <f>IF(AND('Master Stock'!D781&lt;&gt;"",'Master Stock'!H781="OCCUPIED",ISNUMBER('Master Stock'!J781),'Master Stock'!K781=""),SUMPRODUCT(--('Master Stock'!$D$2:$D$1000&lt;&gt;""),--('Master Stock'!$H$2:$H$1000="OCCUPIED"),--ISNUMBER('Master Stock'!$J$2:$J$1000),--('Master Stock'!$K$2:$K$1000=""),--('Master Stock'!$J$2:$J$1000&lt;'Master Stock'!J781))+COUNTIFS('Master Stock'!$J$2:J781,'Master Stock'!J781,'Master Stock'!$D$2:D781,"&lt;&gt;",'Master Stock'!$H$2:H781,"OCCUPIED",'Master Stock'!$K$2:K781,""),"")</f>
        <v/>
      </c>
      <c r="V781" s="149">
        <f>IF(AND('Master Stock'!D781&lt;&gt;"",'Master Stock'!H781="OCCUPIED",ISNUMBER('Master Stock'!L781),'Master Stock'!L781&lt;TODAY()-30),SUMPRODUCT(--('Master Stock'!$D$2:$D$1000&lt;&gt;""),--('Master Stock'!$H$2:$H$1000="OCCUPIED"),--ISNUMBER('Master Stock'!$L$2:$L$1000),--('Master Stock'!$L$2:$L$1000&lt;TODAY()-30),--('Master Stock'!$L$2:$L$1000&lt;'Master Stock'!L781))+COUNTIFS('Master Stock'!$L$2:L781,'Master Stock'!L781,'Master Stock'!$D$2:D781,"&lt;&gt;",'Master Stock'!$H$2:H781,"OCCUPIED"),"")</f>
        <v/>
      </c>
      <c r="W781" s="149" t="n"/>
      <c r="X781" s="149" t="n"/>
      <c r="Y781" s="149" t="n"/>
      <c r="Z781" s="149" t="n"/>
    </row>
    <row r="782" ht="15.75" customHeight="1" s="236">
      <c r="A782" s="148" t="n"/>
      <c r="B782" s="148" t="n"/>
      <c r="C782" s="124" t="n"/>
      <c r="D782" s="148" t="n"/>
      <c r="E782" s="148" t="n"/>
      <c r="F782" s="148" t="n"/>
      <c r="G782" s="124" t="n"/>
      <c r="H782" s="148" t="n"/>
      <c r="I782" s="148" t="n"/>
      <c r="J782" s="148" t="n"/>
      <c r="K782" s="148" t="n"/>
      <c r="L782" s="148" t="n"/>
      <c r="M782" s="148" t="n"/>
      <c r="N782" s="148" t="n"/>
      <c r="O782" s="148" t="n"/>
      <c r="P782" s="148" t="n"/>
      <c r="Q782" s="148" t="n"/>
      <c r="R782" s="148" t="n"/>
      <c r="S782" s="148" t="n"/>
      <c r="T782" s="148" t="n"/>
      <c r="U782" s="149">
        <f>IF(AND('Master Stock'!D782&lt;&gt;"",'Master Stock'!H782="OCCUPIED",ISNUMBER('Master Stock'!J782),'Master Stock'!K782=""),SUMPRODUCT(--('Master Stock'!$D$2:$D$1000&lt;&gt;""),--('Master Stock'!$H$2:$H$1000="OCCUPIED"),--ISNUMBER('Master Stock'!$J$2:$J$1000),--('Master Stock'!$K$2:$K$1000=""),--('Master Stock'!$J$2:$J$1000&lt;'Master Stock'!J782))+COUNTIFS('Master Stock'!$J$2:J782,'Master Stock'!J782,'Master Stock'!$D$2:D782,"&lt;&gt;",'Master Stock'!$H$2:H782,"OCCUPIED",'Master Stock'!$K$2:K782,""),"")</f>
        <v/>
      </c>
      <c r="V782" s="149">
        <f>IF(AND('Master Stock'!D782&lt;&gt;"",'Master Stock'!H782="OCCUPIED",ISNUMBER('Master Stock'!L782),'Master Stock'!L782&lt;TODAY()-30),SUMPRODUCT(--('Master Stock'!$D$2:$D$1000&lt;&gt;""),--('Master Stock'!$H$2:$H$1000="OCCUPIED"),--ISNUMBER('Master Stock'!$L$2:$L$1000),--('Master Stock'!$L$2:$L$1000&lt;TODAY()-30),--('Master Stock'!$L$2:$L$1000&lt;'Master Stock'!L782))+COUNTIFS('Master Stock'!$L$2:L782,'Master Stock'!L782,'Master Stock'!$D$2:D782,"&lt;&gt;",'Master Stock'!$H$2:H782,"OCCUPIED"),"")</f>
        <v/>
      </c>
      <c r="W782" s="149" t="n"/>
      <c r="X782" s="149" t="n"/>
      <c r="Y782" s="149" t="n"/>
      <c r="Z782" s="149" t="n"/>
    </row>
    <row r="783" ht="15.75" customHeight="1" s="236">
      <c r="A783" s="148" t="n"/>
      <c r="B783" s="148" t="n"/>
      <c r="C783" s="124" t="n"/>
      <c r="D783" s="148" t="n"/>
      <c r="E783" s="148" t="n"/>
      <c r="F783" s="148" t="n"/>
      <c r="G783" s="124" t="n"/>
      <c r="H783" s="148" t="n"/>
      <c r="I783" s="148" t="n"/>
      <c r="J783" s="148" t="n"/>
      <c r="K783" s="148" t="n"/>
      <c r="L783" s="148" t="n"/>
      <c r="M783" s="148" t="n"/>
      <c r="N783" s="148" t="n"/>
      <c r="O783" s="148" t="n"/>
      <c r="P783" s="148" t="n"/>
      <c r="Q783" s="148" t="n"/>
      <c r="R783" s="148" t="n"/>
      <c r="S783" s="148" t="n"/>
      <c r="T783" s="148" t="n"/>
      <c r="U783" s="149">
        <f>IF(AND('Master Stock'!D783&lt;&gt;"",'Master Stock'!H783="OCCUPIED",ISNUMBER('Master Stock'!J783),'Master Stock'!K783=""),SUMPRODUCT(--('Master Stock'!$D$2:$D$1000&lt;&gt;""),--('Master Stock'!$H$2:$H$1000="OCCUPIED"),--ISNUMBER('Master Stock'!$J$2:$J$1000),--('Master Stock'!$K$2:$K$1000=""),--('Master Stock'!$J$2:$J$1000&lt;'Master Stock'!J783))+COUNTIFS('Master Stock'!$J$2:J783,'Master Stock'!J783,'Master Stock'!$D$2:D783,"&lt;&gt;",'Master Stock'!$H$2:H783,"OCCUPIED",'Master Stock'!$K$2:K783,""),"")</f>
        <v/>
      </c>
      <c r="V783" s="149">
        <f>IF(AND('Master Stock'!D783&lt;&gt;"",'Master Stock'!H783="OCCUPIED",ISNUMBER('Master Stock'!L783),'Master Stock'!L783&lt;TODAY()-30),SUMPRODUCT(--('Master Stock'!$D$2:$D$1000&lt;&gt;""),--('Master Stock'!$H$2:$H$1000="OCCUPIED"),--ISNUMBER('Master Stock'!$L$2:$L$1000),--('Master Stock'!$L$2:$L$1000&lt;TODAY()-30),--('Master Stock'!$L$2:$L$1000&lt;'Master Stock'!L783))+COUNTIFS('Master Stock'!$L$2:L783,'Master Stock'!L783,'Master Stock'!$D$2:D783,"&lt;&gt;",'Master Stock'!$H$2:H783,"OCCUPIED"),"")</f>
        <v/>
      </c>
      <c r="W783" s="149" t="n"/>
      <c r="X783" s="149" t="n"/>
      <c r="Y783" s="149" t="n"/>
      <c r="Z783" s="149" t="n"/>
    </row>
    <row r="784" ht="15.75" customHeight="1" s="236">
      <c r="A784" s="148" t="n"/>
      <c r="B784" s="148" t="n"/>
      <c r="C784" s="124" t="n"/>
      <c r="D784" s="148" t="n"/>
      <c r="E784" s="148" t="n"/>
      <c r="F784" s="148" t="n"/>
      <c r="G784" s="124" t="n"/>
      <c r="H784" s="148" t="n"/>
      <c r="I784" s="148" t="n"/>
      <c r="J784" s="148" t="n"/>
      <c r="K784" s="148" t="n"/>
      <c r="L784" s="148" t="n"/>
      <c r="M784" s="148" t="n"/>
      <c r="N784" s="148" t="n"/>
      <c r="O784" s="148" t="n"/>
      <c r="P784" s="148" t="n"/>
      <c r="Q784" s="148" t="n"/>
      <c r="R784" s="148" t="n"/>
      <c r="S784" s="148" t="n"/>
      <c r="T784" s="148" t="n"/>
      <c r="U784" s="149">
        <f>IF(AND('Master Stock'!D784&lt;&gt;"",'Master Stock'!H784="OCCUPIED",ISNUMBER('Master Stock'!J784),'Master Stock'!K784=""),SUMPRODUCT(--('Master Stock'!$D$2:$D$1000&lt;&gt;""),--('Master Stock'!$H$2:$H$1000="OCCUPIED"),--ISNUMBER('Master Stock'!$J$2:$J$1000),--('Master Stock'!$K$2:$K$1000=""),--('Master Stock'!$J$2:$J$1000&lt;'Master Stock'!J784))+COUNTIFS('Master Stock'!$J$2:J784,'Master Stock'!J784,'Master Stock'!$D$2:D784,"&lt;&gt;",'Master Stock'!$H$2:H784,"OCCUPIED",'Master Stock'!$K$2:K784,""),"")</f>
        <v/>
      </c>
      <c r="V784" s="149">
        <f>IF(AND('Master Stock'!D784&lt;&gt;"",'Master Stock'!H784="OCCUPIED",ISNUMBER('Master Stock'!L784),'Master Stock'!L784&lt;TODAY()-30),SUMPRODUCT(--('Master Stock'!$D$2:$D$1000&lt;&gt;""),--('Master Stock'!$H$2:$H$1000="OCCUPIED"),--ISNUMBER('Master Stock'!$L$2:$L$1000),--('Master Stock'!$L$2:$L$1000&lt;TODAY()-30),--('Master Stock'!$L$2:$L$1000&lt;'Master Stock'!L784))+COUNTIFS('Master Stock'!$L$2:L784,'Master Stock'!L784,'Master Stock'!$D$2:D784,"&lt;&gt;",'Master Stock'!$H$2:H784,"OCCUPIED"),"")</f>
        <v/>
      </c>
      <c r="W784" s="149" t="n"/>
      <c r="X784" s="149" t="n"/>
      <c r="Y784" s="149" t="n"/>
      <c r="Z784" s="149" t="n"/>
    </row>
    <row r="785" ht="15.75" customHeight="1" s="236">
      <c r="A785" s="148" t="n"/>
      <c r="B785" s="148" t="n"/>
      <c r="C785" s="124" t="n"/>
      <c r="D785" s="148" t="n"/>
      <c r="E785" s="148" t="n"/>
      <c r="F785" s="148" t="n"/>
      <c r="G785" s="124" t="n"/>
      <c r="H785" s="148" t="n"/>
      <c r="I785" s="148" t="n"/>
      <c r="J785" s="148" t="n"/>
      <c r="K785" s="148" t="n"/>
      <c r="L785" s="148" t="n"/>
      <c r="M785" s="148" t="n"/>
      <c r="N785" s="148" t="n"/>
      <c r="O785" s="148" t="n"/>
      <c r="P785" s="148" t="n"/>
      <c r="Q785" s="148" t="n"/>
      <c r="R785" s="148" t="n"/>
      <c r="S785" s="148" t="n"/>
      <c r="T785" s="148" t="n"/>
      <c r="U785" s="149">
        <f>IF(AND('Master Stock'!D785&lt;&gt;"",'Master Stock'!H785="OCCUPIED",ISNUMBER('Master Stock'!J785),'Master Stock'!K785=""),SUMPRODUCT(--('Master Stock'!$D$2:$D$1000&lt;&gt;""),--('Master Stock'!$H$2:$H$1000="OCCUPIED"),--ISNUMBER('Master Stock'!$J$2:$J$1000),--('Master Stock'!$K$2:$K$1000=""),--('Master Stock'!$J$2:$J$1000&lt;'Master Stock'!J785))+COUNTIFS('Master Stock'!$J$2:J785,'Master Stock'!J785,'Master Stock'!$D$2:D785,"&lt;&gt;",'Master Stock'!$H$2:H785,"OCCUPIED",'Master Stock'!$K$2:K785,""),"")</f>
        <v/>
      </c>
      <c r="V785" s="149">
        <f>IF(AND('Master Stock'!D785&lt;&gt;"",'Master Stock'!H785="OCCUPIED",ISNUMBER('Master Stock'!L785),'Master Stock'!L785&lt;TODAY()-30),SUMPRODUCT(--('Master Stock'!$D$2:$D$1000&lt;&gt;""),--('Master Stock'!$H$2:$H$1000="OCCUPIED"),--ISNUMBER('Master Stock'!$L$2:$L$1000),--('Master Stock'!$L$2:$L$1000&lt;TODAY()-30),--('Master Stock'!$L$2:$L$1000&lt;'Master Stock'!L785))+COUNTIFS('Master Stock'!$L$2:L785,'Master Stock'!L785,'Master Stock'!$D$2:D785,"&lt;&gt;",'Master Stock'!$H$2:H785,"OCCUPIED"),"")</f>
        <v/>
      </c>
      <c r="W785" s="149" t="n"/>
      <c r="X785" s="149" t="n"/>
      <c r="Y785" s="149" t="n"/>
      <c r="Z785" s="149" t="n"/>
    </row>
    <row r="786" ht="15.75" customHeight="1" s="236">
      <c r="A786" s="148" t="n"/>
      <c r="B786" s="148" t="n"/>
      <c r="C786" s="124" t="n"/>
      <c r="D786" s="148" t="n"/>
      <c r="E786" s="148" t="n"/>
      <c r="F786" s="148" t="n"/>
      <c r="G786" s="124" t="n"/>
      <c r="H786" s="148" t="n"/>
      <c r="I786" s="148" t="n"/>
      <c r="J786" s="148" t="n"/>
      <c r="K786" s="148" t="n"/>
      <c r="L786" s="148" t="n"/>
      <c r="M786" s="148" t="n"/>
      <c r="N786" s="148" t="n"/>
      <c r="O786" s="148" t="n"/>
      <c r="P786" s="148" t="n"/>
      <c r="Q786" s="148" t="n"/>
      <c r="R786" s="148" t="n"/>
      <c r="S786" s="148" t="n"/>
      <c r="T786" s="148" t="n"/>
      <c r="U786" s="149">
        <f>IF(AND('Master Stock'!D786&lt;&gt;"",'Master Stock'!H786="OCCUPIED",ISNUMBER('Master Stock'!J786),'Master Stock'!K786=""),SUMPRODUCT(--('Master Stock'!$D$2:$D$1000&lt;&gt;""),--('Master Stock'!$H$2:$H$1000="OCCUPIED"),--ISNUMBER('Master Stock'!$J$2:$J$1000),--('Master Stock'!$K$2:$K$1000=""),--('Master Stock'!$J$2:$J$1000&lt;'Master Stock'!J786))+COUNTIFS('Master Stock'!$J$2:J786,'Master Stock'!J786,'Master Stock'!$D$2:D786,"&lt;&gt;",'Master Stock'!$H$2:H786,"OCCUPIED",'Master Stock'!$K$2:K786,""),"")</f>
        <v/>
      </c>
      <c r="V786" s="149">
        <f>IF(AND('Master Stock'!D786&lt;&gt;"",'Master Stock'!H786="OCCUPIED",ISNUMBER('Master Stock'!L786),'Master Stock'!L786&lt;TODAY()-30),SUMPRODUCT(--('Master Stock'!$D$2:$D$1000&lt;&gt;""),--('Master Stock'!$H$2:$H$1000="OCCUPIED"),--ISNUMBER('Master Stock'!$L$2:$L$1000),--('Master Stock'!$L$2:$L$1000&lt;TODAY()-30),--('Master Stock'!$L$2:$L$1000&lt;'Master Stock'!L786))+COUNTIFS('Master Stock'!$L$2:L786,'Master Stock'!L786,'Master Stock'!$D$2:D786,"&lt;&gt;",'Master Stock'!$H$2:H786,"OCCUPIED"),"")</f>
        <v/>
      </c>
      <c r="W786" s="149" t="n"/>
      <c r="X786" s="149" t="n"/>
      <c r="Y786" s="149" t="n"/>
      <c r="Z786" s="149" t="n"/>
    </row>
    <row r="787" ht="15.75" customHeight="1" s="236">
      <c r="A787" s="148" t="n"/>
      <c r="B787" s="148" t="n"/>
      <c r="C787" s="124" t="n"/>
      <c r="D787" s="148" t="n"/>
      <c r="E787" s="148" t="n"/>
      <c r="F787" s="148" t="n"/>
      <c r="G787" s="124" t="n"/>
      <c r="H787" s="148" t="n"/>
      <c r="I787" s="148" t="n"/>
      <c r="J787" s="148" t="n"/>
      <c r="K787" s="148" t="n"/>
      <c r="L787" s="148" t="n"/>
      <c r="M787" s="148" t="n"/>
      <c r="N787" s="148" t="n"/>
      <c r="O787" s="148" t="n"/>
      <c r="P787" s="148" t="n"/>
      <c r="Q787" s="148" t="n"/>
      <c r="R787" s="148" t="n"/>
      <c r="S787" s="148" t="n"/>
      <c r="T787" s="148" t="n"/>
      <c r="U787" s="149">
        <f>IF(AND('Master Stock'!D787&lt;&gt;"",'Master Stock'!H787="OCCUPIED",ISNUMBER('Master Stock'!J787),'Master Stock'!K787=""),SUMPRODUCT(--('Master Stock'!$D$2:$D$1000&lt;&gt;""),--('Master Stock'!$H$2:$H$1000="OCCUPIED"),--ISNUMBER('Master Stock'!$J$2:$J$1000),--('Master Stock'!$K$2:$K$1000=""),--('Master Stock'!$J$2:$J$1000&lt;'Master Stock'!J787))+COUNTIFS('Master Stock'!$J$2:J787,'Master Stock'!J787,'Master Stock'!$D$2:D787,"&lt;&gt;",'Master Stock'!$H$2:H787,"OCCUPIED",'Master Stock'!$K$2:K787,""),"")</f>
        <v/>
      </c>
      <c r="V787" s="149">
        <f>IF(AND('Master Stock'!D787&lt;&gt;"",'Master Stock'!H787="OCCUPIED",ISNUMBER('Master Stock'!L787),'Master Stock'!L787&lt;TODAY()-30),SUMPRODUCT(--('Master Stock'!$D$2:$D$1000&lt;&gt;""),--('Master Stock'!$H$2:$H$1000="OCCUPIED"),--ISNUMBER('Master Stock'!$L$2:$L$1000),--('Master Stock'!$L$2:$L$1000&lt;TODAY()-30),--('Master Stock'!$L$2:$L$1000&lt;'Master Stock'!L787))+COUNTIFS('Master Stock'!$L$2:L787,'Master Stock'!L787,'Master Stock'!$D$2:D787,"&lt;&gt;",'Master Stock'!$H$2:H787,"OCCUPIED"),"")</f>
        <v/>
      </c>
      <c r="W787" s="149" t="n"/>
      <c r="X787" s="149" t="n"/>
      <c r="Y787" s="149" t="n"/>
      <c r="Z787" s="149" t="n"/>
    </row>
    <row r="788" ht="15.75" customHeight="1" s="236">
      <c r="A788" s="148" t="n"/>
      <c r="B788" s="148" t="n"/>
      <c r="C788" s="124" t="n"/>
      <c r="D788" s="148" t="n"/>
      <c r="E788" s="148" t="n"/>
      <c r="F788" s="148" t="n"/>
      <c r="G788" s="124" t="n"/>
      <c r="H788" s="148" t="n"/>
      <c r="I788" s="148" t="n"/>
      <c r="J788" s="148" t="n"/>
      <c r="K788" s="148" t="n"/>
      <c r="L788" s="148" t="n"/>
      <c r="M788" s="148" t="n"/>
      <c r="N788" s="148" t="n"/>
      <c r="O788" s="148" t="n"/>
      <c r="P788" s="148" t="n"/>
      <c r="Q788" s="148" t="n"/>
      <c r="R788" s="148" t="n"/>
      <c r="S788" s="148" t="n"/>
      <c r="T788" s="148" t="n"/>
      <c r="U788" s="149">
        <f>IF(AND('Master Stock'!D788&lt;&gt;"",'Master Stock'!H788="OCCUPIED",ISNUMBER('Master Stock'!J788),'Master Stock'!K788=""),SUMPRODUCT(--('Master Stock'!$D$2:$D$1000&lt;&gt;""),--('Master Stock'!$H$2:$H$1000="OCCUPIED"),--ISNUMBER('Master Stock'!$J$2:$J$1000),--('Master Stock'!$K$2:$K$1000=""),--('Master Stock'!$J$2:$J$1000&lt;'Master Stock'!J788))+COUNTIFS('Master Stock'!$J$2:J788,'Master Stock'!J788,'Master Stock'!$D$2:D788,"&lt;&gt;",'Master Stock'!$H$2:H788,"OCCUPIED",'Master Stock'!$K$2:K788,""),"")</f>
        <v/>
      </c>
      <c r="V788" s="149">
        <f>IF(AND('Master Stock'!D788&lt;&gt;"",'Master Stock'!H788="OCCUPIED",ISNUMBER('Master Stock'!L788),'Master Stock'!L788&lt;TODAY()-30),SUMPRODUCT(--('Master Stock'!$D$2:$D$1000&lt;&gt;""),--('Master Stock'!$H$2:$H$1000="OCCUPIED"),--ISNUMBER('Master Stock'!$L$2:$L$1000),--('Master Stock'!$L$2:$L$1000&lt;TODAY()-30),--('Master Stock'!$L$2:$L$1000&lt;'Master Stock'!L788))+COUNTIFS('Master Stock'!$L$2:L788,'Master Stock'!L788,'Master Stock'!$D$2:D788,"&lt;&gt;",'Master Stock'!$H$2:H788,"OCCUPIED"),"")</f>
        <v/>
      </c>
      <c r="W788" s="149" t="n"/>
      <c r="X788" s="149" t="n"/>
      <c r="Y788" s="149" t="n"/>
      <c r="Z788" s="149" t="n"/>
    </row>
    <row r="789" ht="15.75" customHeight="1" s="236">
      <c r="A789" s="148" t="n"/>
      <c r="B789" s="148" t="n"/>
      <c r="C789" s="124" t="n"/>
      <c r="D789" s="148" t="n"/>
      <c r="E789" s="148" t="n"/>
      <c r="F789" s="148" t="n"/>
      <c r="G789" s="124" t="n"/>
      <c r="H789" s="148" t="n"/>
      <c r="I789" s="148" t="n"/>
      <c r="J789" s="148" t="n"/>
      <c r="K789" s="148" t="n"/>
      <c r="L789" s="148" t="n"/>
      <c r="M789" s="148" t="n"/>
      <c r="N789" s="148" t="n"/>
      <c r="O789" s="148" t="n"/>
      <c r="P789" s="148" t="n"/>
      <c r="Q789" s="148" t="n"/>
      <c r="R789" s="148" t="n"/>
      <c r="S789" s="148" t="n"/>
      <c r="T789" s="148" t="n"/>
      <c r="U789" s="149">
        <f>IF(AND('Master Stock'!D789&lt;&gt;"",'Master Stock'!H789="OCCUPIED",ISNUMBER('Master Stock'!J789),'Master Stock'!K789=""),SUMPRODUCT(--('Master Stock'!$D$2:$D$1000&lt;&gt;""),--('Master Stock'!$H$2:$H$1000="OCCUPIED"),--ISNUMBER('Master Stock'!$J$2:$J$1000),--('Master Stock'!$K$2:$K$1000=""),--('Master Stock'!$J$2:$J$1000&lt;'Master Stock'!J789))+COUNTIFS('Master Stock'!$J$2:J789,'Master Stock'!J789,'Master Stock'!$D$2:D789,"&lt;&gt;",'Master Stock'!$H$2:H789,"OCCUPIED",'Master Stock'!$K$2:K789,""),"")</f>
        <v/>
      </c>
      <c r="V789" s="149">
        <f>IF(AND('Master Stock'!D789&lt;&gt;"",'Master Stock'!H789="OCCUPIED",ISNUMBER('Master Stock'!L789),'Master Stock'!L789&lt;TODAY()-30),SUMPRODUCT(--('Master Stock'!$D$2:$D$1000&lt;&gt;""),--('Master Stock'!$H$2:$H$1000="OCCUPIED"),--ISNUMBER('Master Stock'!$L$2:$L$1000),--('Master Stock'!$L$2:$L$1000&lt;TODAY()-30),--('Master Stock'!$L$2:$L$1000&lt;'Master Stock'!L789))+COUNTIFS('Master Stock'!$L$2:L789,'Master Stock'!L789,'Master Stock'!$D$2:D789,"&lt;&gt;",'Master Stock'!$H$2:H789,"OCCUPIED"),"")</f>
        <v/>
      </c>
      <c r="W789" s="149" t="n"/>
      <c r="X789" s="149" t="n"/>
      <c r="Y789" s="149" t="n"/>
      <c r="Z789" s="149" t="n"/>
    </row>
    <row r="790" ht="15.75" customHeight="1" s="236">
      <c r="A790" s="148" t="n"/>
      <c r="B790" s="148" t="n"/>
      <c r="C790" s="124" t="n"/>
      <c r="D790" s="148" t="n"/>
      <c r="E790" s="148" t="n"/>
      <c r="F790" s="148" t="n"/>
      <c r="G790" s="124" t="n"/>
      <c r="H790" s="148" t="n"/>
      <c r="I790" s="148" t="n"/>
      <c r="J790" s="148" t="n"/>
      <c r="K790" s="148" t="n"/>
      <c r="L790" s="148" t="n"/>
      <c r="M790" s="148" t="n"/>
      <c r="N790" s="148" t="n"/>
      <c r="O790" s="148" t="n"/>
      <c r="P790" s="148" t="n"/>
      <c r="Q790" s="148" t="n"/>
      <c r="R790" s="148" t="n"/>
      <c r="S790" s="148" t="n"/>
      <c r="T790" s="148" t="n"/>
      <c r="U790" s="149">
        <f>IF(AND('Master Stock'!D790&lt;&gt;"",'Master Stock'!H790="OCCUPIED",ISNUMBER('Master Stock'!J790),'Master Stock'!K790=""),SUMPRODUCT(--('Master Stock'!$D$2:$D$1000&lt;&gt;""),--('Master Stock'!$H$2:$H$1000="OCCUPIED"),--ISNUMBER('Master Stock'!$J$2:$J$1000),--('Master Stock'!$K$2:$K$1000=""),--('Master Stock'!$J$2:$J$1000&lt;'Master Stock'!J790))+COUNTIFS('Master Stock'!$J$2:J790,'Master Stock'!J790,'Master Stock'!$D$2:D790,"&lt;&gt;",'Master Stock'!$H$2:H790,"OCCUPIED",'Master Stock'!$K$2:K790,""),"")</f>
        <v/>
      </c>
      <c r="V790" s="149">
        <f>IF(AND('Master Stock'!D790&lt;&gt;"",'Master Stock'!H790="OCCUPIED",ISNUMBER('Master Stock'!L790),'Master Stock'!L790&lt;TODAY()-30),SUMPRODUCT(--('Master Stock'!$D$2:$D$1000&lt;&gt;""),--('Master Stock'!$H$2:$H$1000="OCCUPIED"),--ISNUMBER('Master Stock'!$L$2:$L$1000),--('Master Stock'!$L$2:$L$1000&lt;TODAY()-30),--('Master Stock'!$L$2:$L$1000&lt;'Master Stock'!L790))+COUNTIFS('Master Stock'!$L$2:L790,'Master Stock'!L790,'Master Stock'!$D$2:D790,"&lt;&gt;",'Master Stock'!$H$2:H790,"OCCUPIED"),"")</f>
        <v/>
      </c>
      <c r="W790" s="149" t="n"/>
      <c r="X790" s="149" t="n"/>
      <c r="Y790" s="149" t="n"/>
      <c r="Z790" s="149" t="n"/>
    </row>
    <row r="791" ht="15.75" customHeight="1" s="236">
      <c r="A791" s="148" t="n"/>
      <c r="B791" s="148" t="n"/>
      <c r="C791" s="124" t="n"/>
      <c r="D791" s="148" t="n"/>
      <c r="E791" s="148" t="n"/>
      <c r="F791" s="148" t="n"/>
      <c r="G791" s="124" t="n"/>
      <c r="H791" s="148" t="n"/>
      <c r="I791" s="148" t="n"/>
      <c r="J791" s="148" t="n"/>
      <c r="K791" s="148" t="n"/>
      <c r="L791" s="148" t="n"/>
      <c r="M791" s="148" t="n"/>
      <c r="N791" s="148" t="n"/>
      <c r="O791" s="148" t="n"/>
      <c r="P791" s="148" t="n"/>
      <c r="Q791" s="148" t="n"/>
      <c r="R791" s="148" t="n"/>
      <c r="S791" s="148" t="n"/>
      <c r="T791" s="148" t="n"/>
      <c r="U791" s="149">
        <f>IF(AND('Master Stock'!D791&lt;&gt;"",'Master Stock'!H791="OCCUPIED",ISNUMBER('Master Stock'!J791),'Master Stock'!K791=""),SUMPRODUCT(--('Master Stock'!$D$2:$D$1000&lt;&gt;""),--('Master Stock'!$H$2:$H$1000="OCCUPIED"),--ISNUMBER('Master Stock'!$J$2:$J$1000),--('Master Stock'!$K$2:$K$1000=""),--('Master Stock'!$J$2:$J$1000&lt;'Master Stock'!J791))+COUNTIFS('Master Stock'!$J$2:J791,'Master Stock'!J791,'Master Stock'!$D$2:D791,"&lt;&gt;",'Master Stock'!$H$2:H791,"OCCUPIED",'Master Stock'!$K$2:K791,""),"")</f>
        <v/>
      </c>
      <c r="V791" s="149">
        <f>IF(AND('Master Stock'!D791&lt;&gt;"",'Master Stock'!H791="OCCUPIED",ISNUMBER('Master Stock'!L791),'Master Stock'!L791&lt;TODAY()-30),SUMPRODUCT(--('Master Stock'!$D$2:$D$1000&lt;&gt;""),--('Master Stock'!$H$2:$H$1000="OCCUPIED"),--ISNUMBER('Master Stock'!$L$2:$L$1000),--('Master Stock'!$L$2:$L$1000&lt;TODAY()-30),--('Master Stock'!$L$2:$L$1000&lt;'Master Stock'!L791))+COUNTIFS('Master Stock'!$L$2:L791,'Master Stock'!L791,'Master Stock'!$D$2:D791,"&lt;&gt;",'Master Stock'!$H$2:H791,"OCCUPIED"),"")</f>
        <v/>
      </c>
      <c r="W791" s="149" t="n"/>
      <c r="X791" s="149" t="n"/>
      <c r="Y791" s="149" t="n"/>
      <c r="Z791" s="149" t="n"/>
    </row>
    <row r="792" ht="15.75" customHeight="1" s="236">
      <c r="A792" s="148" t="n"/>
      <c r="B792" s="148" t="n"/>
      <c r="C792" s="124" t="n"/>
      <c r="D792" s="148" t="n"/>
      <c r="E792" s="148" t="n"/>
      <c r="F792" s="148" t="n"/>
      <c r="G792" s="124" t="n"/>
      <c r="H792" s="148" t="n"/>
      <c r="I792" s="148" t="n"/>
      <c r="J792" s="148" t="n"/>
      <c r="K792" s="148" t="n"/>
      <c r="L792" s="148" t="n"/>
      <c r="M792" s="148" t="n"/>
      <c r="N792" s="148" t="n"/>
      <c r="O792" s="148" t="n"/>
      <c r="P792" s="148" t="n"/>
      <c r="Q792" s="148" t="n"/>
      <c r="R792" s="148" t="n"/>
      <c r="S792" s="148" t="n"/>
      <c r="T792" s="148" t="n"/>
      <c r="U792" s="149">
        <f>IF(AND('Master Stock'!D792&lt;&gt;"",'Master Stock'!H792="OCCUPIED",ISNUMBER('Master Stock'!J792),'Master Stock'!K792=""),SUMPRODUCT(--('Master Stock'!$D$2:$D$1000&lt;&gt;""),--('Master Stock'!$H$2:$H$1000="OCCUPIED"),--ISNUMBER('Master Stock'!$J$2:$J$1000),--('Master Stock'!$K$2:$K$1000=""),--('Master Stock'!$J$2:$J$1000&lt;'Master Stock'!J792))+COUNTIFS('Master Stock'!$J$2:J792,'Master Stock'!J792,'Master Stock'!$D$2:D792,"&lt;&gt;",'Master Stock'!$H$2:H792,"OCCUPIED",'Master Stock'!$K$2:K792,""),"")</f>
        <v/>
      </c>
      <c r="V792" s="149">
        <f>IF(AND('Master Stock'!D792&lt;&gt;"",'Master Stock'!H792="OCCUPIED",ISNUMBER('Master Stock'!L792),'Master Stock'!L792&lt;TODAY()-30),SUMPRODUCT(--('Master Stock'!$D$2:$D$1000&lt;&gt;""),--('Master Stock'!$H$2:$H$1000="OCCUPIED"),--ISNUMBER('Master Stock'!$L$2:$L$1000),--('Master Stock'!$L$2:$L$1000&lt;TODAY()-30),--('Master Stock'!$L$2:$L$1000&lt;'Master Stock'!L792))+COUNTIFS('Master Stock'!$L$2:L792,'Master Stock'!L792,'Master Stock'!$D$2:D792,"&lt;&gt;",'Master Stock'!$H$2:H792,"OCCUPIED"),"")</f>
        <v/>
      </c>
      <c r="W792" s="149" t="n"/>
      <c r="X792" s="149" t="n"/>
      <c r="Y792" s="149" t="n"/>
      <c r="Z792" s="149" t="n"/>
    </row>
    <row r="793" ht="15.75" customHeight="1" s="236">
      <c r="A793" s="148" t="n"/>
      <c r="B793" s="148" t="n"/>
      <c r="C793" s="124" t="n"/>
      <c r="D793" s="148" t="n"/>
      <c r="E793" s="148" t="n"/>
      <c r="F793" s="148" t="n"/>
      <c r="G793" s="124" t="n"/>
      <c r="H793" s="148" t="n"/>
      <c r="I793" s="148" t="n"/>
      <c r="J793" s="148" t="n"/>
      <c r="K793" s="148" t="n"/>
      <c r="L793" s="148" t="n"/>
      <c r="M793" s="148" t="n"/>
      <c r="N793" s="148" t="n"/>
      <c r="O793" s="148" t="n"/>
      <c r="P793" s="148" t="n"/>
      <c r="Q793" s="148" t="n"/>
      <c r="R793" s="148" t="n"/>
      <c r="S793" s="148" t="n"/>
      <c r="T793" s="148" t="n"/>
      <c r="U793" s="149">
        <f>IF(AND('Master Stock'!D793&lt;&gt;"",'Master Stock'!H793="OCCUPIED",ISNUMBER('Master Stock'!J793),'Master Stock'!K793=""),SUMPRODUCT(--('Master Stock'!$D$2:$D$1000&lt;&gt;""),--('Master Stock'!$H$2:$H$1000="OCCUPIED"),--ISNUMBER('Master Stock'!$J$2:$J$1000),--('Master Stock'!$K$2:$K$1000=""),--('Master Stock'!$J$2:$J$1000&lt;'Master Stock'!J793))+COUNTIFS('Master Stock'!$J$2:J793,'Master Stock'!J793,'Master Stock'!$D$2:D793,"&lt;&gt;",'Master Stock'!$H$2:H793,"OCCUPIED",'Master Stock'!$K$2:K793,""),"")</f>
        <v/>
      </c>
      <c r="V793" s="149">
        <f>IF(AND('Master Stock'!D793&lt;&gt;"",'Master Stock'!H793="OCCUPIED",ISNUMBER('Master Stock'!L793),'Master Stock'!L793&lt;TODAY()-30),SUMPRODUCT(--('Master Stock'!$D$2:$D$1000&lt;&gt;""),--('Master Stock'!$H$2:$H$1000="OCCUPIED"),--ISNUMBER('Master Stock'!$L$2:$L$1000),--('Master Stock'!$L$2:$L$1000&lt;TODAY()-30),--('Master Stock'!$L$2:$L$1000&lt;'Master Stock'!L793))+COUNTIFS('Master Stock'!$L$2:L793,'Master Stock'!L793,'Master Stock'!$D$2:D793,"&lt;&gt;",'Master Stock'!$H$2:H793,"OCCUPIED"),"")</f>
        <v/>
      </c>
      <c r="W793" s="149" t="n"/>
      <c r="X793" s="149" t="n"/>
      <c r="Y793" s="149" t="n"/>
      <c r="Z793" s="149" t="n"/>
    </row>
    <row r="794" ht="15.75" customHeight="1" s="236">
      <c r="A794" s="148" t="n"/>
      <c r="B794" s="148" t="n"/>
      <c r="C794" s="124" t="n"/>
      <c r="D794" s="148" t="n"/>
      <c r="E794" s="148" t="n"/>
      <c r="F794" s="148" t="n"/>
      <c r="G794" s="124" t="n"/>
      <c r="H794" s="148" t="n"/>
      <c r="I794" s="148" t="n"/>
      <c r="J794" s="148" t="n"/>
      <c r="K794" s="148" t="n"/>
      <c r="L794" s="148" t="n"/>
      <c r="M794" s="148" t="n"/>
      <c r="N794" s="148" t="n"/>
      <c r="O794" s="148" t="n"/>
      <c r="P794" s="148" t="n"/>
      <c r="Q794" s="148" t="n"/>
      <c r="R794" s="148" t="n"/>
      <c r="S794" s="148" t="n"/>
      <c r="T794" s="148" t="n"/>
      <c r="U794" s="149">
        <f>IF(AND('Master Stock'!D794&lt;&gt;"",'Master Stock'!H794="OCCUPIED",ISNUMBER('Master Stock'!J794),'Master Stock'!K794=""),SUMPRODUCT(--('Master Stock'!$D$2:$D$1000&lt;&gt;""),--('Master Stock'!$H$2:$H$1000="OCCUPIED"),--ISNUMBER('Master Stock'!$J$2:$J$1000),--('Master Stock'!$K$2:$K$1000=""),--('Master Stock'!$J$2:$J$1000&lt;'Master Stock'!J794))+COUNTIFS('Master Stock'!$J$2:J794,'Master Stock'!J794,'Master Stock'!$D$2:D794,"&lt;&gt;",'Master Stock'!$H$2:H794,"OCCUPIED",'Master Stock'!$K$2:K794,""),"")</f>
        <v/>
      </c>
      <c r="V794" s="149">
        <f>IF(AND('Master Stock'!D794&lt;&gt;"",'Master Stock'!H794="OCCUPIED",ISNUMBER('Master Stock'!L794),'Master Stock'!L794&lt;TODAY()-30),SUMPRODUCT(--('Master Stock'!$D$2:$D$1000&lt;&gt;""),--('Master Stock'!$H$2:$H$1000="OCCUPIED"),--ISNUMBER('Master Stock'!$L$2:$L$1000),--('Master Stock'!$L$2:$L$1000&lt;TODAY()-30),--('Master Stock'!$L$2:$L$1000&lt;'Master Stock'!L794))+COUNTIFS('Master Stock'!$L$2:L794,'Master Stock'!L794,'Master Stock'!$D$2:D794,"&lt;&gt;",'Master Stock'!$H$2:H794,"OCCUPIED"),"")</f>
        <v/>
      </c>
      <c r="W794" s="149" t="n"/>
      <c r="X794" s="149" t="n"/>
      <c r="Y794" s="149" t="n"/>
      <c r="Z794" s="149" t="n"/>
    </row>
    <row r="795" ht="15.75" customHeight="1" s="236">
      <c r="A795" s="148" t="n"/>
      <c r="B795" s="148" t="n"/>
      <c r="C795" s="124" t="n"/>
      <c r="D795" s="148" t="n"/>
      <c r="E795" s="148" t="n"/>
      <c r="F795" s="148" t="n"/>
      <c r="G795" s="124" t="n"/>
      <c r="H795" s="148" t="n"/>
      <c r="I795" s="148" t="n"/>
      <c r="J795" s="148" t="n"/>
      <c r="K795" s="148" t="n"/>
      <c r="L795" s="148" t="n"/>
      <c r="M795" s="148" t="n"/>
      <c r="N795" s="148" t="n"/>
      <c r="O795" s="148" t="n"/>
      <c r="P795" s="148" t="n"/>
      <c r="Q795" s="148" t="n"/>
      <c r="R795" s="148" t="n"/>
      <c r="S795" s="148" t="n"/>
      <c r="T795" s="148" t="n"/>
      <c r="U795" s="149">
        <f>IF(AND('Master Stock'!D795&lt;&gt;"",'Master Stock'!H795="OCCUPIED",ISNUMBER('Master Stock'!J795),'Master Stock'!K795=""),SUMPRODUCT(--('Master Stock'!$D$2:$D$1000&lt;&gt;""),--('Master Stock'!$H$2:$H$1000="OCCUPIED"),--ISNUMBER('Master Stock'!$J$2:$J$1000),--('Master Stock'!$K$2:$K$1000=""),--('Master Stock'!$J$2:$J$1000&lt;'Master Stock'!J795))+COUNTIFS('Master Stock'!$J$2:J795,'Master Stock'!J795,'Master Stock'!$D$2:D795,"&lt;&gt;",'Master Stock'!$H$2:H795,"OCCUPIED",'Master Stock'!$K$2:K795,""),"")</f>
        <v/>
      </c>
      <c r="V795" s="149">
        <f>IF(AND('Master Stock'!D795&lt;&gt;"",'Master Stock'!H795="OCCUPIED",ISNUMBER('Master Stock'!L795),'Master Stock'!L795&lt;TODAY()-30),SUMPRODUCT(--('Master Stock'!$D$2:$D$1000&lt;&gt;""),--('Master Stock'!$H$2:$H$1000="OCCUPIED"),--ISNUMBER('Master Stock'!$L$2:$L$1000),--('Master Stock'!$L$2:$L$1000&lt;TODAY()-30),--('Master Stock'!$L$2:$L$1000&lt;'Master Stock'!L795))+COUNTIFS('Master Stock'!$L$2:L795,'Master Stock'!L795,'Master Stock'!$D$2:D795,"&lt;&gt;",'Master Stock'!$H$2:H795,"OCCUPIED"),"")</f>
        <v/>
      </c>
      <c r="W795" s="149" t="n"/>
      <c r="X795" s="149" t="n"/>
      <c r="Y795" s="149" t="n"/>
      <c r="Z795" s="149" t="n"/>
    </row>
    <row r="796" ht="15.75" customHeight="1" s="236">
      <c r="A796" s="148" t="n"/>
      <c r="B796" s="148" t="n"/>
      <c r="C796" s="124" t="n"/>
      <c r="D796" s="148" t="n"/>
      <c r="E796" s="148" t="n"/>
      <c r="F796" s="148" t="n"/>
      <c r="G796" s="124" t="n"/>
      <c r="H796" s="148" t="n"/>
      <c r="I796" s="148" t="n"/>
      <c r="J796" s="148" t="n"/>
      <c r="K796" s="148" t="n"/>
      <c r="L796" s="148" t="n"/>
      <c r="M796" s="148" t="n"/>
      <c r="N796" s="148" t="n"/>
      <c r="O796" s="148" t="n"/>
      <c r="P796" s="148" t="n"/>
      <c r="Q796" s="148" t="n"/>
      <c r="R796" s="148" t="n"/>
      <c r="S796" s="148" t="n"/>
      <c r="T796" s="148" t="n"/>
      <c r="U796" s="149">
        <f>IF(AND('Master Stock'!D796&lt;&gt;"",'Master Stock'!H796="OCCUPIED",ISNUMBER('Master Stock'!J796),'Master Stock'!K796=""),SUMPRODUCT(--('Master Stock'!$D$2:$D$1000&lt;&gt;""),--('Master Stock'!$H$2:$H$1000="OCCUPIED"),--ISNUMBER('Master Stock'!$J$2:$J$1000),--('Master Stock'!$K$2:$K$1000=""),--('Master Stock'!$J$2:$J$1000&lt;'Master Stock'!J796))+COUNTIFS('Master Stock'!$J$2:J796,'Master Stock'!J796,'Master Stock'!$D$2:D796,"&lt;&gt;",'Master Stock'!$H$2:H796,"OCCUPIED",'Master Stock'!$K$2:K796,""),"")</f>
        <v/>
      </c>
      <c r="V796" s="149">
        <f>IF(AND('Master Stock'!D796&lt;&gt;"",'Master Stock'!H796="OCCUPIED",ISNUMBER('Master Stock'!L796),'Master Stock'!L796&lt;TODAY()-30),SUMPRODUCT(--('Master Stock'!$D$2:$D$1000&lt;&gt;""),--('Master Stock'!$H$2:$H$1000="OCCUPIED"),--ISNUMBER('Master Stock'!$L$2:$L$1000),--('Master Stock'!$L$2:$L$1000&lt;TODAY()-30),--('Master Stock'!$L$2:$L$1000&lt;'Master Stock'!L796))+COUNTIFS('Master Stock'!$L$2:L796,'Master Stock'!L796,'Master Stock'!$D$2:D796,"&lt;&gt;",'Master Stock'!$H$2:H796,"OCCUPIED"),"")</f>
        <v/>
      </c>
      <c r="W796" s="149" t="n"/>
      <c r="X796" s="149" t="n"/>
      <c r="Y796" s="149" t="n"/>
      <c r="Z796" s="149" t="n"/>
    </row>
    <row r="797" ht="15.75" customHeight="1" s="236">
      <c r="A797" s="148" t="n"/>
      <c r="B797" s="148" t="n"/>
      <c r="C797" s="124" t="n"/>
      <c r="D797" s="148" t="n"/>
      <c r="E797" s="148" t="n"/>
      <c r="F797" s="148" t="n"/>
      <c r="G797" s="124" t="n"/>
      <c r="H797" s="148" t="n"/>
      <c r="I797" s="148" t="n"/>
      <c r="J797" s="148" t="n"/>
      <c r="K797" s="148" t="n"/>
      <c r="L797" s="148" t="n"/>
      <c r="M797" s="148" t="n"/>
      <c r="N797" s="148" t="n"/>
      <c r="O797" s="148" t="n"/>
      <c r="P797" s="148" t="n"/>
      <c r="Q797" s="148" t="n"/>
      <c r="R797" s="148" t="n"/>
      <c r="S797" s="148" t="n"/>
      <c r="T797" s="148" t="n"/>
      <c r="U797" s="149">
        <f>IF(AND('Master Stock'!D797&lt;&gt;"",'Master Stock'!H797="OCCUPIED",ISNUMBER('Master Stock'!J797),'Master Stock'!K797=""),SUMPRODUCT(--('Master Stock'!$D$2:$D$1000&lt;&gt;""),--('Master Stock'!$H$2:$H$1000="OCCUPIED"),--ISNUMBER('Master Stock'!$J$2:$J$1000),--('Master Stock'!$K$2:$K$1000=""),--('Master Stock'!$J$2:$J$1000&lt;'Master Stock'!J797))+COUNTIFS('Master Stock'!$J$2:J797,'Master Stock'!J797,'Master Stock'!$D$2:D797,"&lt;&gt;",'Master Stock'!$H$2:H797,"OCCUPIED",'Master Stock'!$K$2:K797,""),"")</f>
        <v/>
      </c>
      <c r="V797" s="149">
        <f>IF(AND('Master Stock'!D797&lt;&gt;"",'Master Stock'!H797="OCCUPIED",ISNUMBER('Master Stock'!L797),'Master Stock'!L797&lt;TODAY()-30),SUMPRODUCT(--('Master Stock'!$D$2:$D$1000&lt;&gt;""),--('Master Stock'!$H$2:$H$1000="OCCUPIED"),--ISNUMBER('Master Stock'!$L$2:$L$1000),--('Master Stock'!$L$2:$L$1000&lt;TODAY()-30),--('Master Stock'!$L$2:$L$1000&lt;'Master Stock'!L797))+COUNTIFS('Master Stock'!$L$2:L797,'Master Stock'!L797,'Master Stock'!$D$2:D797,"&lt;&gt;",'Master Stock'!$H$2:H797,"OCCUPIED"),"")</f>
        <v/>
      </c>
      <c r="W797" s="149" t="n"/>
      <c r="X797" s="149" t="n"/>
      <c r="Y797" s="149" t="n"/>
      <c r="Z797" s="149" t="n"/>
    </row>
    <row r="798" ht="15.75" customHeight="1" s="236">
      <c r="A798" s="148" t="n"/>
      <c r="B798" s="148" t="n"/>
      <c r="C798" s="124" t="n"/>
      <c r="D798" s="148" t="n"/>
      <c r="E798" s="148" t="n"/>
      <c r="F798" s="148" t="n"/>
      <c r="G798" s="124" t="n"/>
      <c r="H798" s="148" t="n"/>
      <c r="I798" s="148" t="n"/>
      <c r="J798" s="148" t="n"/>
      <c r="K798" s="148" t="n"/>
      <c r="L798" s="148" t="n"/>
      <c r="M798" s="148" t="n"/>
      <c r="N798" s="148" t="n"/>
      <c r="O798" s="148" t="n"/>
      <c r="P798" s="148" t="n"/>
      <c r="Q798" s="148" t="n"/>
      <c r="R798" s="148" t="n"/>
      <c r="S798" s="148" t="n"/>
      <c r="T798" s="148" t="n"/>
      <c r="U798" s="149">
        <f>IF(AND('Master Stock'!D798&lt;&gt;"",'Master Stock'!H798="OCCUPIED",ISNUMBER('Master Stock'!J798),'Master Stock'!K798=""),SUMPRODUCT(--('Master Stock'!$D$2:$D$1000&lt;&gt;""),--('Master Stock'!$H$2:$H$1000="OCCUPIED"),--ISNUMBER('Master Stock'!$J$2:$J$1000),--('Master Stock'!$K$2:$K$1000=""),--('Master Stock'!$J$2:$J$1000&lt;'Master Stock'!J798))+COUNTIFS('Master Stock'!$J$2:J798,'Master Stock'!J798,'Master Stock'!$D$2:D798,"&lt;&gt;",'Master Stock'!$H$2:H798,"OCCUPIED",'Master Stock'!$K$2:K798,""),"")</f>
        <v/>
      </c>
      <c r="V798" s="149">
        <f>IF(AND('Master Stock'!D798&lt;&gt;"",'Master Stock'!H798="OCCUPIED",ISNUMBER('Master Stock'!L798),'Master Stock'!L798&lt;TODAY()-30),SUMPRODUCT(--('Master Stock'!$D$2:$D$1000&lt;&gt;""),--('Master Stock'!$H$2:$H$1000="OCCUPIED"),--ISNUMBER('Master Stock'!$L$2:$L$1000),--('Master Stock'!$L$2:$L$1000&lt;TODAY()-30),--('Master Stock'!$L$2:$L$1000&lt;'Master Stock'!L798))+COUNTIFS('Master Stock'!$L$2:L798,'Master Stock'!L798,'Master Stock'!$D$2:D798,"&lt;&gt;",'Master Stock'!$H$2:H798,"OCCUPIED"),"")</f>
        <v/>
      </c>
      <c r="W798" s="149" t="n"/>
      <c r="X798" s="149" t="n"/>
      <c r="Y798" s="149" t="n"/>
      <c r="Z798" s="149" t="n"/>
    </row>
    <row r="799" ht="15.75" customHeight="1" s="236">
      <c r="A799" s="148" t="n"/>
      <c r="B799" s="148" t="n"/>
      <c r="C799" s="124" t="n"/>
      <c r="D799" s="148" t="n"/>
      <c r="E799" s="148" t="n"/>
      <c r="F799" s="148" t="n"/>
      <c r="G799" s="124" t="n"/>
      <c r="H799" s="148" t="n"/>
      <c r="I799" s="148" t="n"/>
      <c r="J799" s="148" t="n"/>
      <c r="K799" s="148" t="n"/>
      <c r="L799" s="148" t="n"/>
      <c r="M799" s="148" t="n"/>
      <c r="N799" s="148" t="n"/>
      <c r="O799" s="148" t="n"/>
      <c r="P799" s="148" t="n"/>
      <c r="Q799" s="148" t="n"/>
      <c r="R799" s="148" t="n"/>
      <c r="S799" s="148" t="n"/>
      <c r="T799" s="148" t="n"/>
      <c r="U799" s="149">
        <f>IF(AND('Master Stock'!D799&lt;&gt;"",'Master Stock'!H799="OCCUPIED",ISNUMBER('Master Stock'!J799),'Master Stock'!K799=""),SUMPRODUCT(--('Master Stock'!$D$2:$D$1000&lt;&gt;""),--('Master Stock'!$H$2:$H$1000="OCCUPIED"),--ISNUMBER('Master Stock'!$J$2:$J$1000),--('Master Stock'!$K$2:$K$1000=""),--('Master Stock'!$J$2:$J$1000&lt;'Master Stock'!J799))+COUNTIFS('Master Stock'!$J$2:J799,'Master Stock'!J799,'Master Stock'!$D$2:D799,"&lt;&gt;",'Master Stock'!$H$2:H799,"OCCUPIED",'Master Stock'!$K$2:K799,""),"")</f>
        <v/>
      </c>
      <c r="V799" s="149">
        <f>IF(AND('Master Stock'!D799&lt;&gt;"",'Master Stock'!H799="OCCUPIED",ISNUMBER('Master Stock'!L799),'Master Stock'!L799&lt;TODAY()-30),SUMPRODUCT(--('Master Stock'!$D$2:$D$1000&lt;&gt;""),--('Master Stock'!$H$2:$H$1000="OCCUPIED"),--ISNUMBER('Master Stock'!$L$2:$L$1000),--('Master Stock'!$L$2:$L$1000&lt;TODAY()-30),--('Master Stock'!$L$2:$L$1000&lt;'Master Stock'!L799))+COUNTIFS('Master Stock'!$L$2:L799,'Master Stock'!L799,'Master Stock'!$D$2:D799,"&lt;&gt;",'Master Stock'!$H$2:H799,"OCCUPIED"),"")</f>
        <v/>
      </c>
      <c r="W799" s="149" t="n"/>
      <c r="X799" s="149" t="n"/>
      <c r="Y799" s="149" t="n"/>
      <c r="Z799" s="149" t="n"/>
    </row>
    <row r="800" ht="15.75" customHeight="1" s="236">
      <c r="A800" s="148" t="n"/>
      <c r="B800" s="148" t="n"/>
      <c r="C800" s="124" t="n"/>
      <c r="D800" s="148" t="n"/>
      <c r="E800" s="148" t="n"/>
      <c r="F800" s="148" t="n"/>
      <c r="G800" s="124" t="n"/>
      <c r="H800" s="148" t="n"/>
      <c r="I800" s="148" t="n"/>
      <c r="J800" s="148" t="n"/>
      <c r="K800" s="148" t="n"/>
      <c r="L800" s="148" t="n"/>
      <c r="M800" s="148" t="n"/>
      <c r="N800" s="148" t="n"/>
      <c r="O800" s="148" t="n"/>
      <c r="P800" s="148" t="n"/>
      <c r="Q800" s="148" t="n"/>
      <c r="R800" s="148" t="n"/>
      <c r="S800" s="148" t="n"/>
      <c r="T800" s="148" t="n"/>
      <c r="U800" s="149">
        <f>IF(AND('Master Stock'!D800&lt;&gt;"",'Master Stock'!H800="OCCUPIED",ISNUMBER('Master Stock'!J800),'Master Stock'!K800=""),SUMPRODUCT(--('Master Stock'!$D$2:$D$1000&lt;&gt;""),--('Master Stock'!$H$2:$H$1000="OCCUPIED"),--ISNUMBER('Master Stock'!$J$2:$J$1000),--('Master Stock'!$K$2:$K$1000=""),--('Master Stock'!$J$2:$J$1000&lt;'Master Stock'!J800))+COUNTIFS('Master Stock'!$J$2:J800,'Master Stock'!J800,'Master Stock'!$D$2:D800,"&lt;&gt;",'Master Stock'!$H$2:H800,"OCCUPIED",'Master Stock'!$K$2:K800,""),"")</f>
        <v/>
      </c>
      <c r="V800" s="149">
        <f>IF(AND('Master Stock'!D800&lt;&gt;"",'Master Stock'!H800="OCCUPIED",ISNUMBER('Master Stock'!L800),'Master Stock'!L800&lt;TODAY()-30),SUMPRODUCT(--('Master Stock'!$D$2:$D$1000&lt;&gt;""),--('Master Stock'!$H$2:$H$1000="OCCUPIED"),--ISNUMBER('Master Stock'!$L$2:$L$1000),--('Master Stock'!$L$2:$L$1000&lt;TODAY()-30),--('Master Stock'!$L$2:$L$1000&lt;'Master Stock'!L800))+COUNTIFS('Master Stock'!$L$2:L800,'Master Stock'!L800,'Master Stock'!$D$2:D800,"&lt;&gt;",'Master Stock'!$H$2:H800,"OCCUPIED"),"")</f>
        <v/>
      </c>
      <c r="W800" s="149" t="n"/>
      <c r="X800" s="149" t="n"/>
      <c r="Y800" s="149" t="n"/>
      <c r="Z800" s="149" t="n"/>
    </row>
    <row r="801" ht="15.75" customHeight="1" s="236">
      <c r="A801" s="148" t="n"/>
      <c r="B801" s="148" t="n"/>
      <c r="C801" s="124" t="n"/>
      <c r="D801" s="148" t="n"/>
      <c r="E801" s="148" t="n"/>
      <c r="F801" s="148" t="n"/>
      <c r="G801" s="124" t="n"/>
      <c r="H801" s="148" t="n"/>
      <c r="I801" s="148" t="n"/>
      <c r="J801" s="148" t="n"/>
      <c r="K801" s="148" t="n"/>
      <c r="L801" s="148" t="n"/>
      <c r="M801" s="148" t="n"/>
      <c r="N801" s="148" t="n"/>
      <c r="O801" s="148" t="n"/>
      <c r="P801" s="148" t="n"/>
      <c r="Q801" s="148" t="n"/>
      <c r="R801" s="148" t="n"/>
      <c r="S801" s="148" t="n"/>
      <c r="T801" s="148" t="n"/>
      <c r="U801" s="149">
        <f>IF(AND('Master Stock'!D801&lt;&gt;"",'Master Stock'!H801="OCCUPIED",ISNUMBER('Master Stock'!J801),'Master Stock'!K801=""),SUMPRODUCT(--('Master Stock'!$D$2:$D$1000&lt;&gt;""),--('Master Stock'!$H$2:$H$1000="OCCUPIED"),--ISNUMBER('Master Stock'!$J$2:$J$1000),--('Master Stock'!$K$2:$K$1000=""),--('Master Stock'!$J$2:$J$1000&lt;'Master Stock'!J801))+COUNTIFS('Master Stock'!$J$2:J801,'Master Stock'!J801,'Master Stock'!$D$2:D801,"&lt;&gt;",'Master Stock'!$H$2:H801,"OCCUPIED",'Master Stock'!$K$2:K801,""),"")</f>
        <v/>
      </c>
      <c r="V801" s="149">
        <f>IF(AND('Master Stock'!D801&lt;&gt;"",'Master Stock'!H801="OCCUPIED",ISNUMBER('Master Stock'!L801),'Master Stock'!L801&lt;TODAY()-30),SUMPRODUCT(--('Master Stock'!$D$2:$D$1000&lt;&gt;""),--('Master Stock'!$H$2:$H$1000="OCCUPIED"),--ISNUMBER('Master Stock'!$L$2:$L$1000),--('Master Stock'!$L$2:$L$1000&lt;TODAY()-30),--('Master Stock'!$L$2:$L$1000&lt;'Master Stock'!L801))+COUNTIFS('Master Stock'!$L$2:L801,'Master Stock'!L801,'Master Stock'!$D$2:D801,"&lt;&gt;",'Master Stock'!$H$2:H801,"OCCUPIED"),"")</f>
        <v/>
      </c>
      <c r="W801" s="149" t="n"/>
      <c r="X801" s="149" t="n"/>
      <c r="Y801" s="149" t="n"/>
      <c r="Z801" s="149" t="n"/>
    </row>
    <row r="802" ht="15.75" customHeight="1" s="236">
      <c r="A802" s="148" t="n"/>
      <c r="B802" s="148" t="n"/>
      <c r="C802" s="124" t="n"/>
      <c r="D802" s="148" t="n"/>
      <c r="E802" s="148" t="n"/>
      <c r="F802" s="148" t="n"/>
      <c r="G802" s="124" t="n"/>
      <c r="H802" s="148" t="n"/>
      <c r="I802" s="148" t="n"/>
      <c r="J802" s="148" t="n"/>
      <c r="K802" s="148" t="n"/>
      <c r="L802" s="148" t="n"/>
      <c r="M802" s="148" t="n"/>
      <c r="N802" s="148" t="n"/>
      <c r="O802" s="148" t="n"/>
      <c r="P802" s="148" t="n"/>
      <c r="Q802" s="148" t="n"/>
      <c r="R802" s="148" t="n"/>
      <c r="S802" s="148" t="n"/>
      <c r="T802" s="148" t="n"/>
      <c r="U802" s="149">
        <f>IF(AND('Master Stock'!D802&lt;&gt;"",'Master Stock'!H802="OCCUPIED",ISNUMBER('Master Stock'!J802),'Master Stock'!K802=""),SUMPRODUCT(--('Master Stock'!$D$2:$D$1000&lt;&gt;""),--('Master Stock'!$H$2:$H$1000="OCCUPIED"),--ISNUMBER('Master Stock'!$J$2:$J$1000),--('Master Stock'!$K$2:$K$1000=""),--('Master Stock'!$J$2:$J$1000&lt;'Master Stock'!J802))+COUNTIFS('Master Stock'!$J$2:J802,'Master Stock'!J802,'Master Stock'!$D$2:D802,"&lt;&gt;",'Master Stock'!$H$2:H802,"OCCUPIED",'Master Stock'!$K$2:K802,""),"")</f>
        <v/>
      </c>
      <c r="V802" s="149">
        <f>IF(AND('Master Stock'!D802&lt;&gt;"",'Master Stock'!H802="OCCUPIED",ISNUMBER('Master Stock'!L802),'Master Stock'!L802&lt;TODAY()-30),SUMPRODUCT(--('Master Stock'!$D$2:$D$1000&lt;&gt;""),--('Master Stock'!$H$2:$H$1000="OCCUPIED"),--ISNUMBER('Master Stock'!$L$2:$L$1000),--('Master Stock'!$L$2:$L$1000&lt;TODAY()-30),--('Master Stock'!$L$2:$L$1000&lt;'Master Stock'!L802))+COUNTIFS('Master Stock'!$L$2:L802,'Master Stock'!L802,'Master Stock'!$D$2:D802,"&lt;&gt;",'Master Stock'!$H$2:H802,"OCCUPIED"),"")</f>
        <v/>
      </c>
      <c r="W802" s="149" t="n"/>
      <c r="X802" s="149" t="n"/>
      <c r="Y802" s="149" t="n"/>
      <c r="Z802" s="149" t="n"/>
    </row>
    <row r="803" ht="15.75" customHeight="1" s="236">
      <c r="A803" s="148" t="n"/>
      <c r="B803" s="148" t="n"/>
      <c r="C803" s="124" t="n"/>
      <c r="D803" s="148" t="n"/>
      <c r="E803" s="148" t="n"/>
      <c r="F803" s="148" t="n"/>
      <c r="G803" s="124" t="n"/>
      <c r="H803" s="148" t="n"/>
      <c r="I803" s="148" t="n"/>
      <c r="J803" s="148" t="n"/>
      <c r="K803" s="148" t="n"/>
      <c r="L803" s="148" t="n"/>
      <c r="M803" s="148" t="n"/>
      <c r="N803" s="148" t="n"/>
      <c r="O803" s="148" t="n"/>
      <c r="P803" s="148" t="n"/>
      <c r="Q803" s="148" t="n"/>
      <c r="R803" s="148" t="n"/>
      <c r="S803" s="148" t="n"/>
      <c r="T803" s="148" t="n"/>
      <c r="U803" s="149">
        <f>IF(AND('Master Stock'!D803&lt;&gt;"",'Master Stock'!H803="OCCUPIED",ISNUMBER('Master Stock'!J803),'Master Stock'!K803=""),SUMPRODUCT(--('Master Stock'!$D$2:$D$1000&lt;&gt;""),--('Master Stock'!$H$2:$H$1000="OCCUPIED"),--ISNUMBER('Master Stock'!$J$2:$J$1000),--('Master Stock'!$K$2:$K$1000=""),--('Master Stock'!$J$2:$J$1000&lt;'Master Stock'!J803))+COUNTIFS('Master Stock'!$J$2:J803,'Master Stock'!J803,'Master Stock'!$D$2:D803,"&lt;&gt;",'Master Stock'!$H$2:H803,"OCCUPIED",'Master Stock'!$K$2:K803,""),"")</f>
        <v/>
      </c>
      <c r="V803" s="149">
        <f>IF(AND('Master Stock'!D803&lt;&gt;"",'Master Stock'!H803="OCCUPIED",ISNUMBER('Master Stock'!L803),'Master Stock'!L803&lt;TODAY()-30),SUMPRODUCT(--('Master Stock'!$D$2:$D$1000&lt;&gt;""),--('Master Stock'!$H$2:$H$1000="OCCUPIED"),--ISNUMBER('Master Stock'!$L$2:$L$1000),--('Master Stock'!$L$2:$L$1000&lt;TODAY()-30),--('Master Stock'!$L$2:$L$1000&lt;'Master Stock'!L803))+COUNTIFS('Master Stock'!$L$2:L803,'Master Stock'!L803,'Master Stock'!$D$2:D803,"&lt;&gt;",'Master Stock'!$H$2:H803,"OCCUPIED"),"")</f>
        <v/>
      </c>
      <c r="W803" s="149" t="n"/>
      <c r="X803" s="149" t="n"/>
      <c r="Y803" s="149" t="n"/>
      <c r="Z803" s="149" t="n"/>
    </row>
    <row r="804" ht="15.75" customHeight="1" s="236">
      <c r="A804" s="148" t="n"/>
      <c r="B804" s="148" t="n"/>
      <c r="C804" s="124" t="n"/>
      <c r="D804" s="148" t="n"/>
      <c r="E804" s="148" t="n"/>
      <c r="F804" s="148" t="n"/>
      <c r="G804" s="124" t="n"/>
      <c r="H804" s="148" t="n"/>
      <c r="I804" s="148" t="n"/>
      <c r="J804" s="148" t="n"/>
      <c r="K804" s="148" t="n"/>
      <c r="L804" s="148" t="n"/>
      <c r="M804" s="148" t="n"/>
      <c r="N804" s="148" t="n"/>
      <c r="O804" s="148" t="n"/>
      <c r="P804" s="148" t="n"/>
      <c r="Q804" s="148" t="n"/>
      <c r="R804" s="148" t="n"/>
      <c r="S804" s="148" t="n"/>
      <c r="T804" s="148" t="n"/>
      <c r="U804" s="149">
        <f>IF(AND('Master Stock'!D804&lt;&gt;"",'Master Stock'!H804="OCCUPIED",ISNUMBER('Master Stock'!J804),'Master Stock'!K804=""),SUMPRODUCT(--('Master Stock'!$D$2:$D$1000&lt;&gt;""),--('Master Stock'!$H$2:$H$1000="OCCUPIED"),--ISNUMBER('Master Stock'!$J$2:$J$1000),--('Master Stock'!$K$2:$K$1000=""),--('Master Stock'!$J$2:$J$1000&lt;'Master Stock'!J804))+COUNTIFS('Master Stock'!$J$2:J804,'Master Stock'!J804,'Master Stock'!$D$2:D804,"&lt;&gt;",'Master Stock'!$H$2:H804,"OCCUPIED",'Master Stock'!$K$2:K804,""),"")</f>
        <v/>
      </c>
      <c r="V804" s="149">
        <f>IF(AND('Master Stock'!D804&lt;&gt;"",'Master Stock'!H804="OCCUPIED",ISNUMBER('Master Stock'!L804),'Master Stock'!L804&lt;TODAY()-30),SUMPRODUCT(--('Master Stock'!$D$2:$D$1000&lt;&gt;""),--('Master Stock'!$H$2:$H$1000="OCCUPIED"),--ISNUMBER('Master Stock'!$L$2:$L$1000),--('Master Stock'!$L$2:$L$1000&lt;TODAY()-30),--('Master Stock'!$L$2:$L$1000&lt;'Master Stock'!L804))+COUNTIFS('Master Stock'!$L$2:L804,'Master Stock'!L804,'Master Stock'!$D$2:D804,"&lt;&gt;",'Master Stock'!$H$2:H804,"OCCUPIED"),"")</f>
        <v/>
      </c>
      <c r="W804" s="149" t="n"/>
      <c r="X804" s="149" t="n"/>
      <c r="Y804" s="149" t="n"/>
      <c r="Z804" s="149" t="n"/>
    </row>
    <row r="805" ht="15.75" customHeight="1" s="236">
      <c r="A805" s="148" t="n"/>
      <c r="B805" s="148" t="n"/>
      <c r="C805" s="124" t="n"/>
      <c r="D805" s="148" t="n"/>
      <c r="E805" s="148" t="n"/>
      <c r="F805" s="148" t="n"/>
      <c r="G805" s="124" t="n"/>
      <c r="H805" s="148" t="n"/>
      <c r="I805" s="148" t="n"/>
      <c r="J805" s="148" t="n"/>
      <c r="K805" s="148" t="n"/>
      <c r="L805" s="148" t="n"/>
      <c r="M805" s="148" t="n"/>
      <c r="N805" s="148" t="n"/>
      <c r="O805" s="148" t="n"/>
      <c r="P805" s="148" t="n"/>
      <c r="Q805" s="148" t="n"/>
      <c r="R805" s="148" t="n"/>
      <c r="S805" s="148" t="n"/>
      <c r="T805" s="148" t="n"/>
      <c r="U805" s="149">
        <f>IF(AND('Master Stock'!D805&lt;&gt;"",'Master Stock'!H805="OCCUPIED",ISNUMBER('Master Stock'!J805),'Master Stock'!K805=""),SUMPRODUCT(--('Master Stock'!$D$2:$D$1000&lt;&gt;""),--('Master Stock'!$H$2:$H$1000="OCCUPIED"),--ISNUMBER('Master Stock'!$J$2:$J$1000),--('Master Stock'!$K$2:$K$1000=""),--('Master Stock'!$J$2:$J$1000&lt;'Master Stock'!J805))+COUNTIFS('Master Stock'!$J$2:J805,'Master Stock'!J805,'Master Stock'!$D$2:D805,"&lt;&gt;",'Master Stock'!$H$2:H805,"OCCUPIED",'Master Stock'!$K$2:K805,""),"")</f>
        <v/>
      </c>
      <c r="V805" s="149">
        <f>IF(AND('Master Stock'!D805&lt;&gt;"",'Master Stock'!H805="OCCUPIED",ISNUMBER('Master Stock'!L805),'Master Stock'!L805&lt;TODAY()-30),SUMPRODUCT(--('Master Stock'!$D$2:$D$1000&lt;&gt;""),--('Master Stock'!$H$2:$H$1000="OCCUPIED"),--ISNUMBER('Master Stock'!$L$2:$L$1000),--('Master Stock'!$L$2:$L$1000&lt;TODAY()-30),--('Master Stock'!$L$2:$L$1000&lt;'Master Stock'!L805))+COUNTIFS('Master Stock'!$L$2:L805,'Master Stock'!L805,'Master Stock'!$D$2:D805,"&lt;&gt;",'Master Stock'!$H$2:H805,"OCCUPIED"),"")</f>
        <v/>
      </c>
      <c r="W805" s="149" t="n"/>
      <c r="X805" s="149" t="n"/>
      <c r="Y805" s="149" t="n"/>
      <c r="Z805" s="149" t="n"/>
    </row>
    <row r="806" ht="15.75" customHeight="1" s="236">
      <c r="A806" s="148" t="n"/>
      <c r="B806" s="148" t="n"/>
      <c r="C806" s="124" t="n"/>
      <c r="D806" s="148" t="n"/>
      <c r="E806" s="148" t="n"/>
      <c r="F806" s="148" t="n"/>
      <c r="G806" s="124" t="n"/>
      <c r="H806" s="148" t="n"/>
      <c r="I806" s="148" t="n"/>
      <c r="J806" s="148" t="n"/>
      <c r="K806" s="148" t="n"/>
      <c r="L806" s="148" t="n"/>
      <c r="M806" s="148" t="n"/>
      <c r="N806" s="148" t="n"/>
      <c r="O806" s="148" t="n"/>
      <c r="P806" s="148" t="n"/>
      <c r="Q806" s="148" t="n"/>
      <c r="R806" s="148" t="n"/>
      <c r="S806" s="148" t="n"/>
      <c r="T806" s="148" t="n"/>
      <c r="U806" s="149">
        <f>IF(AND('Master Stock'!D806&lt;&gt;"",'Master Stock'!H806="OCCUPIED",ISNUMBER('Master Stock'!J806),'Master Stock'!K806=""),SUMPRODUCT(--('Master Stock'!$D$2:$D$1000&lt;&gt;""),--('Master Stock'!$H$2:$H$1000="OCCUPIED"),--ISNUMBER('Master Stock'!$J$2:$J$1000),--('Master Stock'!$K$2:$K$1000=""),--('Master Stock'!$J$2:$J$1000&lt;'Master Stock'!J806))+COUNTIFS('Master Stock'!$J$2:J806,'Master Stock'!J806,'Master Stock'!$D$2:D806,"&lt;&gt;",'Master Stock'!$H$2:H806,"OCCUPIED",'Master Stock'!$K$2:K806,""),"")</f>
        <v/>
      </c>
      <c r="V806" s="149">
        <f>IF(AND('Master Stock'!D806&lt;&gt;"",'Master Stock'!H806="OCCUPIED",ISNUMBER('Master Stock'!L806),'Master Stock'!L806&lt;TODAY()-30),SUMPRODUCT(--('Master Stock'!$D$2:$D$1000&lt;&gt;""),--('Master Stock'!$H$2:$H$1000="OCCUPIED"),--ISNUMBER('Master Stock'!$L$2:$L$1000),--('Master Stock'!$L$2:$L$1000&lt;TODAY()-30),--('Master Stock'!$L$2:$L$1000&lt;'Master Stock'!L806))+COUNTIFS('Master Stock'!$L$2:L806,'Master Stock'!L806,'Master Stock'!$D$2:D806,"&lt;&gt;",'Master Stock'!$H$2:H806,"OCCUPIED"),"")</f>
        <v/>
      </c>
      <c r="W806" s="149" t="n"/>
      <c r="X806" s="149" t="n"/>
      <c r="Y806" s="149" t="n"/>
      <c r="Z806" s="149" t="n"/>
    </row>
    <row r="807" ht="15.75" customHeight="1" s="236">
      <c r="A807" s="148" t="n"/>
      <c r="B807" s="148" t="n"/>
      <c r="C807" s="124" t="n"/>
      <c r="D807" s="148" t="n"/>
      <c r="E807" s="148" t="n"/>
      <c r="F807" s="148" t="n"/>
      <c r="G807" s="124" t="n"/>
      <c r="H807" s="148" t="n"/>
      <c r="I807" s="148" t="n"/>
      <c r="J807" s="148" t="n"/>
      <c r="K807" s="148" t="n"/>
      <c r="L807" s="148" t="n"/>
      <c r="M807" s="148" t="n"/>
      <c r="N807" s="148" t="n"/>
      <c r="O807" s="148" t="n"/>
      <c r="P807" s="148" t="n"/>
      <c r="Q807" s="148" t="n"/>
      <c r="R807" s="148" t="n"/>
      <c r="S807" s="148" t="n"/>
      <c r="T807" s="148" t="n"/>
      <c r="U807" s="149">
        <f>IF(AND('Master Stock'!D807&lt;&gt;"",'Master Stock'!H807="OCCUPIED",ISNUMBER('Master Stock'!J807),'Master Stock'!K807=""),SUMPRODUCT(--('Master Stock'!$D$2:$D$1000&lt;&gt;""),--('Master Stock'!$H$2:$H$1000="OCCUPIED"),--ISNUMBER('Master Stock'!$J$2:$J$1000),--('Master Stock'!$K$2:$K$1000=""),--('Master Stock'!$J$2:$J$1000&lt;'Master Stock'!J807))+COUNTIFS('Master Stock'!$J$2:J807,'Master Stock'!J807,'Master Stock'!$D$2:D807,"&lt;&gt;",'Master Stock'!$H$2:H807,"OCCUPIED",'Master Stock'!$K$2:K807,""),"")</f>
        <v/>
      </c>
      <c r="V807" s="149">
        <f>IF(AND('Master Stock'!D807&lt;&gt;"",'Master Stock'!H807="OCCUPIED",ISNUMBER('Master Stock'!L807),'Master Stock'!L807&lt;TODAY()-30),SUMPRODUCT(--('Master Stock'!$D$2:$D$1000&lt;&gt;""),--('Master Stock'!$H$2:$H$1000="OCCUPIED"),--ISNUMBER('Master Stock'!$L$2:$L$1000),--('Master Stock'!$L$2:$L$1000&lt;TODAY()-30),--('Master Stock'!$L$2:$L$1000&lt;'Master Stock'!L807))+COUNTIFS('Master Stock'!$L$2:L807,'Master Stock'!L807,'Master Stock'!$D$2:D807,"&lt;&gt;",'Master Stock'!$H$2:H807,"OCCUPIED"),"")</f>
        <v/>
      </c>
      <c r="W807" s="149" t="n"/>
      <c r="X807" s="149" t="n"/>
      <c r="Y807" s="149" t="n"/>
      <c r="Z807" s="149" t="n"/>
    </row>
    <row r="808" ht="15.75" customHeight="1" s="236">
      <c r="A808" s="148" t="n"/>
      <c r="B808" s="148" t="n"/>
      <c r="C808" s="124" t="n"/>
      <c r="D808" s="148" t="n"/>
      <c r="E808" s="148" t="n"/>
      <c r="F808" s="148" t="n"/>
      <c r="G808" s="124" t="n"/>
      <c r="H808" s="148" t="n"/>
      <c r="I808" s="148" t="n"/>
      <c r="J808" s="148" t="n"/>
      <c r="K808" s="148" t="n"/>
      <c r="L808" s="148" t="n"/>
      <c r="M808" s="148" t="n"/>
      <c r="N808" s="148" t="n"/>
      <c r="O808" s="148" t="n"/>
      <c r="P808" s="148" t="n"/>
      <c r="Q808" s="148" t="n"/>
      <c r="R808" s="148" t="n"/>
      <c r="S808" s="148" t="n"/>
      <c r="T808" s="148" t="n"/>
      <c r="U808" s="149">
        <f>IF(AND('Master Stock'!D808&lt;&gt;"",'Master Stock'!H808="OCCUPIED",ISNUMBER('Master Stock'!J808),'Master Stock'!K808=""),SUMPRODUCT(--('Master Stock'!$D$2:$D$1000&lt;&gt;""),--('Master Stock'!$H$2:$H$1000="OCCUPIED"),--ISNUMBER('Master Stock'!$J$2:$J$1000),--('Master Stock'!$K$2:$K$1000=""),--('Master Stock'!$J$2:$J$1000&lt;'Master Stock'!J808))+COUNTIFS('Master Stock'!$J$2:J808,'Master Stock'!J808,'Master Stock'!$D$2:D808,"&lt;&gt;",'Master Stock'!$H$2:H808,"OCCUPIED",'Master Stock'!$K$2:K808,""),"")</f>
        <v/>
      </c>
      <c r="V808" s="149">
        <f>IF(AND('Master Stock'!D808&lt;&gt;"",'Master Stock'!H808="OCCUPIED",ISNUMBER('Master Stock'!L808),'Master Stock'!L808&lt;TODAY()-30),SUMPRODUCT(--('Master Stock'!$D$2:$D$1000&lt;&gt;""),--('Master Stock'!$H$2:$H$1000="OCCUPIED"),--ISNUMBER('Master Stock'!$L$2:$L$1000),--('Master Stock'!$L$2:$L$1000&lt;TODAY()-30),--('Master Stock'!$L$2:$L$1000&lt;'Master Stock'!L808))+COUNTIFS('Master Stock'!$L$2:L808,'Master Stock'!L808,'Master Stock'!$D$2:D808,"&lt;&gt;",'Master Stock'!$H$2:H808,"OCCUPIED"),"")</f>
        <v/>
      </c>
      <c r="W808" s="149" t="n"/>
      <c r="X808" s="149" t="n"/>
      <c r="Y808" s="149" t="n"/>
      <c r="Z808" s="149" t="n"/>
    </row>
    <row r="809" ht="15.75" customHeight="1" s="236">
      <c r="A809" s="148" t="n"/>
      <c r="B809" s="148" t="n"/>
      <c r="C809" s="124" t="n"/>
      <c r="D809" s="148" t="n"/>
      <c r="E809" s="148" t="n"/>
      <c r="F809" s="148" t="n"/>
      <c r="G809" s="124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9">
        <f>IF(AND('Master Stock'!D809&lt;&gt;"",'Master Stock'!H809="OCCUPIED",ISNUMBER('Master Stock'!J809),'Master Stock'!K809=""),SUMPRODUCT(--('Master Stock'!$D$2:$D$1000&lt;&gt;""),--('Master Stock'!$H$2:$H$1000="OCCUPIED"),--ISNUMBER('Master Stock'!$J$2:$J$1000),--('Master Stock'!$K$2:$K$1000=""),--('Master Stock'!$J$2:$J$1000&lt;'Master Stock'!J809))+COUNTIFS('Master Stock'!$J$2:J809,'Master Stock'!J809,'Master Stock'!$D$2:D809,"&lt;&gt;",'Master Stock'!$H$2:H809,"OCCUPIED",'Master Stock'!$K$2:K809,""),"")</f>
        <v/>
      </c>
      <c r="V809" s="149">
        <f>IF(AND('Master Stock'!D809&lt;&gt;"",'Master Stock'!H809="OCCUPIED",ISNUMBER('Master Stock'!L809),'Master Stock'!L809&lt;TODAY()-30),SUMPRODUCT(--('Master Stock'!$D$2:$D$1000&lt;&gt;""),--('Master Stock'!$H$2:$H$1000="OCCUPIED"),--ISNUMBER('Master Stock'!$L$2:$L$1000),--('Master Stock'!$L$2:$L$1000&lt;TODAY()-30),--('Master Stock'!$L$2:$L$1000&lt;'Master Stock'!L809))+COUNTIFS('Master Stock'!$L$2:L809,'Master Stock'!L809,'Master Stock'!$D$2:D809,"&lt;&gt;",'Master Stock'!$H$2:H809,"OCCUPIED"),"")</f>
        <v/>
      </c>
      <c r="W809" s="149" t="n"/>
      <c r="X809" s="149" t="n"/>
      <c r="Y809" s="149" t="n"/>
      <c r="Z809" s="149" t="n"/>
    </row>
    <row r="810" ht="15.75" customHeight="1" s="236">
      <c r="A810" s="148" t="n"/>
      <c r="B810" s="148" t="n"/>
      <c r="C810" s="124" t="n"/>
      <c r="D810" s="148" t="n"/>
      <c r="E810" s="148" t="n"/>
      <c r="F810" s="148" t="n"/>
      <c r="G810" s="124" t="n"/>
      <c r="H810" s="148" t="n"/>
      <c r="I810" s="148" t="n"/>
      <c r="J810" s="148" t="n"/>
      <c r="K810" s="148" t="n"/>
      <c r="L810" s="148" t="n"/>
      <c r="M810" s="148" t="n"/>
      <c r="N810" s="148" t="n"/>
      <c r="O810" s="148" t="n"/>
      <c r="P810" s="148" t="n"/>
      <c r="Q810" s="148" t="n"/>
      <c r="R810" s="148" t="n"/>
      <c r="S810" s="148" t="n"/>
      <c r="T810" s="148" t="n"/>
      <c r="U810" s="149">
        <f>IF(AND('Master Stock'!D810&lt;&gt;"",'Master Stock'!H810="OCCUPIED",ISNUMBER('Master Stock'!J810),'Master Stock'!K810=""),SUMPRODUCT(--('Master Stock'!$D$2:$D$1000&lt;&gt;""),--('Master Stock'!$H$2:$H$1000="OCCUPIED"),--ISNUMBER('Master Stock'!$J$2:$J$1000),--('Master Stock'!$K$2:$K$1000=""),--('Master Stock'!$J$2:$J$1000&lt;'Master Stock'!J810))+COUNTIFS('Master Stock'!$J$2:J810,'Master Stock'!J810,'Master Stock'!$D$2:D810,"&lt;&gt;",'Master Stock'!$H$2:H810,"OCCUPIED",'Master Stock'!$K$2:K810,""),"")</f>
        <v/>
      </c>
      <c r="V810" s="149">
        <f>IF(AND('Master Stock'!D810&lt;&gt;"",'Master Stock'!H810="OCCUPIED",ISNUMBER('Master Stock'!L810),'Master Stock'!L810&lt;TODAY()-30),SUMPRODUCT(--('Master Stock'!$D$2:$D$1000&lt;&gt;""),--('Master Stock'!$H$2:$H$1000="OCCUPIED"),--ISNUMBER('Master Stock'!$L$2:$L$1000),--('Master Stock'!$L$2:$L$1000&lt;TODAY()-30),--('Master Stock'!$L$2:$L$1000&lt;'Master Stock'!L810))+COUNTIFS('Master Stock'!$L$2:L810,'Master Stock'!L810,'Master Stock'!$D$2:D810,"&lt;&gt;",'Master Stock'!$H$2:H810,"OCCUPIED"),"")</f>
        <v/>
      </c>
      <c r="W810" s="149" t="n"/>
      <c r="X810" s="149" t="n"/>
      <c r="Y810" s="149" t="n"/>
      <c r="Z810" s="149" t="n"/>
    </row>
    <row r="811" ht="15.75" customHeight="1" s="236">
      <c r="A811" s="148" t="n"/>
      <c r="B811" s="148" t="n"/>
      <c r="C811" s="124" t="n"/>
      <c r="D811" s="148" t="n"/>
      <c r="E811" s="148" t="n"/>
      <c r="F811" s="148" t="n"/>
      <c r="G811" s="124" t="n"/>
      <c r="H811" s="148" t="n"/>
      <c r="I811" s="148" t="n"/>
      <c r="J811" s="148" t="n"/>
      <c r="K811" s="148" t="n"/>
      <c r="L811" s="148" t="n"/>
      <c r="M811" s="148" t="n"/>
      <c r="N811" s="148" t="n"/>
      <c r="O811" s="148" t="n"/>
      <c r="P811" s="148" t="n"/>
      <c r="Q811" s="148" t="n"/>
      <c r="R811" s="148" t="n"/>
      <c r="S811" s="148" t="n"/>
      <c r="T811" s="148" t="n"/>
      <c r="U811" s="149">
        <f>IF(AND('Master Stock'!D811&lt;&gt;"",'Master Stock'!H811="OCCUPIED",ISNUMBER('Master Stock'!J811),'Master Stock'!K811=""),SUMPRODUCT(--('Master Stock'!$D$2:$D$1000&lt;&gt;""),--('Master Stock'!$H$2:$H$1000="OCCUPIED"),--ISNUMBER('Master Stock'!$J$2:$J$1000),--('Master Stock'!$K$2:$K$1000=""),--('Master Stock'!$J$2:$J$1000&lt;'Master Stock'!J811))+COUNTIFS('Master Stock'!$J$2:J811,'Master Stock'!J811,'Master Stock'!$D$2:D811,"&lt;&gt;",'Master Stock'!$H$2:H811,"OCCUPIED",'Master Stock'!$K$2:K811,""),"")</f>
        <v/>
      </c>
      <c r="V811" s="149">
        <f>IF(AND('Master Stock'!D811&lt;&gt;"",'Master Stock'!H811="OCCUPIED",ISNUMBER('Master Stock'!L811),'Master Stock'!L811&lt;TODAY()-30),SUMPRODUCT(--('Master Stock'!$D$2:$D$1000&lt;&gt;""),--('Master Stock'!$H$2:$H$1000="OCCUPIED"),--ISNUMBER('Master Stock'!$L$2:$L$1000),--('Master Stock'!$L$2:$L$1000&lt;TODAY()-30),--('Master Stock'!$L$2:$L$1000&lt;'Master Stock'!L811))+COUNTIFS('Master Stock'!$L$2:L811,'Master Stock'!L811,'Master Stock'!$D$2:D811,"&lt;&gt;",'Master Stock'!$H$2:H811,"OCCUPIED"),"")</f>
        <v/>
      </c>
      <c r="W811" s="149" t="n"/>
      <c r="X811" s="149" t="n"/>
      <c r="Y811" s="149" t="n"/>
      <c r="Z811" s="149" t="n"/>
    </row>
    <row r="812" ht="15.75" customHeight="1" s="236">
      <c r="A812" s="148" t="n"/>
      <c r="B812" s="148" t="n"/>
      <c r="C812" s="124" t="n"/>
      <c r="D812" s="148" t="n"/>
      <c r="E812" s="148" t="n"/>
      <c r="F812" s="148" t="n"/>
      <c r="G812" s="124" t="n"/>
      <c r="H812" s="148" t="n"/>
      <c r="I812" s="148" t="n"/>
      <c r="J812" s="148" t="n"/>
      <c r="K812" s="148" t="n"/>
      <c r="L812" s="148" t="n"/>
      <c r="M812" s="148" t="n"/>
      <c r="N812" s="148" t="n"/>
      <c r="O812" s="148" t="n"/>
      <c r="P812" s="148" t="n"/>
      <c r="Q812" s="148" t="n"/>
      <c r="R812" s="148" t="n"/>
      <c r="S812" s="148" t="n"/>
      <c r="T812" s="148" t="n"/>
      <c r="U812" s="149">
        <f>IF(AND('Master Stock'!D812&lt;&gt;"",'Master Stock'!H812="OCCUPIED",ISNUMBER('Master Stock'!J812),'Master Stock'!K812=""),SUMPRODUCT(--('Master Stock'!$D$2:$D$1000&lt;&gt;""),--('Master Stock'!$H$2:$H$1000="OCCUPIED"),--ISNUMBER('Master Stock'!$J$2:$J$1000),--('Master Stock'!$K$2:$K$1000=""),--('Master Stock'!$J$2:$J$1000&lt;'Master Stock'!J812))+COUNTIFS('Master Stock'!$J$2:J812,'Master Stock'!J812,'Master Stock'!$D$2:D812,"&lt;&gt;",'Master Stock'!$H$2:H812,"OCCUPIED",'Master Stock'!$K$2:K812,""),"")</f>
        <v/>
      </c>
      <c r="V812" s="149">
        <f>IF(AND('Master Stock'!D812&lt;&gt;"",'Master Stock'!H812="OCCUPIED",ISNUMBER('Master Stock'!L812),'Master Stock'!L812&lt;TODAY()-30),SUMPRODUCT(--('Master Stock'!$D$2:$D$1000&lt;&gt;""),--('Master Stock'!$H$2:$H$1000="OCCUPIED"),--ISNUMBER('Master Stock'!$L$2:$L$1000),--('Master Stock'!$L$2:$L$1000&lt;TODAY()-30),--('Master Stock'!$L$2:$L$1000&lt;'Master Stock'!L812))+COUNTIFS('Master Stock'!$L$2:L812,'Master Stock'!L812,'Master Stock'!$D$2:D812,"&lt;&gt;",'Master Stock'!$H$2:H812,"OCCUPIED"),"")</f>
        <v/>
      </c>
      <c r="W812" s="149" t="n"/>
      <c r="X812" s="149" t="n"/>
      <c r="Y812" s="149" t="n"/>
      <c r="Z812" s="149" t="n"/>
    </row>
    <row r="813" ht="15.75" customHeight="1" s="236">
      <c r="A813" s="148" t="n"/>
      <c r="B813" s="148" t="n"/>
      <c r="C813" s="124" t="n"/>
      <c r="D813" s="148" t="n"/>
      <c r="E813" s="148" t="n"/>
      <c r="F813" s="148" t="n"/>
      <c r="G813" s="124" t="n"/>
      <c r="H813" s="148" t="n"/>
      <c r="I813" s="148" t="n"/>
      <c r="J813" s="148" t="n"/>
      <c r="K813" s="148" t="n"/>
      <c r="L813" s="148" t="n"/>
      <c r="M813" s="148" t="n"/>
      <c r="N813" s="148" t="n"/>
      <c r="O813" s="148" t="n"/>
      <c r="P813" s="148" t="n"/>
      <c r="Q813" s="148" t="n"/>
      <c r="R813" s="148" t="n"/>
      <c r="S813" s="148" t="n"/>
      <c r="T813" s="148" t="n"/>
      <c r="U813" s="149">
        <f>IF(AND('Master Stock'!D813&lt;&gt;"",'Master Stock'!H813="OCCUPIED",ISNUMBER('Master Stock'!J813),'Master Stock'!K813=""),SUMPRODUCT(--('Master Stock'!$D$2:$D$1000&lt;&gt;""),--('Master Stock'!$H$2:$H$1000="OCCUPIED"),--ISNUMBER('Master Stock'!$J$2:$J$1000),--('Master Stock'!$K$2:$K$1000=""),--('Master Stock'!$J$2:$J$1000&lt;'Master Stock'!J813))+COUNTIFS('Master Stock'!$J$2:J813,'Master Stock'!J813,'Master Stock'!$D$2:D813,"&lt;&gt;",'Master Stock'!$H$2:H813,"OCCUPIED",'Master Stock'!$K$2:K813,""),"")</f>
        <v/>
      </c>
      <c r="V813" s="149">
        <f>IF(AND('Master Stock'!D813&lt;&gt;"",'Master Stock'!H813="OCCUPIED",ISNUMBER('Master Stock'!L813),'Master Stock'!L813&lt;TODAY()-30),SUMPRODUCT(--('Master Stock'!$D$2:$D$1000&lt;&gt;""),--('Master Stock'!$H$2:$H$1000="OCCUPIED"),--ISNUMBER('Master Stock'!$L$2:$L$1000),--('Master Stock'!$L$2:$L$1000&lt;TODAY()-30),--('Master Stock'!$L$2:$L$1000&lt;'Master Stock'!L813))+COUNTIFS('Master Stock'!$L$2:L813,'Master Stock'!L813,'Master Stock'!$D$2:D813,"&lt;&gt;",'Master Stock'!$H$2:H813,"OCCUPIED"),"")</f>
        <v/>
      </c>
      <c r="W813" s="149" t="n"/>
      <c r="X813" s="149" t="n"/>
      <c r="Y813" s="149" t="n"/>
      <c r="Z813" s="149" t="n"/>
    </row>
    <row r="814" ht="15.75" customHeight="1" s="236">
      <c r="A814" s="148" t="n"/>
      <c r="B814" s="148" t="n"/>
      <c r="C814" s="124" t="n"/>
      <c r="D814" s="148" t="n"/>
      <c r="E814" s="148" t="n"/>
      <c r="F814" s="148" t="n"/>
      <c r="G814" s="124" t="n"/>
      <c r="H814" s="148" t="n"/>
      <c r="I814" s="148" t="n"/>
      <c r="J814" s="148" t="n"/>
      <c r="K814" s="148" t="n"/>
      <c r="L814" s="148" t="n"/>
      <c r="M814" s="148" t="n"/>
      <c r="N814" s="148" t="n"/>
      <c r="O814" s="148" t="n"/>
      <c r="P814" s="148" t="n"/>
      <c r="Q814" s="148" t="n"/>
      <c r="R814" s="148" t="n"/>
      <c r="S814" s="148" t="n"/>
      <c r="T814" s="148" t="n"/>
      <c r="U814" s="149">
        <f>IF(AND('Master Stock'!D814&lt;&gt;"",'Master Stock'!H814="OCCUPIED",ISNUMBER('Master Stock'!J814),'Master Stock'!K814=""),SUMPRODUCT(--('Master Stock'!$D$2:$D$1000&lt;&gt;""),--('Master Stock'!$H$2:$H$1000="OCCUPIED"),--ISNUMBER('Master Stock'!$J$2:$J$1000),--('Master Stock'!$K$2:$K$1000=""),--('Master Stock'!$J$2:$J$1000&lt;'Master Stock'!J814))+COUNTIFS('Master Stock'!$J$2:J814,'Master Stock'!J814,'Master Stock'!$D$2:D814,"&lt;&gt;",'Master Stock'!$H$2:H814,"OCCUPIED",'Master Stock'!$K$2:K814,""),"")</f>
        <v/>
      </c>
      <c r="V814" s="149">
        <f>IF(AND('Master Stock'!D814&lt;&gt;"",'Master Stock'!H814="OCCUPIED",ISNUMBER('Master Stock'!L814),'Master Stock'!L814&lt;TODAY()-30),SUMPRODUCT(--('Master Stock'!$D$2:$D$1000&lt;&gt;""),--('Master Stock'!$H$2:$H$1000="OCCUPIED"),--ISNUMBER('Master Stock'!$L$2:$L$1000),--('Master Stock'!$L$2:$L$1000&lt;TODAY()-30),--('Master Stock'!$L$2:$L$1000&lt;'Master Stock'!L814))+COUNTIFS('Master Stock'!$L$2:L814,'Master Stock'!L814,'Master Stock'!$D$2:D814,"&lt;&gt;",'Master Stock'!$H$2:H814,"OCCUPIED"),"")</f>
        <v/>
      </c>
      <c r="W814" s="149" t="n"/>
      <c r="X814" s="149" t="n"/>
      <c r="Y814" s="149" t="n"/>
      <c r="Z814" s="149" t="n"/>
    </row>
    <row r="815" ht="15.75" customHeight="1" s="236">
      <c r="A815" s="148" t="n"/>
      <c r="B815" s="148" t="n"/>
      <c r="C815" s="124" t="n"/>
      <c r="D815" s="148" t="n"/>
      <c r="E815" s="148" t="n"/>
      <c r="F815" s="148" t="n"/>
      <c r="G815" s="124" t="n"/>
      <c r="H815" s="148" t="n"/>
      <c r="I815" s="148" t="n"/>
      <c r="J815" s="148" t="n"/>
      <c r="K815" s="148" t="n"/>
      <c r="L815" s="148" t="n"/>
      <c r="M815" s="148" t="n"/>
      <c r="N815" s="148" t="n"/>
      <c r="O815" s="148" t="n"/>
      <c r="P815" s="148" t="n"/>
      <c r="Q815" s="148" t="n"/>
      <c r="R815" s="148" t="n"/>
      <c r="S815" s="148" t="n"/>
      <c r="T815" s="148" t="n"/>
      <c r="U815" s="149">
        <f>IF(AND('Master Stock'!D815&lt;&gt;"",'Master Stock'!H815="OCCUPIED",ISNUMBER('Master Stock'!J815),'Master Stock'!K815=""),SUMPRODUCT(--('Master Stock'!$D$2:$D$1000&lt;&gt;""),--('Master Stock'!$H$2:$H$1000="OCCUPIED"),--ISNUMBER('Master Stock'!$J$2:$J$1000),--('Master Stock'!$K$2:$K$1000=""),--('Master Stock'!$J$2:$J$1000&lt;'Master Stock'!J815))+COUNTIFS('Master Stock'!$J$2:J815,'Master Stock'!J815,'Master Stock'!$D$2:D815,"&lt;&gt;",'Master Stock'!$H$2:H815,"OCCUPIED",'Master Stock'!$K$2:K815,""),"")</f>
        <v/>
      </c>
      <c r="V815" s="149">
        <f>IF(AND('Master Stock'!D815&lt;&gt;"",'Master Stock'!H815="OCCUPIED",ISNUMBER('Master Stock'!L815),'Master Stock'!L815&lt;TODAY()-30),SUMPRODUCT(--('Master Stock'!$D$2:$D$1000&lt;&gt;""),--('Master Stock'!$H$2:$H$1000="OCCUPIED"),--ISNUMBER('Master Stock'!$L$2:$L$1000),--('Master Stock'!$L$2:$L$1000&lt;TODAY()-30),--('Master Stock'!$L$2:$L$1000&lt;'Master Stock'!L815))+COUNTIFS('Master Stock'!$L$2:L815,'Master Stock'!L815,'Master Stock'!$D$2:D815,"&lt;&gt;",'Master Stock'!$H$2:H815,"OCCUPIED"),"")</f>
        <v/>
      </c>
      <c r="W815" s="149" t="n"/>
      <c r="X815" s="149" t="n"/>
      <c r="Y815" s="149" t="n"/>
      <c r="Z815" s="149" t="n"/>
    </row>
    <row r="816" ht="15.75" customHeight="1" s="236">
      <c r="A816" s="148" t="n"/>
      <c r="B816" s="148" t="n"/>
      <c r="C816" s="124" t="n"/>
      <c r="D816" s="148" t="n"/>
      <c r="E816" s="148" t="n"/>
      <c r="F816" s="148" t="n"/>
      <c r="G816" s="124" t="n"/>
      <c r="H816" s="148" t="n"/>
      <c r="I816" s="148" t="n"/>
      <c r="J816" s="148" t="n"/>
      <c r="K816" s="148" t="n"/>
      <c r="L816" s="148" t="n"/>
      <c r="M816" s="148" t="n"/>
      <c r="N816" s="148" t="n"/>
      <c r="O816" s="148" t="n"/>
      <c r="P816" s="148" t="n"/>
      <c r="Q816" s="148" t="n"/>
      <c r="R816" s="148" t="n"/>
      <c r="S816" s="148" t="n"/>
      <c r="T816" s="148" t="n"/>
      <c r="U816" s="149">
        <f>IF(AND('Master Stock'!D816&lt;&gt;"",'Master Stock'!H816="OCCUPIED",ISNUMBER('Master Stock'!J816),'Master Stock'!K816=""),SUMPRODUCT(--('Master Stock'!$D$2:$D$1000&lt;&gt;""),--('Master Stock'!$H$2:$H$1000="OCCUPIED"),--ISNUMBER('Master Stock'!$J$2:$J$1000),--('Master Stock'!$K$2:$K$1000=""),--('Master Stock'!$J$2:$J$1000&lt;'Master Stock'!J816))+COUNTIFS('Master Stock'!$J$2:J816,'Master Stock'!J816,'Master Stock'!$D$2:D816,"&lt;&gt;",'Master Stock'!$H$2:H816,"OCCUPIED",'Master Stock'!$K$2:K816,""),"")</f>
        <v/>
      </c>
      <c r="V816" s="149">
        <f>IF(AND('Master Stock'!D816&lt;&gt;"",'Master Stock'!H816="OCCUPIED",ISNUMBER('Master Stock'!L816),'Master Stock'!L816&lt;TODAY()-30),SUMPRODUCT(--('Master Stock'!$D$2:$D$1000&lt;&gt;""),--('Master Stock'!$H$2:$H$1000="OCCUPIED"),--ISNUMBER('Master Stock'!$L$2:$L$1000),--('Master Stock'!$L$2:$L$1000&lt;TODAY()-30),--('Master Stock'!$L$2:$L$1000&lt;'Master Stock'!L816))+COUNTIFS('Master Stock'!$L$2:L816,'Master Stock'!L816,'Master Stock'!$D$2:D816,"&lt;&gt;",'Master Stock'!$H$2:H816,"OCCUPIED"),"")</f>
        <v/>
      </c>
      <c r="W816" s="149" t="n"/>
      <c r="X816" s="149" t="n"/>
      <c r="Y816" s="149" t="n"/>
      <c r="Z816" s="149" t="n"/>
    </row>
    <row r="817" ht="15.75" customHeight="1" s="236">
      <c r="A817" s="148" t="n"/>
      <c r="B817" s="148" t="n"/>
      <c r="C817" s="124" t="n"/>
      <c r="D817" s="148" t="n"/>
      <c r="E817" s="148" t="n"/>
      <c r="F817" s="148" t="n"/>
      <c r="G817" s="124" t="n"/>
      <c r="H817" s="148" t="n"/>
      <c r="I817" s="148" t="n"/>
      <c r="J817" s="148" t="n"/>
      <c r="K817" s="148" t="n"/>
      <c r="L817" s="148" t="n"/>
      <c r="M817" s="148" t="n"/>
      <c r="N817" s="148" t="n"/>
      <c r="O817" s="148" t="n"/>
      <c r="P817" s="148" t="n"/>
      <c r="Q817" s="148" t="n"/>
      <c r="R817" s="148" t="n"/>
      <c r="S817" s="148" t="n"/>
      <c r="T817" s="148" t="n"/>
      <c r="U817" s="149">
        <f>IF(AND('Master Stock'!D817&lt;&gt;"",'Master Stock'!H817="OCCUPIED",ISNUMBER('Master Stock'!J817),'Master Stock'!K817=""),SUMPRODUCT(--('Master Stock'!$D$2:$D$1000&lt;&gt;""),--('Master Stock'!$H$2:$H$1000="OCCUPIED"),--ISNUMBER('Master Stock'!$J$2:$J$1000),--('Master Stock'!$K$2:$K$1000=""),--('Master Stock'!$J$2:$J$1000&lt;'Master Stock'!J817))+COUNTIFS('Master Stock'!$J$2:J817,'Master Stock'!J817,'Master Stock'!$D$2:D817,"&lt;&gt;",'Master Stock'!$H$2:H817,"OCCUPIED",'Master Stock'!$K$2:K817,""),"")</f>
        <v/>
      </c>
      <c r="V817" s="149">
        <f>IF(AND('Master Stock'!D817&lt;&gt;"",'Master Stock'!H817="OCCUPIED",ISNUMBER('Master Stock'!L817),'Master Stock'!L817&lt;TODAY()-30),SUMPRODUCT(--('Master Stock'!$D$2:$D$1000&lt;&gt;""),--('Master Stock'!$H$2:$H$1000="OCCUPIED"),--ISNUMBER('Master Stock'!$L$2:$L$1000),--('Master Stock'!$L$2:$L$1000&lt;TODAY()-30),--('Master Stock'!$L$2:$L$1000&lt;'Master Stock'!L817))+COUNTIFS('Master Stock'!$L$2:L817,'Master Stock'!L817,'Master Stock'!$D$2:D817,"&lt;&gt;",'Master Stock'!$H$2:H817,"OCCUPIED"),"")</f>
        <v/>
      </c>
      <c r="W817" s="149" t="n"/>
      <c r="X817" s="149" t="n"/>
      <c r="Y817" s="149" t="n"/>
      <c r="Z817" s="149" t="n"/>
    </row>
    <row r="818" ht="15.75" customHeight="1" s="236">
      <c r="A818" s="148" t="n"/>
      <c r="B818" s="148" t="n"/>
      <c r="C818" s="124" t="n"/>
      <c r="D818" s="148" t="n"/>
      <c r="E818" s="148" t="n"/>
      <c r="F818" s="148" t="n"/>
      <c r="G818" s="124" t="n"/>
      <c r="H818" s="148" t="n"/>
      <c r="I818" s="148" t="n"/>
      <c r="J818" s="148" t="n"/>
      <c r="K818" s="148" t="n"/>
      <c r="L818" s="148" t="n"/>
      <c r="M818" s="148" t="n"/>
      <c r="N818" s="148" t="n"/>
      <c r="O818" s="148" t="n"/>
      <c r="P818" s="148" t="n"/>
      <c r="Q818" s="148" t="n"/>
      <c r="R818" s="148" t="n"/>
      <c r="S818" s="148" t="n"/>
      <c r="T818" s="148" t="n"/>
      <c r="U818" s="149">
        <f>IF(AND('Master Stock'!D818&lt;&gt;"",'Master Stock'!H818="OCCUPIED",ISNUMBER('Master Stock'!J818),'Master Stock'!K818=""),SUMPRODUCT(--('Master Stock'!$D$2:$D$1000&lt;&gt;""),--('Master Stock'!$H$2:$H$1000="OCCUPIED"),--ISNUMBER('Master Stock'!$J$2:$J$1000),--('Master Stock'!$K$2:$K$1000=""),--('Master Stock'!$J$2:$J$1000&lt;'Master Stock'!J818))+COUNTIFS('Master Stock'!$J$2:J818,'Master Stock'!J818,'Master Stock'!$D$2:D818,"&lt;&gt;",'Master Stock'!$H$2:H818,"OCCUPIED",'Master Stock'!$K$2:K818,""),"")</f>
        <v/>
      </c>
      <c r="V818" s="149">
        <f>IF(AND('Master Stock'!D818&lt;&gt;"",'Master Stock'!H818="OCCUPIED",ISNUMBER('Master Stock'!L818),'Master Stock'!L818&lt;TODAY()-30),SUMPRODUCT(--('Master Stock'!$D$2:$D$1000&lt;&gt;""),--('Master Stock'!$H$2:$H$1000="OCCUPIED"),--ISNUMBER('Master Stock'!$L$2:$L$1000),--('Master Stock'!$L$2:$L$1000&lt;TODAY()-30),--('Master Stock'!$L$2:$L$1000&lt;'Master Stock'!L818))+COUNTIFS('Master Stock'!$L$2:L818,'Master Stock'!L818,'Master Stock'!$D$2:D818,"&lt;&gt;",'Master Stock'!$H$2:H818,"OCCUPIED"),"")</f>
        <v/>
      </c>
      <c r="W818" s="149" t="n"/>
      <c r="X818" s="149" t="n"/>
      <c r="Y818" s="149" t="n"/>
      <c r="Z818" s="149" t="n"/>
    </row>
    <row r="819" ht="15.75" customHeight="1" s="236">
      <c r="A819" s="148" t="n"/>
      <c r="B819" s="148" t="n"/>
      <c r="C819" s="124" t="n"/>
      <c r="D819" s="148" t="n"/>
      <c r="E819" s="148" t="n"/>
      <c r="F819" s="148" t="n"/>
      <c r="G819" s="124" t="n"/>
      <c r="H819" s="148" t="n"/>
      <c r="I819" s="148" t="n"/>
      <c r="J819" s="148" t="n"/>
      <c r="K819" s="148" t="n"/>
      <c r="L819" s="148" t="n"/>
      <c r="M819" s="148" t="n"/>
      <c r="N819" s="148" t="n"/>
      <c r="O819" s="148" t="n"/>
      <c r="P819" s="148" t="n"/>
      <c r="Q819" s="148" t="n"/>
      <c r="R819" s="148" t="n"/>
      <c r="S819" s="148" t="n"/>
      <c r="T819" s="148" t="n"/>
      <c r="U819" s="149">
        <f>IF(AND('Master Stock'!D819&lt;&gt;"",'Master Stock'!H819="OCCUPIED",ISNUMBER('Master Stock'!J819),'Master Stock'!K819=""),SUMPRODUCT(--('Master Stock'!$D$2:$D$1000&lt;&gt;""),--('Master Stock'!$H$2:$H$1000="OCCUPIED"),--ISNUMBER('Master Stock'!$J$2:$J$1000),--('Master Stock'!$K$2:$K$1000=""),--('Master Stock'!$J$2:$J$1000&lt;'Master Stock'!J819))+COUNTIFS('Master Stock'!$J$2:J819,'Master Stock'!J819,'Master Stock'!$D$2:D819,"&lt;&gt;",'Master Stock'!$H$2:H819,"OCCUPIED",'Master Stock'!$K$2:K819,""),"")</f>
        <v/>
      </c>
      <c r="V819" s="149">
        <f>IF(AND('Master Stock'!D819&lt;&gt;"",'Master Stock'!H819="OCCUPIED",ISNUMBER('Master Stock'!L819),'Master Stock'!L819&lt;TODAY()-30),SUMPRODUCT(--('Master Stock'!$D$2:$D$1000&lt;&gt;""),--('Master Stock'!$H$2:$H$1000="OCCUPIED"),--ISNUMBER('Master Stock'!$L$2:$L$1000),--('Master Stock'!$L$2:$L$1000&lt;TODAY()-30),--('Master Stock'!$L$2:$L$1000&lt;'Master Stock'!L819))+COUNTIFS('Master Stock'!$L$2:L819,'Master Stock'!L819,'Master Stock'!$D$2:D819,"&lt;&gt;",'Master Stock'!$H$2:H819,"OCCUPIED"),"")</f>
        <v/>
      </c>
      <c r="W819" s="149" t="n"/>
      <c r="X819" s="149" t="n"/>
      <c r="Y819" s="149" t="n"/>
      <c r="Z819" s="149" t="n"/>
    </row>
    <row r="820" ht="15.75" customHeight="1" s="236">
      <c r="A820" s="148" t="n"/>
      <c r="B820" s="148" t="n"/>
      <c r="C820" s="124" t="n"/>
      <c r="D820" s="148" t="n"/>
      <c r="E820" s="148" t="n"/>
      <c r="F820" s="148" t="n"/>
      <c r="G820" s="124" t="n"/>
      <c r="H820" s="148" t="n"/>
      <c r="I820" s="148" t="n"/>
      <c r="J820" s="148" t="n"/>
      <c r="K820" s="148" t="n"/>
      <c r="L820" s="148" t="n"/>
      <c r="M820" s="148" t="n"/>
      <c r="N820" s="148" t="n"/>
      <c r="O820" s="148" t="n"/>
      <c r="P820" s="148" t="n"/>
      <c r="Q820" s="148" t="n"/>
      <c r="R820" s="148" t="n"/>
      <c r="S820" s="148" t="n"/>
      <c r="T820" s="148" t="n"/>
      <c r="U820" s="149">
        <f>IF(AND('Master Stock'!D820&lt;&gt;"",'Master Stock'!H820="OCCUPIED",ISNUMBER('Master Stock'!J820),'Master Stock'!K820=""),SUMPRODUCT(--('Master Stock'!$D$2:$D$1000&lt;&gt;""),--('Master Stock'!$H$2:$H$1000="OCCUPIED"),--ISNUMBER('Master Stock'!$J$2:$J$1000),--('Master Stock'!$K$2:$K$1000=""),--('Master Stock'!$J$2:$J$1000&lt;'Master Stock'!J820))+COUNTIFS('Master Stock'!$J$2:J820,'Master Stock'!J820,'Master Stock'!$D$2:D820,"&lt;&gt;",'Master Stock'!$H$2:H820,"OCCUPIED",'Master Stock'!$K$2:K820,""),"")</f>
        <v/>
      </c>
      <c r="V820" s="149">
        <f>IF(AND('Master Stock'!D820&lt;&gt;"",'Master Stock'!H820="OCCUPIED",ISNUMBER('Master Stock'!L820),'Master Stock'!L820&lt;TODAY()-30),SUMPRODUCT(--('Master Stock'!$D$2:$D$1000&lt;&gt;""),--('Master Stock'!$H$2:$H$1000="OCCUPIED"),--ISNUMBER('Master Stock'!$L$2:$L$1000),--('Master Stock'!$L$2:$L$1000&lt;TODAY()-30),--('Master Stock'!$L$2:$L$1000&lt;'Master Stock'!L820))+COUNTIFS('Master Stock'!$L$2:L820,'Master Stock'!L820,'Master Stock'!$D$2:D820,"&lt;&gt;",'Master Stock'!$H$2:H820,"OCCUPIED"),"")</f>
        <v/>
      </c>
      <c r="W820" s="149" t="n"/>
      <c r="X820" s="149" t="n"/>
      <c r="Y820" s="149" t="n"/>
      <c r="Z820" s="149" t="n"/>
    </row>
    <row r="821" ht="15.75" customHeight="1" s="236">
      <c r="A821" s="148" t="n"/>
      <c r="B821" s="148" t="n"/>
      <c r="C821" s="124" t="n"/>
      <c r="D821" s="148" t="n"/>
      <c r="E821" s="148" t="n"/>
      <c r="F821" s="148" t="n"/>
      <c r="G821" s="124" t="n"/>
      <c r="H821" s="148" t="n"/>
      <c r="I821" s="148" t="n"/>
      <c r="J821" s="148" t="n"/>
      <c r="K821" s="148" t="n"/>
      <c r="L821" s="148" t="n"/>
      <c r="M821" s="148" t="n"/>
      <c r="N821" s="148" t="n"/>
      <c r="O821" s="148" t="n"/>
      <c r="P821" s="148" t="n"/>
      <c r="Q821" s="148" t="n"/>
      <c r="R821" s="148" t="n"/>
      <c r="S821" s="148" t="n"/>
      <c r="T821" s="148" t="n"/>
      <c r="U821" s="149">
        <f>IF(AND('Master Stock'!D821&lt;&gt;"",'Master Stock'!H821="OCCUPIED",ISNUMBER('Master Stock'!J821),'Master Stock'!K821=""),SUMPRODUCT(--('Master Stock'!$D$2:$D$1000&lt;&gt;""),--('Master Stock'!$H$2:$H$1000="OCCUPIED"),--ISNUMBER('Master Stock'!$J$2:$J$1000),--('Master Stock'!$K$2:$K$1000=""),--('Master Stock'!$J$2:$J$1000&lt;'Master Stock'!J821))+COUNTIFS('Master Stock'!$J$2:J821,'Master Stock'!J821,'Master Stock'!$D$2:D821,"&lt;&gt;",'Master Stock'!$H$2:H821,"OCCUPIED",'Master Stock'!$K$2:K821,""),"")</f>
        <v/>
      </c>
      <c r="V821" s="149">
        <f>IF(AND('Master Stock'!D821&lt;&gt;"",'Master Stock'!H821="OCCUPIED",ISNUMBER('Master Stock'!L821),'Master Stock'!L821&lt;TODAY()-30),SUMPRODUCT(--('Master Stock'!$D$2:$D$1000&lt;&gt;""),--('Master Stock'!$H$2:$H$1000="OCCUPIED"),--ISNUMBER('Master Stock'!$L$2:$L$1000),--('Master Stock'!$L$2:$L$1000&lt;TODAY()-30),--('Master Stock'!$L$2:$L$1000&lt;'Master Stock'!L821))+COUNTIFS('Master Stock'!$L$2:L821,'Master Stock'!L821,'Master Stock'!$D$2:D821,"&lt;&gt;",'Master Stock'!$H$2:H821,"OCCUPIED"),"")</f>
        <v/>
      </c>
      <c r="W821" s="149" t="n"/>
      <c r="X821" s="149" t="n"/>
      <c r="Y821" s="149" t="n"/>
      <c r="Z821" s="149" t="n"/>
    </row>
    <row r="822" ht="15.75" customHeight="1" s="236">
      <c r="A822" s="148" t="n"/>
      <c r="B822" s="148" t="n"/>
      <c r="C822" s="124" t="n"/>
      <c r="D822" s="148" t="n"/>
      <c r="E822" s="148" t="n"/>
      <c r="F822" s="148" t="n"/>
      <c r="G822" s="124" t="n"/>
      <c r="H822" s="148" t="n"/>
      <c r="I822" s="148" t="n"/>
      <c r="J822" s="148" t="n"/>
      <c r="K822" s="148" t="n"/>
      <c r="L822" s="148" t="n"/>
      <c r="M822" s="148" t="n"/>
      <c r="N822" s="148" t="n"/>
      <c r="O822" s="148" t="n"/>
      <c r="P822" s="148" t="n"/>
      <c r="Q822" s="148" t="n"/>
      <c r="R822" s="148" t="n"/>
      <c r="S822" s="148" t="n"/>
      <c r="T822" s="148" t="n"/>
      <c r="U822" s="149">
        <f>IF(AND('Master Stock'!D822&lt;&gt;"",'Master Stock'!H822="OCCUPIED",ISNUMBER('Master Stock'!J822),'Master Stock'!K822=""),SUMPRODUCT(--('Master Stock'!$D$2:$D$1000&lt;&gt;""),--('Master Stock'!$H$2:$H$1000="OCCUPIED"),--ISNUMBER('Master Stock'!$J$2:$J$1000),--('Master Stock'!$K$2:$K$1000=""),--('Master Stock'!$J$2:$J$1000&lt;'Master Stock'!J822))+COUNTIFS('Master Stock'!$J$2:J822,'Master Stock'!J822,'Master Stock'!$D$2:D822,"&lt;&gt;",'Master Stock'!$H$2:H822,"OCCUPIED",'Master Stock'!$K$2:K822,""),"")</f>
        <v/>
      </c>
      <c r="V822" s="149">
        <f>IF(AND('Master Stock'!D822&lt;&gt;"",'Master Stock'!H822="OCCUPIED",ISNUMBER('Master Stock'!L822),'Master Stock'!L822&lt;TODAY()-30),SUMPRODUCT(--('Master Stock'!$D$2:$D$1000&lt;&gt;""),--('Master Stock'!$H$2:$H$1000="OCCUPIED"),--ISNUMBER('Master Stock'!$L$2:$L$1000),--('Master Stock'!$L$2:$L$1000&lt;TODAY()-30),--('Master Stock'!$L$2:$L$1000&lt;'Master Stock'!L822))+COUNTIFS('Master Stock'!$L$2:L822,'Master Stock'!L822,'Master Stock'!$D$2:D822,"&lt;&gt;",'Master Stock'!$H$2:H822,"OCCUPIED"),"")</f>
        <v/>
      </c>
      <c r="W822" s="149" t="n"/>
      <c r="X822" s="149" t="n"/>
      <c r="Y822" s="149" t="n"/>
      <c r="Z822" s="149" t="n"/>
    </row>
    <row r="823" ht="15.75" customHeight="1" s="236">
      <c r="A823" s="148" t="n"/>
      <c r="B823" s="148" t="n"/>
      <c r="C823" s="124" t="n"/>
      <c r="D823" s="148" t="n"/>
      <c r="E823" s="148" t="n"/>
      <c r="F823" s="148" t="n"/>
      <c r="G823" s="124" t="n"/>
      <c r="H823" s="148" t="n"/>
      <c r="I823" s="148" t="n"/>
      <c r="J823" s="148" t="n"/>
      <c r="K823" s="148" t="n"/>
      <c r="L823" s="148" t="n"/>
      <c r="M823" s="148" t="n"/>
      <c r="N823" s="148" t="n"/>
      <c r="O823" s="148" t="n"/>
      <c r="P823" s="148" t="n"/>
      <c r="Q823" s="148" t="n"/>
      <c r="R823" s="148" t="n"/>
      <c r="S823" s="148" t="n"/>
      <c r="T823" s="148" t="n"/>
      <c r="U823" s="149">
        <f>IF(AND('Master Stock'!D823&lt;&gt;"",'Master Stock'!H823="OCCUPIED",ISNUMBER('Master Stock'!J823),'Master Stock'!K823=""),SUMPRODUCT(--('Master Stock'!$D$2:$D$1000&lt;&gt;""),--('Master Stock'!$H$2:$H$1000="OCCUPIED"),--ISNUMBER('Master Stock'!$J$2:$J$1000),--('Master Stock'!$K$2:$K$1000=""),--('Master Stock'!$J$2:$J$1000&lt;'Master Stock'!J823))+COUNTIFS('Master Stock'!$J$2:J823,'Master Stock'!J823,'Master Stock'!$D$2:D823,"&lt;&gt;",'Master Stock'!$H$2:H823,"OCCUPIED",'Master Stock'!$K$2:K823,""),"")</f>
        <v/>
      </c>
      <c r="V823" s="149">
        <f>IF(AND('Master Stock'!D823&lt;&gt;"",'Master Stock'!H823="OCCUPIED",ISNUMBER('Master Stock'!L823),'Master Stock'!L823&lt;TODAY()-30),SUMPRODUCT(--('Master Stock'!$D$2:$D$1000&lt;&gt;""),--('Master Stock'!$H$2:$H$1000="OCCUPIED"),--ISNUMBER('Master Stock'!$L$2:$L$1000),--('Master Stock'!$L$2:$L$1000&lt;TODAY()-30),--('Master Stock'!$L$2:$L$1000&lt;'Master Stock'!L823))+COUNTIFS('Master Stock'!$L$2:L823,'Master Stock'!L823,'Master Stock'!$D$2:D823,"&lt;&gt;",'Master Stock'!$H$2:H823,"OCCUPIED"),"")</f>
        <v/>
      </c>
      <c r="W823" s="149" t="n"/>
      <c r="X823" s="149" t="n"/>
      <c r="Y823" s="149" t="n"/>
      <c r="Z823" s="149" t="n"/>
    </row>
    <row r="824" ht="15.75" customHeight="1" s="236">
      <c r="A824" s="148" t="n"/>
      <c r="B824" s="148" t="n"/>
      <c r="C824" s="124" t="n"/>
      <c r="D824" s="148" t="n"/>
      <c r="E824" s="148" t="n"/>
      <c r="F824" s="148" t="n"/>
      <c r="G824" s="124" t="n"/>
      <c r="H824" s="148" t="n"/>
      <c r="I824" s="148" t="n"/>
      <c r="J824" s="148" t="n"/>
      <c r="K824" s="148" t="n"/>
      <c r="L824" s="148" t="n"/>
      <c r="M824" s="148" t="n"/>
      <c r="N824" s="148" t="n"/>
      <c r="O824" s="148" t="n"/>
      <c r="P824" s="148" t="n"/>
      <c r="Q824" s="148" t="n"/>
      <c r="R824" s="148" t="n"/>
      <c r="S824" s="148" t="n"/>
      <c r="T824" s="148" t="n"/>
      <c r="U824" s="149">
        <f>IF(AND('Master Stock'!D824&lt;&gt;"",'Master Stock'!H824="OCCUPIED",ISNUMBER('Master Stock'!J824),'Master Stock'!K824=""),SUMPRODUCT(--('Master Stock'!$D$2:$D$1000&lt;&gt;""),--('Master Stock'!$H$2:$H$1000="OCCUPIED"),--ISNUMBER('Master Stock'!$J$2:$J$1000),--('Master Stock'!$K$2:$K$1000=""),--('Master Stock'!$J$2:$J$1000&lt;'Master Stock'!J824))+COUNTIFS('Master Stock'!$J$2:J824,'Master Stock'!J824,'Master Stock'!$D$2:D824,"&lt;&gt;",'Master Stock'!$H$2:H824,"OCCUPIED",'Master Stock'!$K$2:K824,""),"")</f>
        <v/>
      </c>
      <c r="V824" s="149">
        <f>IF(AND('Master Stock'!D824&lt;&gt;"",'Master Stock'!H824="OCCUPIED",ISNUMBER('Master Stock'!L824),'Master Stock'!L824&lt;TODAY()-30),SUMPRODUCT(--('Master Stock'!$D$2:$D$1000&lt;&gt;""),--('Master Stock'!$H$2:$H$1000="OCCUPIED"),--ISNUMBER('Master Stock'!$L$2:$L$1000),--('Master Stock'!$L$2:$L$1000&lt;TODAY()-30),--('Master Stock'!$L$2:$L$1000&lt;'Master Stock'!L824))+COUNTIFS('Master Stock'!$L$2:L824,'Master Stock'!L824,'Master Stock'!$D$2:D824,"&lt;&gt;",'Master Stock'!$H$2:H824,"OCCUPIED"),"")</f>
        <v/>
      </c>
      <c r="W824" s="149" t="n"/>
      <c r="X824" s="149" t="n"/>
      <c r="Y824" s="149" t="n"/>
      <c r="Z824" s="149" t="n"/>
    </row>
    <row r="825" ht="15.75" customHeight="1" s="236">
      <c r="A825" s="148" t="n"/>
      <c r="B825" s="148" t="n"/>
      <c r="C825" s="124" t="n"/>
      <c r="D825" s="148" t="n"/>
      <c r="E825" s="148" t="n"/>
      <c r="F825" s="148" t="n"/>
      <c r="G825" s="124" t="n"/>
      <c r="H825" s="148" t="n"/>
      <c r="I825" s="148" t="n"/>
      <c r="J825" s="148" t="n"/>
      <c r="K825" s="148" t="n"/>
      <c r="L825" s="148" t="n"/>
      <c r="M825" s="148" t="n"/>
      <c r="N825" s="148" t="n"/>
      <c r="O825" s="148" t="n"/>
      <c r="P825" s="148" t="n"/>
      <c r="Q825" s="148" t="n"/>
      <c r="R825" s="148" t="n"/>
      <c r="S825" s="148" t="n"/>
      <c r="T825" s="148" t="n"/>
      <c r="U825" s="149">
        <f>IF(AND('Master Stock'!D825&lt;&gt;"",'Master Stock'!H825="OCCUPIED",ISNUMBER('Master Stock'!J825),'Master Stock'!K825=""),SUMPRODUCT(--('Master Stock'!$D$2:$D$1000&lt;&gt;""),--('Master Stock'!$H$2:$H$1000="OCCUPIED"),--ISNUMBER('Master Stock'!$J$2:$J$1000),--('Master Stock'!$K$2:$K$1000=""),--('Master Stock'!$J$2:$J$1000&lt;'Master Stock'!J825))+COUNTIFS('Master Stock'!$J$2:J825,'Master Stock'!J825,'Master Stock'!$D$2:D825,"&lt;&gt;",'Master Stock'!$H$2:H825,"OCCUPIED",'Master Stock'!$K$2:K825,""),"")</f>
        <v/>
      </c>
      <c r="V825" s="149">
        <f>IF(AND('Master Stock'!D825&lt;&gt;"",'Master Stock'!H825="OCCUPIED",ISNUMBER('Master Stock'!L825),'Master Stock'!L825&lt;TODAY()-30),SUMPRODUCT(--('Master Stock'!$D$2:$D$1000&lt;&gt;""),--('Master Stock'!$H$2:$H$1000="OCCUPIED"),--ISNUMBER('Master Stock'!$L$2:$L$1000),--('Master Stock'!$L$2:$L$1000&lt;TODAY()-30),--('Master Stock'!$L$2:$L$1000&lt;'Master Stock'!L825))+COUNTIFS('Master Stock'!$L$2:L825,'Master Stock'!L825,'Master Stock'!$D$2:D825,"&lt;&gt;",'Master Stock'!$H$2:H825,"OCCUPIED"),"")</f>
        <v/>
      </c>
      <c r="W825" s="149" t="n"/>
      <c r="X825" s="149" t="n"/>
      <c r="Y825" s="149" t="n"/>
      <c r="Z825" s="149" t="n"/>
    </row>
    <row r="826" ht="15.75" customHeight="1" s="236">
      <c r="A826" s="148" t="n"/>
      <c r="B826" s="148" t="n"/>
      <c r="C826" s="124" t="n"/>
      <c r="D826" s="148" t="n"/>
      <c r="E826" s="148" t="n"/>
      <c r="F826" s="148" t="n"/>
      <c r="G826" s="124" t="n"/>
      <c r="H826" s="148" t="n"/>
      <c r="I826" s="148" t="n"/>
      <c r="J826" s="148" t="n"/>
      <c r="K826" s="148" t="n"/>
      <c r="L826" s="148" t="n"/>
      <c r="M826" s="148" t="n"/>
      <c r="N826" s="148" t="n"/>
      <c r="O826" s="148" t="n"/>
      <c r="P826" s="148" t="n"/>
      <c r="Q826" s="148" t="n"/>
      <c r="R826" s="148" t="n"/>
      <c r="S826" s="148" t="n"/>
      <c r="T826" s="148" t="n"/>
      <c r="U826" s="149">
        <f>IF(AND('Master Stock'!D826&lt;&gt;"",'Master Stock'!H826="OCCUPIED",ISNUMBER('Master Stock'!J826),'Master Stock'!K826=""),SUMPRODUCT(--('Master Stock'!$D$2:$D$1000&lt;&gt;""),--('Master Stock'!$H$2:$H$1000="OCCUPIED"),--ISNUMBER('Master Stock'!$J$2:$J$1000),--('Master Stock'!$K$2:$K$1000=""),--('Master Stock'!$J$2:$J$1000&lt;'Master Stock'!J826))+COUNTIFS('Master Stock'!$J$2:J826,'Master Stock'!J826,'Master Stock'!$D$2:D826,"&lt;&gt;",'Master Stock'!$H$2:H826,"OCCUPIED",'Master Stock'!$K$2:K826,""),"")</f>
        <v/>
      </c>
      <c r="V826" s="149">
        <f>IF(AND('Master Stock'!D826&lt;&gt;"",'Master Stock'!H826="OCCUPIED",ISNUMBER('Master Stock'!L826),'Master Stock'!L826&lt;TODAY()-30),SUMPRODUCT(--('Master Stock'!$D$2:$D$1000&lt;&gt;""),--('Master Stock'!$H$2:$H$1000="OCCUPIED"),--ISNUMBER('Master Stock'!$L$2:$L$1000),--('Master Stock'!$L$2:$L$1000&lt;TODAY()-30),--('Master Stock'!$L$2:$L$1000&lt;'Master Stock'!L826))+COUNTIFS('Master Stock'!$L$2:L826,'Master Stock'!L826,'Master Stock'!$D$2:D826,"&lt;&gt;",'Master Stock'!$H$2:H826,"OCCUPIED"),"")</f>
        <v/>
      </c>
      <c r="W826" s="149" t="n"/>
      <c r="X826" s="149" t="n"/>
      <c r="Y826" s="149" t="n"/>
      <c r="Z826" s="149" t="n"/>
    </row>
    <row r="827" ht="15.75" customHeight="1" s="236">
      <c r="A827" s="148" t="n"/>
      <c r="B827" s="148" t="n"/>
      <c r="C827" s="124" t="n"/>
      <c r="D827" s="148" t="n"/>
      <c r="E827" s="148" t="n"/>
      <c r="F827" s="148" t="n"/>
      <c r="G827" s="124" t="n"/>
      <c r="H827" s="148" t="n"/>
      <c r="I827" s="148" t="n"/>
      <c r="J827" s="148" t="n"/>
      <c r="K827" s="148" t="n"/>
      <c r="L827" s="148" t="n"/>
      <c r="M827" s="148" t="n"/>
      <c r="N827" s="148" t="n"/>
      <c r="O827" s="148" t="n"/>
      <c r="P827" s="148" t="n"/>
      <c r="Q827" s="148" t="n"/>
      <c r="R827" s="148" t="n"/>
      <c r="S827" s="148" t="n"/>
      <c r="T827" s="148" t="n"/>
      <c r="U827" s="149">
        <f>IF(AND('Master Stock'!D827&lt;&gt;"",'Master Stock'!H827="OCCUPIED",ISNUMBER('Master Stock'!J827),'Master Stock'!K827=""),SUMPRODUCT(--('Master Stock'!$D$2:$D$1000&lt;&gt;""),--('Master Stock'!$H$2:$H$1000="OCCUPIED"),--ISNUMBER('Master Stock'!$J$2:$J$1000),--('Master Stock'!$K$2:$K$1000=""),--('Master Stock'!$J$2:$J$1000&lt;'Master Stock'!J827))+COUNTIFS('Master Stock'!$J$2:J827,'Master Stock'!J827,'Master Stock'!$D$2:D827,"&lt;&gt;",'Master Stock'!$H$2:H827,"OCCUPIED",'Master Stock'!$K$2:K827,""),"")</f>
        <v/>
      </c>
      <c r="V827" s="149">
        <f>IF(AND('Master Stock'!D827&lt;&gt;"",'Master Stock'!H827="OCCUPIED",ISNUMBER('Master Stock'!L827),'Master Stock'!L827&lt;TODAY()-30),SUMPRODUCT(--('Master Stock'!$D$2:$D$1000&lt;&gt;""),--('Master Stock'!$H$2:$H$1000="OCCUPIED"),--ISNUMBER('Master Stock'!$L$2:$L$1000),--('Master Stock'!$L$2:$L$1000&lt;TODAY()-30),--('Master Stock'!$L$2:$L$1000&lt;'Master Stock'!L827))+COUNTIFS('Master Stock'!$L$2:L827,'Master Stock'!L827,'Master Stock'!$D$2:D827,"&lt;&gt;",'Master Stock'!$H$2:H827,"OCCUPIED"),"")</f>
        <v/>
      </c>
      <c r="W827" s="149" t="n"/>
      <c r="X827" s="149" t="n"/>
      <c r="Y827" s="149" t="n"/>
      <c r="Z827" s="149" t="n"/>
    </row>
    <row r="828" ht="15.75" customHeight="1" s="236">
      <c r="A828" s="148" t="n"/>
      <c r="B828" s="148" t="n"/>
      <c r="C828" s="124" t="n"/>
      <c r="D828" s="148" t="n"/>
      <c r="E828" s="148" t="n"/>
      <c r="F828" s="148" t="n"/>
      <c r="G828" s="124" t="n"/>
      <c r="H828" s="148" t="n"/>
      <c r="I828" s="148" t="n"/>
      <c r="J828" s="148" t="n"/>
      <c r="K828" s="148" t="n"/>
      <c r="L828" s="148" t="n"/>
      <c r="M828" s="148" t="n"/>
      <c r="N828" s="148" t="n"/>
      <c r="O828" s="148" t="n"/>
      <c r="P828" s="148" t="n"/>
      <c r="Q828" s="148" t="n"/>
      <c r="R828" s="148" t="n"/>
      <c r="S828" s="148" t="n"/>
      <c r="T828" s="148" t="n"/>
      <c r="U828" s="149">
        <f>IF(AND('Master Stock'!D828&lt;&gt;"",'Master Stock'!H828="OCCUPIED",ISNUMBER('Master Stock'!J828),'Master Stock'!K828=""),SUMPRODUCT(--('Master Stock'!$D$2:$D$1000&lt;&gt;""),--('Master Stock'!$H$2:$H$1000="OCCUPIED"),--ISNUMBER('Master Stock'!$J$2:$J$1000),--('Master Stock'!$K$2:$K$1000=""),--('Master Stock'!$J$2:$J$1000&lt;'Master Stock'!J828))+COUNTIFS('Master Stock'!$J$2:J828,'Master Stock'!J828,'Master Stock'!$D$2:D828,"&lt;&gt;",'Master Stock'!$H$2:H828,"OCCUPIED",'Master Stock'!$K$2:K828,""),"")</f>
        <v/>
      </c>
      <c r="V828" s="149">
        <f>IF(AND('Master Stock'!D828&lt;&gt;"",'Master Stock'!H828="OCCUPIED",ISNUMBER('Master Stock'!L828),'Master Stock'!L828&lt;TODAY()-30),SUMPRODUCT(--('Master Stock'!$D$2:$D$1000&lt;&gt;""),--('Master Stock'!$H$2:$H$1000="OCCUPIED"),--ISNUMBER('Master Stock'!$L$2:$L$1000),--('Master Stock'!$L$2:$L$1000&lt;TODAY()-30),--('Master Stock'!$L$2:$L$1000&lt;'Master Stock'!L828))+COUNTIFS('Master Stock'!$L$2:L828,'Master Stock'!L828,'Master Stock'!$D$2:D828,"&lt;&gt;",'Master Stock'!$H$2:H828,"OCCUPIED"),"")</f>
        <v/>
      </c>
      <c r="W828" s="149" t="n"/>
      <c r="X828" s="149" t="n"/>
      <c r="Y828" s="149" t="n"/>
      <c r="Z828" s="149" t="n"/>
    </row>
    <row r="829" ht="15.75" customHeight="1" s="236">
      <c r="A829" s="148" t="n"/>
      <c r="B829" s="148" t="n"/>
      <c r="C829" s="124" t="n"/>
      <c r="D829" s="148" t="n"/>
      <c r="E829" s="148" t="n"/>
      <c r="F829" s="148" t="n"/>
      <c r="G829" s="124" t="n"/>
      <c r="H829" s="148" t="n"/>
      <c r="I829" s="148" t="n"/>
      <c r="J829" s="148" t="n"/>
      <c r="K829" s="148" t="n"/>
      <c r="L829" s="148" t="n"/>
      <c r="M829" s="148" t="n"/>
      <c r="N829" s="148" t="n"/>
      <c r="O829" s="148" t="n"/>
      <c r="P829" s="148" t="n"/>
      <c r="Q829" s="148" t="n"/>
      <c r="R829" s="148" t="n"/>
      <c r="S829" s="148" t="n"/>
      <c r="T829" s="148" t="n"/>
      <c r="U829" s="149">
        <f>IF(AND('Master Stock'!D829&lt;&gt;"",'Master Stock'!H829="OCCUPIED",ISNUMBER('Master Stock'!J829),'Master Stock'!K829=""),SUMPRODUCT(--('Master Stock'!$D$2:$D$1000&lt;&gt;""),--('Master Stock'!$H$2:$H$1000="OCCUPIED"),--ISNUMBER('Master Stock'!$J$2:$J$1000),--('Master Stock'!$K$2:$K$1000=""),--('Master Stock'!$J$2:$J$1000&lt;'Master Stock'!J829))+COUNTIFS('Master Stock'!$J$2:J829,'Master Stock'!J829,'Master Stock'!$D$2:D829,"&lt;&gt;",'Master Stock'!$H$2:H829,"OCCUPIED",'Master Stock'!$K$2:K829,""),"")</f>
        <v/>
      </c>
      <c r="V829" s="149">
        <f>IF(AND('Master Stock'!D829&lt;&gt;"",'Master Stock'!H829="OCCUPIED",ISNUMBER('Master Stock'!L829),'Master Stock'!L829&lt;TODAY()-30),SUMPRODUCT(--('Master Stock'!$D$2:$D$1000&lt;&gt;""),--('Master Stock'!$H$2:$H$1000="OCCUPIED"),--ISNUMBER('Master Stock'!$L$2:$L$1000),--('Master Stock'!$L$2:$L$1000&lt;TODAY()-30),--('Master Stock'!$L$2:$L$1000&lt;'Master Stock'!L829))+COUNTIFS('Master Stock'!$L$2:L829,'Master Stock'!L829,'Master Stock'!$D$2:D829,"&lt;&gt;",'Master Stock'!$H$2:H829,"OCCUPIED"),"")</f>
        <v/>
      </c>
      <c r="W829" s="149" t="n"/>
      <c r="X829" s="149" t="n"/>
      <c r="Y829" s="149" t="n"/>
      <c r="Z829" s="149" t="n"/>
    </row>
    <row r="830" ht="15.75" customHeight="1" s="236">
      <c r="A830" s="148" t="n"/>
      <c r="B830" s="148" t="n"/>
      <c r="C830" s="124" t="n"/>
      <c r="D830" s="148" t="n"/>
      <c r="E830" s="148" t="n"/>
      <c r="F830" s="148" t="n"/>
      <c r="G830" s="124" t="n"/>
      <c r="H830" s="148" t="n"/>
      <c r="I830" s="148" t="n"/>
      <c r="J830" s="148" t="n"/>
      <c r="K830" s="148" t="n"/>
      <c r="L830" s="148" t="n"/>
      <c r="M830" s="148" t="n"/>
      <c r="N830" s="148" t="n"/>
      <c r="O830" s="148" t="n"/>
      <c r="P830" s="148" t="n"/>
      <c r="Q830" s="148" t="n"/>
      <c r="R830" s="148" t="n"/>
      <c r="S830" s="148" t="n"/>
      <c r="T830" s="148" t="n"/>
      <c r="U830" s="149">
        <f>IF(AND('Master Stock'!D830&lt;&gt;"",'Master Stock'!H830="OCCUPIED",ISNUMBER('Master Stock'!J830),'Master Stock'!K830=""),SUMPRODUCT(--('Master Stock'!$D$2:$D$1000&lt;&gt;""),--('Master Stock'!$H$2:$H$1000="OCCUPIED"),--ISNUMBER('Master Stock'!$J$2:$J$1000),--('Master Stock'!$K$2:$K$1000=""),--('Master Stock'!$J$2:$J$1000&lt;'Master Stock'!J830))+COUNTIFS('Master Stock'!$J$2:J830,'Master Stock'!J830,'Master Stock'!$D$2:D830,"&lt;&gt;",'Master Stock'!$H$2:H830,"OCCUPIED",'Master Stock'!$K$2:K830,""),"")</f>
        <v/>
      </c>
      <c r="V830" s="149">
        <f>IF(AND('Master Stock'!D830&lt;&gt;"",'Master Stock'!H830="OCCUPIED",ISNUMBER('Master Stock'!L830),'Master Stock'!L830&lt;TODAY()-30),SUMPRODUCT(--('Master Stock'!$D$2:$D$1000&lt;&gt;""),--('Master Stock'!$H$2:$H$1000="OCCUPIED"),--ISNUMBER('Master Stock'!$L$2:$L$1000),--('Master Stock'!$L$2:$L$1000&lt;TODAY()-30),--('Master Stock'!$L$2:$L$1000&lt;'Master Stock'!L830))+COUNTIFS('Master Stock'!$L$2:L830,'Master Stock'!L830,'Master Stock'!$D$2:D830,"&lt;&gt;",'Master Stock'!$H$2:H830,"OCCUPIED"),"")</f>
        <v/>
      </c>
      <c r="W830" s="149" t="n"/>
      <c r="X830" s="149" t="n"/>
      <c r="Y830" s="149" t="n"/>
      <c r="Z830" s="149" t="n"/>
    </row>
    <row r="831" ht="15.75" customHeight="1" s="236">
      <c r="A831" s="148" t="n"/>
      <c r="B831" s="148" t="n"/>
      <c r="C831" s="124" t="n"/>
      <c r="D831" s="148" t="n"/>
      <c r="E831" s="148" t="n"/>
      <c r="F831" s="148" t="n"/>
      <c r="G831" s="124" t="n"/>
      <c r="H831" s="148" t="n"/>
      <c r="I831" s="148" t="n"/>
      <c r="J831" s="148" t="n"/>
      <c r="K831" s="148" t="n"/>
      <c r="L831" s="148" t="n"/>
      <c r="M831" s="148" t="n"/>
      <c r="N831" s="148" t="n"/>
      <c r="O831" s="148" t="n"/>
      <c r="P831" s="148" t="n"/>
      <c r="Q831" s="148" t="n"/>
      <c r="R831" s="148" t="n"/>
      <c r="S831" s="148" t="n"/>
      <c r="T831" s="148" t="n"/>
      <c r="U831" s="149">
        <f>IF(AND('Master Stock'!D831&lt;&gt;"",'Master Stock'!H831="OCCUPIED",ISNUMBER('Master Stock'!J831),'Master Stock'!K831=""),SUMPRODUCT(--('Master Stock'!$D$2:$D$1000&lt;&gt;""),--('Master Stock'!$H$2:$H$1000="OCCUPIED"),--ISNUMBER('Master Stock'!$J$2:$J$1000),--('Master Stock'!$K$2:$K$1000=""),--('Master Stock'!$J$2:$J$1000&lt;'Master Stock'!J831))+COUNTIFS('Master Stock'!$J$2:J831,'Master Stock'!J831,'Master Stock'!$D$2:D831,"&lt;&gt;",'Master Stock'!$H$2:H831,"OCCUPIED",'Master Stock'!$K$2:K831,""),"")</f>
        <v/>
      </c>
      <c r="V831" s="149">
        <f>IF(AND('Master Stock'!D831&lt;&gt;"",'Master Stock'!H831="OCCUPIED",ISNUMBER('Master Stock'!L831),'Master Stock'!L831&lt;TODAY()-30),SUMPRODUCT(--('Master Stock'!$D$2:$D$1000&lt;&gt;""),--('Master Stock'!$H$2:$H$1000="OCCUPIED"),--ISNUMBER('Master Stock'!$L$2:$L$1000),--('Master Stock'!$L$2:$L$1000&lt;TODAY()-30),--('Master Stock'!$L$2:$L$1000&lt;'Master Stock'!L831))+COUNTIFS('Master Stock'!$L$2:L831,'Master Stock'!L831,'Master Stock'!$D$2:D831,"&lt;&gt;",'Master Stock'!$H$2:H831,"OCCUPIED"),"")</f>
        <v/>
      </c>
      <c r="W831" s="149" t="n"/>
      <c r="X831" s="149" t="n"/>
      <c r="Y831" s="149" t="n"/>
      <c r="Z831" s="149" t="n"/>
    </row>
    <row r="832" ht="15.75" customHeight="1" s="236">
      <c r="A832" s="148" t="n"/>
      <c r="B832" s="148" t="n"/>
      <c r="C832" s="124" t="n"/>
      <c r="D832" s="148" t="n"/>
      <c r="E832" s="148" t="n"/>
      <c r="F832" s="148" t="n"/>
      <c r="G832" s="124" t="n"/>
      <c r="H832" s="148" t="n"/>
      <c r="I832" s="148" t="n"/>
      <c r="J832" s="148" t="n"/>
      <c r="K832" s="148" t="n"/>
      <c r="L832" s="148" t="n"/>
      <c r="M832" s="148" t="n"/>
      <c r="N832" s="148" t="n"/>
      <c r="O832" s="148" t="n"/>
      <c r="P832" s="148" t="n"/>
      <c r="Q832" s="148" t="n"/>
      <c r="R832" s="148" t="n"/>
      <c r="S832" s="148" t="n"/>
      <c r="T832" s="148" t="n"/>
      <c r="U832" s="149">
        <f>IF(AND('Master Stock'!D832&lt;&gt;"",'Master Stock'!H832="OCCUPIED",ISNUMBER('Master Stock'!J832),'Master Stock'!K832=""),SUMPRODUCT(--('Master Stock'!$D$2:$D$1000&lt;&gt;""),--('Master Stock'!$H$2:$H$1000="OCCUPIED"),--ISNUMBER('Master Stock'!$J$2:$J$1000),--('Master Stock'!$K$2:$K$1000=""),--('Master Stock'!$J$2:$J$1000&lt;'Master Stock'!J832))+COUNTIFS('Master Stock'!$J$2:J832,'Master Stock'!J832,'Master Stock'!$D$2:D832,"&lt;&gt;",'Master Stock'!$H$2:H832,"OCCUPIED",'Master Stock'!$K$2:K832,""),"")</f>
        <v/>
      </c>
      <c r="V832" s="149">
        <f>IF(AND('Master Stock'!D832&lt;&gt;"",'Master Stock'!H832="OCCUPIED",ISNUMBER('Master Stock'!L832),'Master Stock'!L832&lt;TODAY()-30),SUMPRODUCT(--('Master Stock'!$D$2:$D$1000&lt;&gt;""),--('Master Stock'!$H$2:$H$1000="OCCUPIED"),--ISNUMBER('Master Stock'!$L$2:$L$1000),--('Master Stock'!$L$2:$L$1000&lt;TODAY()-30),--('Master Stock'!$L$2:$L$1000&lt;'Master Stock'!L832))+COUNTIFS('Master Stock'!$L$2:L832,'Master Stock'!L832,'Master Stock'!$D$2:D832,"&lt;&gt;",'Master Stock'!$H$2:H832,"OCCUPIED"),"")</f>
        <v/>
      </c>
      <c r="W832" s="149" t="n"/>
      <c r="X832" s="149" t="n"/>
      <c r="Y832" s="149" t="n"/>
      <c r="Z832" s="149" t="n"/>
    </row>
    <row r="833" ht="15.75" customHeight="1" s="236">
      <c r="A833" s="148" t="n"/>
      <c r="B833" s="148" t="n"/>
      <c r="C833" s="124" t="n"/>
      <c r="D833" s="148" t="n"/>
      <c r="E833" s="148" t="n"/>
      <c r="F833" s="148" t="n"/>
      <c r="G833" s="124" t="n"/>
      <c r="H833" s="148" t="n"/>
      <c r="I833" s="148" t="n"/>
      <c r="J833" s="148" t="n"/>
      <c r="K833" s="148" t="n"/>
      <c r="L833" s="148" t="n"/>
      <c r="M833" s="148" t="n"/>
      <c r="N833" s="148" t="n"/>
      <c r="O833" s="148" t="n"/>
      <c r="P833" s="148" t="n"/>
      <c r="Q833" s="148" t="n"/>
      <c r="R833" s="148" t="n"/>
      <c r="S833" s="148" t="n"/>
      <c r="T833" s="148" t="n"/>
      <c r="U833" s="149">
        <f>IF(AND('Master Stock'!D833&lt;&gt;"",'Master Stock'!H833="OCCUPIED",ISNUMBER('Master Stock'!J833),'Master Stock'!K833=""),SUMPRODUCT(--('Master Stock'!$D$2:$D$1000&lt;&gt;""),--('Master Stock'!$H$2:$H$1000="OCCUPIED"),--ISNUMBER('Master Stock'!$J$2:$J$1000),--('Master Stock'!$K$2:$K$1000=""),--('Master Stock'!$J$2:$J$1000&lt;'Master Stock'!J833))+COUNTIFS('Master Stock'!$J$2:J833,'Master Stock'!J833,'Master Stock'!$D$2:D833,"&lt;&gt;",'Master Stock'!$H$2:H833,"OCCUPIED",'Master Stock'!$K$2:K833,""),"")</f>
        <v/>
      </c>
      <c r="V833" s="149">
        <f>IF(AND('Master Stock'!D833&lt;&gt;"",'Master Stock'!H833="OCCUPIED",ISNUMBER('Master Stock'!L833),'Master Stock'!L833&lt;TODAY()-30),SUMPRODUCT(--('Master Stock'!$D$2:$D$1000&lt;&gt;""),--('Master Stock'!$H$2:$H$1000="OCCUPIED"),--ISNUMBER('Master Stock'!$L$2:$L$1000),--('Master Stock'!$L$2:$L$1000&lt;TODAY()-30),--('Master Stock'!$L$2:$L$1000&lt;'Master Stock'!L833))+COUNTIFS('Master Stock'!$L$2:L833,'Master Stock'!L833,'Master Stock'!$D$2:D833,"&lt;&gt;",'Master Stock'!$H$2:H833,"OCCUPIED"),"")</f>
        <v/>
      </c>
      <c r="W833" s="149" t="n"/>
      <c r="X833" s="149" t="n"/>
      <c r="Y833" s="149" t="n"/>
      <c r="Z833" s="149" t="n"/>
    </row>
    <row r="834" ht="15.75" customHeight="1" s="236">
      <c r="A834" s="148" t="n"/>
      <c r="B834" s="148" t="n"/>
      <c r="C834" s="124" t="n"/>
      <c r="D834" s="148" t="n"/>
      <c r="E834" s="148" t="n"/>
      <c r="F834" s="148" t="n"/>
      <c r="G834" s="124" t="n"/>
      <c r="H834" s="148" t="n"/>
      <c r="I834" s="148" t="n"/>
      <c r="J834" s="148" t="n"/>
      <c r="K834" s="148" t="n"/>
      <c r="L834" s="148" t="n"/>
      <c r="M834" s="148" t="n"/>
      <c r="N834" s="148" t="n"/>
      <c r="O834" s="148" t="n"/>
      <c r="P834" s="148" t="n"/>
      <c r="Q834" s="148" t="n"/>
      <c r="R834" s="148" t="n"/>
      <c r="S834" s="148" t="n"/>
      <c r="T834" s="148" t="n"/>
      <c r="U834" s="149">
        <f>IF(AND('Master Stock'!D834&lt;&gt;"",'Master Stock'!H834="OCCUPIED",ISNUMBER('Master Stock'!J834),'Master Stock'!K834=""),SUMPRODUCT(--('Master Stock'!$D$2:$D$1000&lt;&gt;""),--('Master Stock'!$H$2:$H$1000="OCCUPIED"),--ISNUMBER('Master Stock'!$J$2:$J$1000),--('Master Stock'!$K$2:$K$1000=""),--('Master Stock'!$J$2:$J$1000&lt;'Master Stock'!J834))+COUNTIFS('Master Stock'!$J$2:J834,'Master Stock'!J834,'Master Stock'!$D$2:D834,"&lt;&gt;",'Master Stock'!$H$2:H834,"OCCUPIED",'Master Stock'!$K$2:K834,""),"")</f>
        <v/>
      </c>
      <c r="V834" s="149">
        <f>IF(AND('Master Stock'!D834&lt;&gt;"",'Master Stock'!H834="OCCUPIED",ISNUMBER('Master Stock'!L834),'Master Stock'!L834&lt;TODAY()-30),SUMPRODUCT(--('Master Stock'!$D$2:$D$1000&lt;&gt;""),--('Master Stock'!$H$2:$H$1000="OCCUPIED"),--ISNUMBER('Master Stock'!$L$2:$L$1000),--('Master Stock'!$L$2:$L$1000&lt;TODAY()-30),--('Master Stock'!$L$2:$L$1000&lt;'Master Stock'!L834))+COUNTIFS('Master Stock'!$L$2:L834,'Master Stock'!L834,'Master Stock'!$D$2:D834,"&lt;&gt;",'Master Stock'!$H$2:H834,"OCCUPIED"),"")</f>
        <v/>
      </c>
      <c r="W834" s="149" t="n"/>
      <c r="X834" s="149" t="n"/>
      <c r="Y834" s="149" t="n"/>
      <c r="Z834" s="149" t="n"/>
    </row>
    <row r="835" ht="15.75" customHeight="1" s="236">
      <c r="A835" s="148" t="n"/>
      <c r="B835" s="148" t="n"/>
      <c r="C835" s="124" t="n"/>
      <c r="D835" s="148" t="n"/>
      <c r="E835" s="148" t="n"/>
      <c r="F835" s="148" t="n"/>
      <c r="G835" s="124" t="n"/>
      <c r="H835" s="148" t="n"/>
      <c r="I835" s="148" t="n"/>
      <c r="J835" s="148" t="n"/>
      <c r="K835" s="148" t="n"/>
      <c r="L835" s="148" t="n"/>
      <c r="M835" s="148" t="n"/>
      <c r="N835" s="148" t="n"/>
      <c r="O835" s="148" t="n"/>
      <c r="P835" s="148" t="n"/>
      <c r="Q835" s="148" t="n"/>
      <c r="R835" s="148" t="n"/>
      <c r="S835" s="148" t="n"/>
      <c r="T835" s="148" t="n"/>
      <c r="U835" s="149">
        <f>IF(AND('Master Stock'!D835&lt;&gt;"",'Master Stock'!H835="OCCUPIED",ISNUMBER('Master Stock'!J835),'Master Stock'!K835=""),SUMPRODUCT(--('Master Stock'!$D$2:$D$1000&lt;&gt;""),--('Master Stock'!$H$2:$H$1000="OCCUPIED"),--ISNUMBER('Master Stock'!$J$2:$J$1000),--('Master Stock'!$K$2:$K$1000=""),--('Master Stock'!$J$2:$J$1000&lt;'Master Stock'!J835))+COUNTIFS('Master Stock'!$J$2:J835,'Master Stock'!J835,'Master Stock'!$D$2:D835,"&lt;&gt;",'Master Stock'!$H$2:H835,"OCCUPIED",'Master Stock'!$K$2:K835,""),"")</f>
        <v/>
      </c>
      <c r="V835" s="149">
        <f>IF(AND('Master Stock'!D835&lt;&gt;"",'Master Stock'!H835="OCCUPIED",ISNUMBER('Master Stock'!L835),'Master Stock'!L835&lt;TODAY()-30),SUMPRODUCT(--('Master Stock'!$D$2:$D$1000&lt;&gt;""),--('Master Stock'!$H$2:$H$1000="OCCUPIED"),--ISNUMBER('Master Stock'!$L$2:$L$1000),--('Master Stock'!$L$2:$L$1000&lt;TODAY()-30),--('Master Stock'!$L$2:$L$1000&lt;'Master Stock'!L835))+COUNTIFS('Master Stock'!$L$2:L835,'Master Stock'!L835,'Master Stock'!$D$2:D835,"&lt;&gt;",'Master Stock'!$H$2:H835,"OCCUPIED"),"")</f>
        <v/>
      </c>
      <c r="W835" s="149" t="n"/>
      <c r="X835" s="149" t="n"/>
      <c r="Y835" s="149" t="n"/>
      <c r="Z835" s="149" t="n"/>
    </row>
    <row r="836" ht="15.75" customHeight="1" s="236">
      <c r="A836" s="148" t="n"/>
      <c r="B836" s="148" t="n"/>
      <c r="C836" s="124" t="n"/>
      <c r="D836" s="148" t="n"/>
      <c r="E836" s="148" t="n"/>
      <c r="F836" s="148" t="n"/>
      <c r="G836" s="124" t="n"/>
      <c r="H836" s="148" t="n"/>
      <c r="I836" s="148" t="n"/>
      <c r="J836" s="148" t="n"/>
      <c r="K836" s="148" t="n"/>
      <c r="L836" s="148" t="n"/>
      <c r="M836" s="148" t="n"/>
      <c r="N836" s="148" t="n"/>
      <c r="O836" s="148" t="n"/>
      <c r="P836" s="148" t="n"/>
      <c r="Q836" s="148" t="n"/>
      <c r="R836" s="148" t="n"/>
      <c r="S836" s="148" t="n"/>
      <c r="T836" s="148" t="n"/>
      <c r="U836" s="149">
        <f>IF(AND('Master Stock'!D836&lt;&gt;"",'Master Stock'!H836="OCCUPIED",ISNUMBER('Master Stock'!J836),'Master Stock'!K836=""),SUMPRODUCT(--('Master Stock'!$D$2:$D$1000&lt;&gt;""),--('Master Stock'!$H$2:$H$1000="OCCUPIED"),--ISNUMBER('Master Stock'!$J$2:$J$1000),--('Master Stock'!$K$2:$K$1000=""),--('Master Stock'!$J$2:$J$1000&lt;'Master Stock'!J836))+COUNTIFS('Master Stock'!$J$2:J836,'Master Stock'!J836,'Master Stock'!$D$2:D836,"&lt;&gt;",'Master Stock'!$H$2:H836,"OCCUPIED",'Master Stock'!$K$2:K836,""),"")</f>
        <v/>
      </c>
      <c r="V836" s="149">
        <f>IF(AND('Master Stock'!D836&lt;&gt;"",'Master Stock'!H836="OCCUPIED",ISNUMBER('Master Stock'!L836),'Master Stock'!L836&lt;TODAY()-30),SUMPRODUCT(--('Master Stock'!$D$2:$D$1000&lt;&gt;""),--('Master Stock'!$H$2:$H$1000="OCCUPIED"),--ISNUMBER('Master Stock'!$L$2:$L$1000),--('Master Stock'!$L$2:$L$1000&lt;TODAY()-30),--('Master Stock'!$L$2:$L$1000&lt;'Master Stock'!L836))+COUNTIFS('Master Stock'!$L$2:L836,'Master Stock'!L836,'Master Stock'!$D$2:D836,"&lt;&gt;",'Master Stock'!$H$2:H836,"OCCUPIED"),"")</f>
        <v/>
      </c>
      <c r="W836" s="149" t="n"/>
      <c r="X836" s="149" t="n"/>
      <c r="Y836" s="149" t="n"/>
      <c r="Z836" s="149" t="n"/>
    </row>
    <row r="837" ht="15.75" customHeight="1" s="236">
      <c r="A837" s="148" t="n"/>
      <c r="B837" s="148" t="n"/>
      <c r="C837" s="124" t="n"/>
      <c r="D837" s="148" t="n"/>
      <c r="E837" s="148" t="n"/>
      <c r="F837" s="148" t="n"/>
      <c r="G837" s="124" t="n"/>
      <c r="H837" s="148" t="n"/>
      <c r="I837" s="148" t="n"/>
      <c r="J837" s="148" t="n"/>
      <c r="K837" s="148" t="n"/>
      <c r="L837" s="148" t="n"/>
      <c r="M837" s="148" t="n"/>
      <c r="N837" s="148" t="n"/>
      <c r="O837" s="148" t="n"/>
      <c r="P837" s="148" t="n"/>
      <c r="Q837" s="148" t="n"/>
      <c r="R837" s="148" t="n"/>
      <c r="S837" s="148" t="n"/>
      <c r="T837" s="148" t="n"/>
      <c r="U837" s="149">
        <f>IF(AND('Master Stock'!D837&lt;&gt;"",'Master Stock'!H837="OCCUPIED",ISNUMBER('Master Stock'!J837),'Master Stock'!K837=""),SUMPRODUCT(--('Master Stock'!$D$2:$D$1000&lt;&gt;""),--('Master Stock'!$H$2:$H$1000="OCCUPIED"),--ISNUMBER('Master Stock'!$J$2:$J$1000),--('Master Stock'!$K$2:$K$1000=""),--('Master Stock'!$J$2:$J$1000&lt;'Master Stock'!J837))+COUNTIFS('Master Stock'!$J$2:J837,'Master Stock'!J837,'Master Stock'!$D$2:D837,"&lt;&gt;",'Master Stock'!$H$2:H837,"OCCUPIED",'Master Stock'!$K$2:K837,""),"")</f>
        <v/>
      </c>
      <c r="V837" s="149">
        <f>IF(AND('Master Stock'!D837&lt;&gt;"",'Master Stock'!H837="OCCUPIED",ISNUMBER('Master Stock'!L837),'Master Stock'!L837&lt;TODAY()-30),SUMPRODUCT(--('Master Stock'!$D$2:$D$1000&lt;&gt;""),--('Master Stock'!$H$2:$H$1000="OCCUPIED"),--ISNUMBER('Master Stock'!$L$2:$L$1000),--('Master Stock'!$L$2:$L$1000&lt;TODAY()-30),--('Master Stock'!$L$2:$L$1000&lt;'Master Stock'!L837))+COUNTIFS('Master Stock'!$L$2:L837,'Master Stock'!L837,'Master Stock'!$D$2:D837,"&lt;&gt;",'Master Stock'!$H$2:H837,"OCCUPIED"),"")</f>
        <v/>
      </c>
      <c r="W837" s="149" t="n"/>
      <c r="X837" s="149" t="n"/>
      <c r="Y837" s="149" t="n"/>
      <c r="Z837" s="149" t="n"/>
    </row>
    <row r="838" ht="15.75" customHeight="1" s="236">
      <c r="A838" s="148" t="n"/>
      <c r="B838" s="148" t="n"/>
      <c r="C838" s="124" t="n"/>
      <c r="D838" s="148" t="n"/>
      <c r="E838" s="148" t="n"/>
      <c r="F838" s="148" t="n"/>
      <c r="G838" s="124" t="n"/>
      <c r="H838" s="148" t="n"/>
      <c r="I838" s="148" t="n"/>
      <c r="J838" s="148" t="n"/>
      <c r="K838" s="148" t="n"/>
      <c r="L838" s="148" t="n"/>
      <c r="M838" s="148" t="n"/>
      <c r="N838" s="148" t="n"/>
      <c r="O838" s="148" t="n"/>
      <c r="P838" s="148" t="n"/>
      <c r="Q838" s="148" t="n"/>
      <c r="R838" s="148" t="n"/>
      <c r="S838" s="148" t="n"/>
      <c r="T838" s="148" t="n"/>
      <c r="U838" s="149">
        <f>IF(AND('Master Stock'!D838&lt;&gt;"",'Master Stock'!H838="OCCUPIED",ISNUMBER('Master Stock'!J838),'Master Stock'!K838=""),SUMPRODUCT(--('Master Stock'!$D$2:$D$1000&lt;&gt;""),--('Master Stock'!$H$2:$H$1000="OCCUPIED"),--ISNUMBER('Master Stock'!$J$2:$J$1000),--('Master Stock'!$K$2:$K$1000=""),--('Master Stock'!$J$2:$J$1000&lt;'Master Stock'!J838))+COUNTIFS('Master Stock'!$J$2:J838,'Master Stock'!J838,'Master Stock'!$D$2:D838,"&lt;&gt;",'Master Stock'!$H$2:H838,"OCCUPIED",'Master Stock'!$K$2:K838,""),"")</f>
        <v/>
      </c>
      <c r="V838" s="149">
        <f>IF(AND('Master Stock'!D838&lt;&gt;"",'Master Stock'!H838="OCCUPIED",ISNUMBER('Master Stock'!L838),'Master Stock'!L838&lt;TODAY()-30),SUMPRODUCT(--('Master Stock'!$D$2:$D$1000&lt;&gt;""),--('Master Stock'!$H$2:$H$1000="OCCUPIED"),--ISNUMBER('Master Stock'!$L$2:$L$1000),--('Master Stock'!$L$2:$L$1000&lt;TODAY()-30),--('Master Stock'!$L$2:$L$1000&lt;'Master Stock'!L838))+COUNTIFS('Master Stock'!$L$2:L838,'Master Stock'!L838,'Master Stock'!$D$2:D838,"&lt;&gt;",'Master Stock'!$H$2:H838,"OCCUPIED"),"")</f>
        <v/>
      </c>
      <c r="W838" s="149" t="n"/>
      <c r="X838" s="149" t="n"/>
      <c r="Y838" s="149" t="n"/>
      <c r="Z838" s="149" t="n"/>
    </row>
    <row r="839" ht="15.75" customHeight="1" s="236">
      <c r="A839" s="148" t="n"/>
      <c r="B839" s="148" t="n"/>
      <c r="C839" s="124" t="n"/>
      <c r="D839" s="148" t="n"/>
      <c r="E839" s="148" t="n"/>
      <c r="F839" s="148" t="n"/>
      <c r="G839" s="124" t="n"/>
      <c r="H839" s="148" t="n"/>
      <c r="I839" s="148" t="n"/>
      <c r="J839" s="148" t="n"/>
      <c r="K839" s="148" t="n"/>
      <c r="L839" s="148" t="n"/>
      <c r="M839" s="148" t="n"/>
      <c r="N839" s="148" t="n"/>
      <c r="O839" s="148" t="n"/>
      <c r="P839" s="148" t="n"/>
      <c r="Q839" s="148" t="n"/>
      <c r="R839" s="148" t="n"/>
      <c r="S839" s="148" t="n"/>
      <c r="T839" s="148" t="n"/>
      <c r="U839" s="149">
        <f>IF(AND('Master Stock'!D839&lt;&gt;"",'Master Stock'!H839="OCCUPIED",ISNUMBER('Master Stock'!J839),'Master Stock'!K839=""),SUMPRODUCT(--('Master Stock'!$D$2:$D$1000&lt;&gt;""),--('Master Stock'!$H$2:$H$1000="OCCUPIED"),--ISNUMBER('Master Stock'!$J$2:$J$1000),--('Master Stock'!$K$2:$K$1000=""),--('Master Stock'!$J$2:$J$1000&lt;'Master Stock'!J839))+COUNTIFS('Master Stock'!$J$2:J839,'Master Stock'!J839,'Master Stock'!$D$2:D839,"&lt;&gt;",'Master Stock'!$H$2:H839,"OCCUPIED",'Master Stock'!$K$2:K839,""),"")</f>
        <v/>
      </c>
      <c r="V839" s="149">
        <f>IF(AND('Master Stock'!D839&lt;&gt;"",'Master Stock'!H839="OCCUPIED",ISNUMBER('Master Stock'!L839),'Master Stock'!L839&lt;TODAY()-30),SUMPRODUCT(--('Master Stock'!$D$2:$D$1000&lt;&gt;""),--('Master Stock'!$H$2:$H$1000="OCCUPIED"),--ISNUMBER('Master Stock'!$L$2:$L$1000),--('Master Stock'!$L$2:$L$1000&lt;TODAY()-30),--('Master Stock'!$L$2:$L$1000&lt;'Master Stock'!L839))+COUNTIFS('Master Stock'!$L$2:L839,'Master Stock'!L839,'Master Stock'!$D$2:D839,"&lt;&gt;",'Master Stock'!$H$2:H839,"OCCUPIED"),"")</f>
        <v/>
      </c>
      <c r="W839" s="149" t="n"/>
      <c r="X839" s="149" t="n"/>
      <c r="Y839" s="149" t="n"/>
      <c r="Z839" s="149" t="n"/>
    </row>
    <row r="840" ht="15.75" customHeight="1" s="236">
      <c r="A840" s="148" t="n"/>
      <c r="B840" s="148" t="n"/>
      <c r="C840" s="124" t="n"/>
      <c r="D840" s="148" t="n"/>
      <c r="E840" s="148" t="n"/>
      <c r="F840" s="148" t="n"/>
      <c r="G840" s="124" t="n"/>
      <c r="H840" s="148" t="n"/>
      <c r="I840" s="148" t="n"/>
      <c r="J840" s="148" t="n"/>
      <c r="K840" s="148" t="n"/>
      <c r="L840" s="148" t="n"/>
      <c r="M840" s="148" t="n"/>
      <c r="N840" s="148" t="n"/>
      <c r="O840" s="148" t="n"/>
      <c r="P840" s="148" t="n"/>
      <c r="Q840" s="148" t="n"/>
      <c r="R840" s="148" t="n"/>
      <c r="S840" s="148" t="n"/>
      <c r="T840" s="148" t="n"/>
      <c r="U840" s="149">
        <f>IF(AND('Master Stock'!D840&lt;&gt;"",'Master Stock'!H840="OCCUPIED",ISNUMBER('Master Stock'!J840),'Master Stock'!K840=""),SUMPRODUCT(--('Master Stock'!$D$2:$D$1000&lt;&gt;""),--('Master Stock'!$H$2:$H$1000="OCCUPIED"),--ISNUMBER('Master Stock'!$J$2:$J$1000),--('Master Stock'!$K$2:$K$1000=""),--('Master Stock'!$J$2:$J$1000&lt;'Master Stock'!J840))+COUNTIFS('Master Stock'!$J$2:J840,'Master Stock'!J840,'Master Stock'!$D$2:D840,"&lt;&gt;",'Master Stock'!$H$2:H840,"OCCUPIED",'Master Stock'!$K$2:K840,""),"")</f>
        <v/>
      </c>
      <c r="V840" s="149">
        <f>IF(AND('Master Stock'!D840&lt;&gt;"",'Master Stock'!H840="OCCUPIED",ISNUMBER('Master Stock'!L840),'Master Stock'!L840&lt;TODAY()-30),SUMPRODUCT(--('Master Stock'!$D$2:$D$1000&lt;&gt;""),--('Master Stock'!$H$2:$H$1000="OCCUPIED"),--ISNUMBER('Master Stock'!$L$2:$L$1000),--('Master Stock'!$L$2:$L$1000&lt;TODAY()-30),--('Master Stock'!$L$2:$L$1000&lt;'Master Stock'!L840))+COUNTIFS('Master Stock'!$L$2:L840,'Master Stock'!L840,'Master Stock'!$D$2:D840,"&lt;&gt;",'Master Stock'!$H$2:H840,"OCCUPIED"),"")</f>
        <v/>
      </c>
      <c r="W840" s="149" t="n"/>
      <c r="X840" s="149" t="n"/>
      <c r="Y840" s="149" t="n"/>
      <c r="Z840" s="149" t="n"/>
    </row>
    <row r="841" ht="15.75" customHeight="1" s="236">
      <c r="A841" s="148" t="n"/>
      <c r="B841" s="148" t="n"/>
      <c r="C841" s="124" t="n"/>
      <c r="D841" s="148" t="n"/>
      <c r="E841" s="148" t="n"/>
      <c r="F841" s="148" t="n"/>
      <c r="G841" s="124" t="n"/>
      <c r="H841" s="148" t="n"/>
      <c r="I841" s="148" t="n"/>
      <c r="J841" s="148" t="n"/>
      <c r="K841" s="148" t="n"/>
      <c r="L841" s="148" t="n"/>
      <c r="M841" s="148" t="n"/>
      <c r="N841" s="148" t="n"/>
      <c r="O841" s="148" t="n"/>
      <c r="P841" s="148" t="n"/>
      <c r="Q841" s="148" t="n"/>
      <c r="R841" s="148" t="n"/>
      <c r="S841" s="148" t="n"/>
      <c r="T841" s="148" t="n"/>
      <c r="U841" s="149">
        <f>IF(AND('Master Stock'!D841&lt;&gt;"",'Master Stock'!H841="OCCUPIED",ISNUMBER('Master Stock'!J841),'Master Stock'!K841=""),SUMPRODUCT(--('Master Stock'!$D$2:$D$1000&lt;&gt;""),--('Master Stock'!$H$2:$H$1000="OCCUPIED"),--ISNUMBER('Master Stock'!$J$2:$J$1000),--('Master Stock'!$K$2:$K$1000=""),--('Master Stock'!$J$2:$J$1000&lt;'Master Stock'!J841))+COUNTIFS('Master Stock'!$J$2:J841,'Master Stock'!J841,'Master Stock'!$D$2:D841,"&lt;&gt;",'Master Stock'!$H$2:H841,"OCCUPIED",'Master Stock'!$K$2:K841,""),"")</f>
        <v/>
      </c>
      <c r="V841" s="149">
        <f>IF(AND('Master Stock'!D841&lt;&gt;"",'Master Stock'!H841="OCCUPIED",ISNUMBER('Master Stock'!L841),'Master Stock'!L841&lt;TODAY()-30),SUMPRODUCT(--('Master Stock'!$D$2:$D$1000&lt;&gt;""),--('Master Stock'!$H$2:$H$1000="OCCUPIED"),--ISNUMBER('Master Stock'!$L$2:$L$1000),--('Master Stock'!$L$2:$L$1000&lt;TODAY()-30),--('Master Stock'!$L$2:$L$1000&lt;'Master Stock'!L841))+COUNTIFS('Master Stock'!$L$2:L841,'Master Stock'!L841,'Master Stock'!$D$2:D841,"&lt;&gt;",'Master Stock'!$H$2:H841,"OCCUPIED"),"")</f>
        <v/>
      </c>
      <c r="W841" s="149" t="n"/>
      <c r="X841" s="149" t="n"/>
      <c r="Y841" s="149" t="n"/>
      <c r="Z841" s="149" t="n"/>
    </row>
    <row r="842" ht="15.75" customHeight="1" s="236">
      <c r="A842" s="148" t="n"/>
      <c r="B842" s="148" t="n"/>
      <c r="C842" s="124" t="n"/>
      <c r="D842" s="148" t="n"/>
      <c r="E842" s="148" t="n"/>
      <c r="F842" s="148" t="n"/>
      <c r="G842" s="124" t="n"/>
      <c r="H842" s="148" t="n"/>
      <c r="I842" s="148" t="n"/>
      <c r="J842" s="148" t="n"/>
      <c r="K842" s="148" t="n"/>
      <c r="L842" s="148" t="n"/>
      <c r="M842" s="148" t="n"/>
      <c r="N842" s="148" t="n"/>
      <c r="O842" s="148" t="n"/>
      <c r="P842" s="148" t="n"/>
      <c r="Q842" s="148" t="n"/>
      <c r="R842" s="148" t="n"/>
      <c r="S842" s="148" t="n"/>
      <c r="T842" s="148" t="n"/>
      <c r="U842" s="149">
        <f>IF(AND('Master Stock'!D842&lt;&gt;"",'Master Stock'!H842="OCCUPIED",ISNUMBER('Master Stock'!J842),'Master Stock'!K842=""),SUMPRODUCT(--('Master Stock'!$D$2:$D$1000&lt;&gt;""),--('Master Stock'!$H$2:$H$1000="OCCUPIED"),--ISNUMBER('Master Stock'!$J$2:$J$1000),--('Master Stock'!$K$2:$K$1000=""),--('Master Stock'!$J$2:$J$1000&lt;'Master Stock'!J842))+COUNTIFS('Master Stock'!$J$2:J842,'Master Stock'!J842,'Master Stock'!$D$2:D842,"&lt;&gt;",'Master Stock'!$H$2:H842,"OCCUPIED",'Master Stock'!$K$2:K842,""),"")</f>
        <v/>
      </c>
      <c r="V842" s="149">
        <f>IF(AND('Master Stock'!D842&lt;&gt;"",'Master Stock'!H842="OCCUPIED",ISNUMBER('Master Stock'!L842),'Master Stock'!L842&lt;TODAY()-30),SUMPRODUCT(--('Master Stock'!$D$2:$D$1000&lt;&gt;""),--('Master Stock'!$H$2:$H$1000="OCCUPIED"),--ISNUMBER('Master Stock'!$L$2:$L$1000),--('Master Stock'!$L$2:$L$1000&lt;TODAY()-30),--('Master Stock'!$L$2:$L$1000&lt;'Master Stock'!L842))+COUNTIFS('Master Stock'!$L$2:L842,'Master Stock'!L842,'Master Stock'!$D$2:D842,"&lt;&gt;",'Master Stock'!$H$2:H842,"OCCUPIED"),"")</f>
        <v/>
      </c>
      <c r="W842" s="149" t="n"/>
      <c r="X842" s="149" t="n"/>
      <c r="Y842" s="149" t="n"/>
      <c r="Z842" s="149" t="n"/>
    </row>
    <row r="843" ht="15.75" customHeight="1" s="236">
      <c r="A843" s="148" t="n"/>
      <c r="B843" s="148" t="n"/>
      <c r="C843" s="124" t="n"/>
      <c r="D843" s="148" t="n"/>
      <c r="E843" s="148" t="n"/>
      <c r="F843" s="148" t="n"/>
      <c r="G843" s="124" t="n"/>
      <c r="H843" s="148" t="n"/>
      <c r="I843" s="148" t="n"/>
      <c r="J843" s="148" t="n"/>
      <c r="K843" s="148" t="n"/>
      <c r="L843" s="148" t="n"/>
      <c r="M843" s="148" t="n"/>
      <c r="N843" s="148" t="n"/>
      <c r="O843" s="148" t="n"/>
      <c r="P843" s="148" t="n"/>
      <c r="Q843" s="148" t="n"/>
      <c r="R843" s="148" t="n"/>
      <c r="S843" s="148" t="n"/>
      <c r="T843" s="148" t="n"/>
      <c r="U843" s="149">
        <f>IF(AND('Master Stock'!D843&lt;&gt;"",'Master Stock'!H843="OCCUPIED",ISNUMBER('Master Stock'!J843),'Master Stock'!K843=""),SUMPRODUCT(--('Master Stock'!$D$2:$D$1000&lt;&gt;""),--('Master Stock'!$H$2:$H$1000="OCCUPIED"),--ISNUMBER('Master Stock'!$J$2:$J$1000),--('Master Stock'!$K$2:$K$1000=""),--('Master Stock'!$J$2:$J$1000&lt;'Master Stock'!J843))+COUNTIFS('Master Stock'!$J$2:J843,'Master Stock'!J843,'Master Stock'!$D$2:D843,"&lt;&gt;",'Master Stock'!$H$2:H843,"OCCUPIED",'Master Stock'!$K$2:K843,""),"")</f>
        <v/>
      </c>
      <c r="V843" s="149">
        <f>IF(AND('Master Stock'!D843&lt;&gt;"",'Master Stock'!H843="OCCUPIED",ISNUMBER('Master Stock'!L843),'Master Stock'!L843&lt;TODAY()-30),SUMPRODUCT(--('Master Stock'!$D$2:$D$1000&lt;&gt;""),--('Master Stock'!$H$2:$H$1000="OCCUPIED"),--ISNUMBER('Master Stock'!$L$2:$L$1000),--('Master Stock'!$L$2:$L$1000&lt;TODAY()-30),--('Master Stock'!$L$2:$L$1000&lt;'Master Stock'!L843))+COUNTIFS('Master Stock'!$L$2:L843,'Master Stock'!L843,'Master Stock'!$D$2:D843,"&lt;&gt;",'Master Stock'!$H$2:H843,"OCCUPIED"),"")</f>
        <v/>
      </c>
      <c r="W843" s="149" t="n"/>
      <c r="X843" s="149" t="n"/>
      <c r="Y843" s="149" t="n"/>
      <c r="Z843" s="149" t="n"/>
    </row>
    <row r="844" ht="15.75" customHeight="1" s="236">
      <c r="A844" s="148" t="n"/>
      <c r="B844" s="148" t="n"/>
      <c r="C844" s="124" t="n"/>
      <c r="D844" s="148" t="n"/>
      <c r="E844" s="148" t="n"/>
      <c r="F844" s="148" t="n"/>
      <c r="G844" s="124" t="n"/>
      <c r="H844" s="148" t="n"/>
      <c r="I844" s="148" t="n"/>
      <c r="J844" s="148" t="n"/>
      <c r="K844" s="148" t="n"/>
      <c r="L844" s="148" t="n"/>
      <c r="M844" s="148" t="n"/>
      <c r="N844" s="148" t="n"/>
      <c r="O844" s="148" t="n"/>
      <c r="P844" s="148" t="n"/>
      <c r="Q844" s="148" t="n"/>
      <c r="R844" s="148" t="n"/>
      <c r="S844" s="148" t="n"/>
      <c r="T844" s="148" t="n"/>
      <c r="U844" s="149">
        <f>IF(AND('Master Stock'!D844&lt;&gt;"",'Master Stock'!H844="OCCUPIED",ISNUMBER('Master Stock'!J844),'Master Stock'!K844=""),SUMPRODUCT(--('Master Stock'!$D$2:$D$1000&lt;&gt;""),--('Master Stock'!$H$2:$H$1000="OCCUPIED"),--ISNUMBER('Master Stock'!$J$2:$J$1000),--('Master Stock'!$K$2:$K$1000=""),--('Master Stock'!$J$2:$J$1000&lt;'Master Stock'!J844))+COUNTIFS('Master Stock'!$J$2:J844,'Master Stock'!J844,'Master Stock'!$D$2:D844,"&lt;&gt;",'Master Stock'!$H$2:H844,"OCCUPIED",'Master Stock'!$K$2:K844,""),"")</f>
        <v/>
      </c>
      <c r="V844" s="149">
        <f>IF(AND('Master Stock'!D844&lt;&gt;"",'Master Stock'!H844="OCCUPIED",ISNUMBER('Master Stock'!L844),'Master Stock'!L844&lt;TODAY()-30),SUMPRODUCT(--('Master Stock'!$D$2:$D$1000&lt;&gt;""),--('Master Stock'!$H$2:$H$1000="OCCUPIED"),--ISNUMBER('Master Stock'!$L$2:$L$1000),--('Master Stock'!$L$2:$L$1000&lt;TODAY()-30),--('Master Stock'!$L$2:$L$1000&lt;'Master Stock'!L844))+COUNTIFS('Master Stock'!$L$2:L844,'Master Stock'!L844,'Master Stock'!$D$2:D844,"&lt;&gt;",'Master Stock'!$H$2:H844,"OCCUPIED"),"")</f>
        <v/>
      </c>
      <c r="W844" s="149" t="n"/>
      <c r="X844" s="149" t="n"/>
      <c r="Y844" s="149" t="n"/>
      <c r="Z844" s="149" t="n"/>
    </row>
    <row r="845" ht="15.75" customHeight="1" s="236">
      <c r="A845" s="148" t="n"/>
      <c r="B845" s="148" t="n"/>
      <c r="C845" s="124" t="n"/>
      <c r="D845" s="148" t="n"/>
      <c r="E845" s="148" t="n"/>
      <c r="F845" s="148" t="n"/>
      <c r="G845" s="124" t="n"/>
      <c r="H845" s="148" t="n"/>
      <c r="I845" s="148" t="n"/>
      <c r="J845" s="148" t="n"/>
      <c r="K845" s="148" t="n"/>
      <c r="L845" s="148" t="n"/>
      <c r="M845" s="148" t="n"/>
      <c r="N845" s="148" t="n"/>
      <c r="O845" s="148" t="n"/>
      <c r="P845" s="148" t="n"/>
      <c r="Q845" s="148" t="n"/>
      <c r="R845" s="148" t="n"/>
      <c r="S845" s="148" t="n"/>
      <c r="T845" s="148" t="n"/>
      <c r="U845" s="149">
        <f>IF(AND('Master Stock'!D845&lt;&gt;"",'Master Stock'!H845="OCCUPIED",ISNUMBER('Master Stock'!J845),'Master Stock'!K845=""),SUMPRODUCT(--('Master Stock'!$D$2:$D$1000&lt;&gt;""),--('Master Stock'!$H$2:$H$1000="OCCUPIED"),--ISNUMBER('Master Stock'!$J$2:$J$1000),--('Master Stock'!$K$2:$K$1000=""),--('Master Stock'!$J$2:$J$1000&lt;'Master Stock'!J845))+COUNTIFS('Master Stock'!$J$2:J845,'Master Stock'!J845,'Master Stock'!$D$2:D845,"&lt;&gt;",'Master Stock'!$H$2:H845,"OCCUPIED",'Master Stock'!$K$2:K845,""),"")</f>
        <v/>
      </c>
      <c r="V845" s="149">
        <f>IF(AND('Master Stock'!D845&lt;&gt;"",'Master Stock'!H845="OCCUPIED",ISNUMBER('Master Stock'!L845),'Master Stock'!L845&lt;TODAY()-30),SUMPRODUCT(--('Master Stock'!$D$2:$D$1000&lt;&gt;""),--('Master Stock'!$H$2:$H$1000="OCCUPIED"),--ISNUMBER('Master Stock'!$L$2:$L$1000),--('Master Stock'!$L$2:$L$1000&lt;TODAY()-30),--('Master Stock'!$L$2:$L$1000&lt;'Master Stock'!L845))+COUNTIFS('Master Stock'!$L$2:L845,'Master Stock'!L845,'Master Stock'!$D$2:D845,"&lt;&gt;",'Master Stock'!$H$2:H845,"OCCUPIED"),"")</f>
        <v/>
      </c>
      <c r="W845" s="149" t="n"/>
      <c r="X845" s="149" t="n"/>
      <c r="Y845" s="149" t="n"/>
      <c r="Z845" s="149" t="n"/>
    </row>
    <row r="846" ht="15.75" customHeight="1" s="236">
      <c r="A846" s="148" t="n"/>
      <c r="B846" s="148" t="n"/>
      <c r="C846" s="124" t="n"/>
      <c r="D846" s="148" t="n"/>
      <c r="E846" s="148" t="n"/>
      <c r="F846" s="148" t="n"/>
      <c r="G846" s="124" t="n"/>
      <c r="H846" s="148" t="n"/>
      <c r="I846" s="148" t="n"/>
      <c r="J846" s="148" t="n"/>
      <c r="K846" s="148" t="n"/>
      <c r="L846" s="148" t="n"/>
      <c r="M846" s="148" t="n"/>
      <c r="N846" s="148" t="n"/>
      <c r="O846" s="148" t="n"/>
      <c r="P846" s="148" t="n"/>
      <c r="Q846" s="148" t="n"/>
      <c r="R846" s="148" t="n"/>
      <c r="S846" s="148" t="n"/>
      <c r="T846" s="148" t="n"/>
      <c r="U846" s="149">
        <f>IF(AND('Master Stock'!D846&lt;&gt;"",'Master Stock'!H846="OCCUPIED",ISNUMBER('Master Stock'!J846),'Master Stock'!K846=""),SUMPRODUCT(--('Master Stock'!$D$2:$D$1000&lt;&gt;""),--('Master Stock'!$H$2:$H$1000="OCCUPIED"),--ISNUMBER('Master Stock'!$J$2:$J$1000),--('Master Stock'!$K$2:$K$1000=""),--('Master Stock'!$J$2:$J$1000&lt;'Master Stock'!J846))+COUNTIFS('Master Stock'!$J$2:J846,'Master Stock'!J846,'Master Stock'!$D$2:D846,"&lt;&gt;",'Master Stock'!$H$2:H846,"OCCUPIED",'Master Stock'!$K$2:K846,""),"")</f>
        <v/>
      </c>
      <c r="V846" s="149">
        <f>IF(AND('Master Stock'!D846&lt;&gt;"",'Master Stock'!H846="OCCUPIED",ISNUMBER('Master Stock'!L846),'Master Stock'!L846&lt;TODAY()-30),SUMPRODUCT(--('Master Stock'!$D$2:$D$1000&lt;&gt;""),--('Master Stock'!$H$2:$H$1000="OCCUPIED"),--ISNUMBER('Master Stock'!$L$2:$L$1000),--('Master Stock'!$L$2:$L$1000&lt;TODAY()-30),--('Master Stock'!$L$2:$L$1000&lt;'Master Stock'!L846))+COUNTIFS('Master Stock'!$L$2:L846,'Master Stock'!L846,'Master Stock'!$D$2:D846,"&lt;&gt;",'Master Stock'!$H$2:H846,"OCCUPIED"),"")</f>
        <v/>
      </c>
      <c r="W846" s="149" t="n"/>
      <c r="X846" s="149" t="n"/>
      <c r="Y846" s="149" t="n"/>
      <c r="Z846" s="149" t="n"/>
    </row>
    <row r="847" ht="15.75" customHeight="1" s="236">
      <c r="A847" s="148" t="n"/>
      <c r="B847" s="148" t="n"/>
      <c r="C847" s="124" t="n"/>
      <c r="D847" s="148" t="n"/>
      <c r="E847" s="148" t="n"/>
      <c r="F847" s="148" t="n"/>
      <c r="G847" s="124" t="n"/>
      <c r="H847" s="148" t="n"/>
      <c r="I847" s="148" t="n"/>
      <c r="J847" s="148" t="n"/>
      <c r="K847" s="148" t="n"/>
      <c r="L847" s="148" t="n"/>
      <c r="M847" s="148" t="n"/>
      <c r="N847" s="148" t="n"/>
      <c r="O847" s="148" t="n"/>
      <c r="P847" s="148" t="n"/>
      <c r="Q847" s="148" t="n"/>
      <c r="R847" s="148" t="n"/>
      <c r="S847" s="148" t="n"/>
      <c r="T847" s="148" t="n"/>
      <c r="U847" s="149">
        <f>IF(AND('Master Stock'!D847&lt;&gt;"",'Master Stock'!H847="OCCUPIED",ISNUMBER('Master Stock'!J847),'Master Stock'!K847=""),SUMPRODUCT(--('Master Stock'!$D$2:$D$1000&lt;&gt;""),--('Master Stock'!$H$2:$H$1000="OCCUPIED"),--ISNUMBER('Master Stock'!$J$2:$J$1000),--('Master Stock'!$K$2:$K$1000=""),--('Master Stock'!$J$2:$J$1000&lt;'Master Stock'!J847))+COUNTIFS('Master Stock'!$J$2:J847,'Master Stock'!J847,'Master Stock'!$D$2:D847,"&lt;&gt;",'Master Stock'!$H$2:H847,"OCCUPIED",'Master Stock'!$K$2:K847,""),"")</f>
        <v/>
      </c>
      <c r="V847" s="149">
        <f>IF(AND('Master Stock'!D847&lt;&gt;"",'Master Stock'!H847="OCCUPIED",ISNUMBER('Master Stock'!L847),'Master Stock'!L847&lt;TODAY()-30),SUMPRODUCT(--('Master Stock'!$D$2:$D$1000&lt;&gt;""),--('Master Stock'!$H$2:$H$1000="OCCUPIED"),--ISNUMBER('Master Stock'!$L$2:$L$1000),--('Master Stock'!$L$2:$L$1000&lt;TODAY()-30),--('Master Stock'!$L$2:$L$1000&lt;'Master Stock'!L847))+COUNTIFS('Master Stock'!$L$2:L847,'Master Stock'!L847,'Master Stock'!$D$2:D847,"&lt;&gt;",'Master Stock'!$H$2:H847,"OCCUPIED"),"")</f>
        <v/>
      </c>
      <c r="W847" s="149" t="n"/>
      <c r="X847" s="149" t="n"/>
      <c r="Y847" s="149" t="n"/>
      <c r="Z847" s="149" t="n"/>
    </row>
    <row r="848" ht="15.75" customHeight="1" s="236">
      <c r="A848" s="148" t="n"/>
      <c r="B848" s="148" t="n"/>
      <c r="C848" s="124" t="n"/>
      <c r="D848" s="148" t="n"/>
      <c r="E848" s="148" t="n"/>
      <c r="F848" s="148" t="n"/>
      <c r="G848" s="124" t="n"/>
      <c r="H848" s="148" t="n"/>
      <c r="I848" s="148" t="n"/>
      <c r="J848" s="148" t="n"/>
      <c r="K848" s="148" t="n"/>
      <c r="L848" s="148" t="n"/>
      <c r="M848" s="148" t="n"/>
      <c r="N848" s="148" t="n"/>
      <c r="O848" s="148" t="n"/>
      <c r="P848" s="148" t="n"/>
      <c r="Q848" s="148" t="n"/>
      <c r="R848" s="148" t="n"/>
      <c r="S848" s="148" t="n"/>
      <c r="T848" s="148" t="n"/>
      <c r="U848" s="149">
        <f>IF(AND('Master Stock'!D848&lt;&gt;"",'Master Stock'!H848="OCCUPIED",ISNUMBER('Master Stock'!J848),'Master Stock'!K848=""),SUMPRODUCT(--('Master Stock'!$D$2:$D$1000&lt;&gt;""),--('Master Stock'!$H$2:$H$1000="OCCUPIED"),--ISNUMBER('Master Stock'!$J$2:$J$1000),--('Master Stock'!$K$2:$K$1000=""),--('Master Stock'!$J$2:$J$1000&lt;'Master Stock'!J848))+COUNTIFS('Master Stock'!$J$2:J848,'Master Stock'!J848,'Master Stock'!$D$2:D848,"&lt;&gt;",'Master Stock'!$H$2:H848,"OCCUPIED",'Master Stock'!$K$2:K848,""),"")</f>
        <v/>
      </c>
      <c r="V848" s="149">
        <f>IF(AND('Master Stock'!D848&lt;&gt;"",'Master Stock'!H848="OCCUPIED",ISNUMBER('Master Stock'!L848),'Master Stock'!L848&lt;TODAY()-30),SUMPRODUCT(--('Master Stock'!$D$2:$D$1000&lt;&gt;""),--('Master Stock'!$H$2:$H$1000="OCCUPIED"),--ISNUMBER('Master Stock'!$L$2:$L$1000),--('Master Stock'!$L$2:$L$1000&lt;TODAY()-30),--('Master Stock'!$L$2:$L$1000&lt;'Master Stock'!L848))+COUNTIFS('Master Stock'!$L$2:L848,'Master Stock'!L848,'Master Stock'!$D$2:D848,"&lt;&gt;",'Master Stock'!$H$2:H848,"OCCUPIED"),"")</f>
        <v/>
      </c>
      <c r="W848" s="149" t="n"/>
      <c r="X848" s="149" t="n"/>
      <c r="Y848" s="149" t="n"/>
      <c r="Z848" s="149" t="n"/>
    </row>
    <row r="849" ht="15.75" customHeight="1" s="236">
      <c r="A849" s="148" t="n"/>
      <c r="B849" s="148" t="n"/>
      <c r="C849" s="124" t="n"/>
      <c r="D849" s="148" t="n"/>
      <c r="E849" s="148" t="n"/>
      <c r="F849" s="148" t="n"/>
      <c r="G849" s="124" t="n"/>
      <c r="H849" s="148" t="n"/>
      <c r="I849" s="148" t="n"/>
      <c r="J849" s="148" t="n"/>
      <c r="K849" s="148" t="n"/>
      <c r="L849" s="148" t="n"/>
      <c r="M849" s="148" t="n"/>
      <c r="N849" s="148" t="n"/>
      <c r="O849" s="148" t="n"/>
      <c r="P849" s="148" t="n"/>
      <c r="Q849" s="148" t="n"/>
      <c r="R849" s="148" t="n"/>
      <c r="S849" s="148" t="n"/>
      <c r="T849" s="148" t="n"/>
      <c r="U849" s="149">
        <f>IF(AND('Master Stock'!D849&lt;&gt;"",'Master Stock'!H849="OCCUPIED",ISNUMBER('Master Stock'!J849),'Master Stock'!K849=""),SUMPRODUCT(--('Master Stock'!$D$2:$D$1000&lt;&gt;""),--('Master Stock'!$H$2:$H$1000="OCCUPIED"),--ISNUMBER('Master Stock'!$J$2:$J$1000),--('Master Stock'!$K$2:$K$1000=""),--('Master Stock'!$J$2:$J$1000&lt;'Master Stock'!J849))+COUNTIFS('Master Stock'!$J$2:J849,'Master Stock'!J849,'Master Stock'!$D$2:D849,"&lt;&gt;",'Master Stock'!$H$2:H849,"OCCUPIED",'Master Stock'!$K$2:K849,""),"")</f>
        <v/>
      </c>
      <c r="V849" s="149">
        <f>IF(AND('Master Stock'!D849&lt;&gt;"",'Master Stock'!H849="OCCUPIED",ISNUMBER('Master Stock'!L849),'Master Stock'!L849&lt;TODAY()-30),SUMPRODUCT(--('Master Stock'!$D$2:$D$1000&lt;&gt;""),--('Master Stock'!$H$2:$H$1000="OCCUPIED"),--ISNUMBER('Master Stock'!$L$2:$L$1000),--('Master Stock'!$L$2:$L$1000&lt;TODAY()-30),--('Master Stock'!$L$2:$L$1000&lt;'Master Stock'!L849))+COUNTIFS('Master Stock'!$L$2:L849,'Master Stock'!L849,'Master Stock'!$D$2:D849,"&lt;&gt;",'Master Stock'!$H$2:H849,"OCCUPIED"),"")</f>
        <v/>
      </c>
      <c r="W849" s="149" t="n"/>
      <c r="X849" s="149" t="n"/>
      <c r="Y849" s="149" t="n"/>
      <c r="Z849" s="149" t="n"/>
    </row>
    <row r="850" ht="15.75" customHeight="1" s="236">
      <c r="A850" s="148" t="n"/>
      <c r="B850" s="148" t="n"/>
      <c r="C850" s="124" t="n"/>
      <c r="D850" s="148" t="n"/>
      <c r="E850" s="148" t="n"/>
      <c r="F850" s="148" t="n"/>
      <c r="G850" s="124" t="n"/>
      <c r="H850" s="148" t="n"/>
      <c r="I850" s="148" t="n"/>
      <c r="J850" s="148" t="n"/>
      <c r="K850" s="148" t="n"/>
      <c r="L850" s="148" t="n"/>
      <c r="M850" s="148" t="n"/>
      <c r="N850" s="148" t="n"/>
      <c r="O850" s="148" t="n"/>
      <c r="P850" s="148" t="n"/>
      <c r="Q850" s="148" t="n"/>
      <c r="R850" s="148" t="n"/>
      <c r="S850" s="148" t="n"/>
      <c r="T850" s="148" t="n"/>
      <c r="U850" s="149">
        <f>IF(AND('Master Stock'!D850&lt;&gt;"",'Master Stock'!H850="OCCUPIED",ISNUMBER('Master Stock'!J850),'Master Stock'!K850=""),SUMPRODUCT(--('Master Stock'!$D$2:$D$1000&lt;&gt;""),--('Master Stock'!$H$2:$H$1000="OCCUPIED"),--ISNUMBER('Master Stock'!$J$2:$J$1000),--('Master Stock'!$K$2:$K$1000=""),--('Master Stock'!$J$2:$J$1000&lt;'Master Stock'!J850))+COUNTIFS('Master Stock'!$J$2:J850,'Master Stock'!J850,'Master Stock'!$D$2:D850,"&lt;&gt;",'Master Stock'!$H$2:H850,"OCCUPIED",'Master Stock'!$K$2:K850,""),"")</f>
        <v/>
      </c>
      <c r="V850" s="149">
        <f>IF(AND('Master Stock'!D850&lt;&gt;"",'Master Stock'!H850="OCCUPIED",ISNUMBER('Master Stock'!L850),'Master Stock'!L850&lt;TODAY()-30),SUMPRODUCT(--('Master Stock'!$D$2:$D$1000&lt;&gt;""),--('Master Stock'!$H$2:$H$1000="OCCUPIED"),--ISNUMBER('Master Stock'!$L$2:$L$1000),--('Master Stock'!$L$2:$L$1000&lt;TODAY()-30),--('Master Stock'!$L$2:$L$1000&lt;'Master Stock'!L850))+COUNTIFS('Master Stock'!$L$2:L850,'Master Stock'!L850,'Master Stock'!$D$2:D850,"&lt;&gt;",'Master Stock'!$H$2:H850,"OCCUPIED"),"")</f>
        <v/>
      </c>
      <c r="W850" s="149" t="n"/>
      <c r="X850" s="149" t="n"/>
      <c r="Y850" s="149" t="n"/>
      <c r="Z850" s="149" t="n"/>
    </row>
    <row r="851" ht="15.75" customHeight="1" s="236">
      <c r="A851" s="148" t="n"/>
      <c r="B851" s="148" t="n"/>
      <c r="C851" s="124" t="n"/>
      <c r="D851" s="148" t="n"/>
      <c r="E851" s="148" t="n"/>
      <c r="F851" s="148" t="n"/>
      <c r="G851" s="124" t="n"/>
      <c r="H851" s="148" t="n"/>
      <c r="I851" s="148" t="n"/>
      <c r="J851" s="148" t="n"/>
      <c r="K851" s="148" t="n"/>
      <c r="L851" s="148" t="n"/>
      <c r="M851" s="148" t="n"/>
      <c r="N851" s="148" t="n"/>
      <c r="O851" s="148" t="n"/>
      <c r="P851" s="148" t="n"/>
      <c r="Q851" s="148" t="n"/>
      <c r="R851" s="148" t="n"/>
      <c r="S851" s="148" t="n"/>
      <c r="T851" s="148" t="n"/>
      <c r="U851" s="149">
        <f>IF(AND('Master Stock'!D851&lt;&gt;"",'Master Stock'!H851="OCCUPIED",ISNUMBER('Master Stock'!J851),'Master Stock'!K851=""),SUMPRODUCT(--('Master Stock'!$D$2:$D$1000&lt;&gt;""),--('Master Stock'!$H$2:$H$1000="OCCUPIED"),--ISNUMBER('Master Stock'!$J$2:$J$1000),--('Master Stock'!$K$2:$K$1000=""),--('Master Stock'!$J$2:$J$1000&lt;'Master Stock'!J851))+COUNTIFS('Master Stock'!$J$2:J851,'Master Stock'!J851,'Master Stock'!$D$2:D851,"&lt;&gt;",'Master Stock'!$H$2:H851,"OCCUPIED",'Master Stock'!$K$2:K851,""),"")</f>
        <v/>
      </c>
      <c r="V851" s="149">
        <f>IF(AND('Master Stock'!D851&lt;&gt;"",'Master Stock'!H851="OCCUPIED",ISNUMBER('Master Stock'!L851),'Master Stock'!L851&lt;TODAY()-30),SUMPRODUCT(--('Master Stock'!$D$2:$D$1000&lt;&gt;""),--('Master Stock'!$H$2:$H$1000="OCCUPIED"),--ISNUMBER('Master Stock'!$L$2:$L$1000),--('Master Stock'!$L$2:$L$1000&lt;TODAY()-30),--('Master Stock'!$L$2:$L$1000&lt;'Master Stock'!L851))+COUNTIFS('Master Stock'!$L$2:L851,'Master Stock'!L851,'Master Stock'!$D$2:D851,"&lt;&gt;",'Master Stock'!$H$2:H851,"OCCUPIED"),"")</f>
        <v/>
      </c>
      <c r="W851" s="149" t="n"/>
      <c r="X851" s="149" t="n"/>
      <c r="Y851" s="149" t="n"/>
      <c r="Z851" s="149" t="n"/>
    </row>
    <row r="852" ht="15.75" customHeight="1" s="236">
      <c r="A852" s="148" t="n"/>
      <c r="B852" s="148" t="n"/>
      <c r="C852" s="124" t="n"/>
      <c r="D852" s="148" t="n"/>
      <c r="E852" s="148" t="n"/>
      <c r="F852" s="148" t="n"/>
      <c r="G852" s="124" t="n"/>
      <c r="H852" s="148" t="n"/>
      <c r="I852" s="148" t="n"/>
      <c r="J852" s="148" t="n"/>
      <c r="K852" s="148" t="n"/>
      <c r="L852" s="148" t="n"/>
      <c r="M852" s="148" t="n"/>
      <c r="N852" s="148" t="n"/>
      <c r="O852" s="148" t="n"/>
      <c r="P852" s="148" t="n"/>
      <c r="Q852" s="148" t="n"/>
      <c r="R852" s="148" t="n"/>
      <c r="S852" s="148" t="n"/>
      <c r="T852" s="148" t="n"/>
      <c r="U852" s="149">
        <f>IF(AND('Master Stock'!D852&lt;&gt;"",'Master Stock'!H852="OCCUPIED",ISNUMBER('Master Stock'!J852),'Master Stock'!K852=""),SUMPRODUCT(--('Master Stock'!$D$2:$D$1000&lt;&gt;""),--('Master Stock'!$H$2:$H$1000="OCCUPIED"),--ISNUMBER('Master Stock'!$J$2:$J$1000),--('Master Stock'!$K$2:$K$1000=""),--('Master Stock'!$J$2:$J$1000&lt;'Master Stock'!J852))+COUNTIFS('Master Stock'!$J$2:J852,'Master Stock'!J852,'Master Stock'!$D$2:D852,"&lt;&gt;",'Master Stock'!$H$2:H852,"OCCUPIED",'Master Stock'!$K$2:K852,""),"")</f>
        <v/>
      </c>
      <c r="V852" s="149">
        <f>IF(AND('Master Stock'!D852&lt;&gt;"",'Master Stock'!H852="OCCUPIED",ISNUMBER('Master Stock'!L852),'Master Stock'!L852&lt;TODAY()-30),SUMPRODUCT(--('Master Stock'!$D$2:$D$1000&lt;&gt;""),--('Master Stock'!$H$2:$H$1000="OCCUPIED"),--ISNUMBER('Master Stock'!$L$2:$L$1000),--('Master Stock'!$L$2:$L$1000&lt;TODAY()-30),--('Master Stock'!$L$2:$L$1000&lt;'Master Stock'!L852))+COUNTIFS('Master Stock'!$L$2:L852,'Master Stock'!L852,'Master Stock'!$D$2:D852,"&lt;&gt;",'Master Stock'!$H$2:H852,"OCCUPIED"),"")</f>
        <v/>
      </c>
      <c r="W852" s="149" t="n"/>
      <c r="X852" s="149" t="n"/>
      <c r="Y852" s="149" t="n"/>
      <c r="Z852" s="149" t="n"/>
    </row>
    <row r="853" ht="15.75" customHeight="1" s="236">
      <c r="A853" s="148" t="n"/>
      <c r="B853" s="148" t="n"/>
      <c r="C853" s="124" t="n"/>
      <c r="D853" s="148" t="n"/>
      <c r="E853" s="148" t="n"/>
      <c r="F853" s="148" t="n"/>
      <c r="G853" s="124" t="n"/>
      <c r="H853" s="148" t="n"/>
      <c r="I853" s="148" t="n"/>
      <c r="J853" s="148" t="n"/>
      <c r="K853" s="148" t="n"/>
      <c r="L853" s="148" t="n"/>
      <c r="M853" s="148" t="n"/>
      <c r="N853" s="148" t="n"/>
      <c r="O853" s="148" t="n"/>
      <c r="P853" s="148" t="n"/>
      <c r="Q853" s="148" t="n"/>
      <c r="R853" s="148" t="n"/>
      <c r="S853" s="148" t="n"/>
      <c r="T853" s="148" t="n"/>
      <c r="U853" s="149">
        <f>IF(AND('Master Stock'!D853&lt;&gt;"",'Master Stock'!H853="OCCUPIED",ISNUMBER('Master Stock'!J853),'Master Stock'!K853=""),SUMPRODUCT(--('Master Stock'!$D$2:$D$1000&lt;&gt;""),--('Master Stock'!$H$2:$H$1000="OCCUPIED"),--ISNUMBER('Master Stock'!$J$2:$J$1000),--('Master Stock'!$K$2:$K$1000=""),--('Master Stock'!$J$2:$J$1000&lt;'Master Stock'!J853))+COUNTIFS('Master Stock'!$J$2:J853,'Master Stock'!J853,'Master Stock'!$D$2:D853,"&lt;&gt;",'Master Stock'!$H$2:H853,"OCCUPIED",'Master Stock'!$K$2:K853,""),"")</f>
        <v/>
      </c>
      <c r="V853" s="149">
        <f>IF(AND('Master Stock'!D853&lt;&gt;"",'Master Stock'!H853="OCCUPIED",ISNUMBER('Master Stock'!L853),'Master Stock'!L853&lt;TODAY()-30),SUMPRODUCT(--('Master Stock'!$D$2:$D$1000&lt;&gt;""),--('Master Stock'!$H$2:$H$1000="OCCUPIED"),--ISNUMBER('Master Stock'!$L$2:$L$1000),--('Master Stock'!$L$2:$L$1000&lt;TODAY()-30),--('Master Stock'!$L$2:$L$1000&lt;'Master Stock'!L853))+COUNTIFS('Master Stock'!$L$2:L853,'Master Stock'!L853,'Master Stock'!$D$2:D853,"&lt;&gt;",'Master Stock'!$H$2:H853,"OCCUPIED"),"")</f>
        <v/>
      </c>
      <c r="W853" s="149" t="n"/>
      <c r="X853" s="149" t="n"/>
      <c r="Y853" s="149" t="n"/>
      <c r="Z853" s="149" t="n"/>
    </row>
    <row r="854" ht="15.75" customHeight="1" s="236">
      <c r="A854" s="148" t="n"/>
      <c r="B854" s="148" t="n"/>
      <c r="C854" s="124" t="n"/>
      <c r="D854" s="148" t="n"/>
      <c r="E854" s="148" t="n"/>
      <c r="F854" s="148" t="n"/>
      <c r="G854" s="124" t="n"/>
      <c r="H854" s="148" t="n"/>
      <c r="I854" s="148" t="n"/>
      <c r="J854" s="148" t="n"/>
      <c r="K854" s="148" t="n"/>
      <c r="L854" s="148" t="n"/>
      <c r="M854" s="148" t="n"/>
      <c r="N854" s="148" t="n"/>
      <c r="O854" s="148" t="n"/>
      <c r="P854" s="148" t="n"/>
      <c r="Q854" s="148" t="n"/>
      <c r="R854" s="148" t="n"/>
      <c r="S854" s="148" t="n"/>
      <c r="T854" s="148" t="n"/>
      <c r="U854" s="149">
        <f>IF(AND('Master Stock'!D854&lt;&gt;"",'Master Stock'!H854="OCCUPIED",ISNUMBER('Master Stock'!J854),'Master Stock'!K854=""),SUMPRODUCT(--('Master Stock'!$D$2:$D$1000&lt;&gt;""),--('Master Stock'!$H$2:$H$1000="OCCUPIED"),--ISNUMBER('Master Stock'!$J$2:$J$1000),--('Master Stock'!$K$2:$K$1000=""),--('Master Stock'!$J$2:$J$1000&lt;'Master Stock'!J854))+COUNTIFS('Master Stock'!$J$2:J854,'Master Stock'!J854,'Master Stock'!$D$2:D854,"&lt;&gt;",'Master Stock'!$H$2:H854,"OCCUPIED",'Master Stock'!$K$2:K854,""),"")</f>
        <v/>
      </c>
      <c r="V854" s="149">
        <f>IF(AND('Master Stock'!D854&lt;&gt;"",'Master Stock'!H854="OCCUPIED",ISNUMBER('Master Stock'!L854),'Master Stock'!L854&lt;TODAY()-30),SUMPRODUCT(--('Master Stock'!$D$2:$D$1000&lt;&gt;""),--('Master Stock'!$H$2:$H$1000="OCCUPIED"),--ISNUMBER('Master Stock'!$L$2:$L$1000),--('Master Stock'!$L$2:$L$1000&lt;TODAY()-30),--('Master Stock'!$L$2:$L$1000&lt;'Master Stock'!L854))+COUNTIFS('Master Stock'!$L$2:L854,'Master Stock'!L854,'Master Stock'!$D$2:D854,"&lt;&gt;",'Master Stock'!$H$2:H854,"OCCUPIED"),"")</f>
        <v/>
      </c>
      <c r="W854" s="149" t="n"/>
      <c r="X854" s="149" t="n"/>
      <c r="Y854" s="149" t="n"/>
      <c r="Z854" s="149" t="n"/>
    </row>
    <row r="855" ht="15.75" customHeight="1" s="236">
      <c r="A855" s="148" t="n"/>
      <c r="B855" s="148" t="n"/>
      <c r="C855" s="124" t="n"/>
      <c r="D855" s="148" t="n"/>
      <c r="E855" s="148" t="n"/>
      <c r="F855" s="148" t="n"/>
      <c r="G855" s="124" t="n"/>
      <c r="H855" s="148" t="n"/>
      <c r="I855" s="148" t="n"/>
      <c r="J855" s="148" t="n"/>
      <c r="K855" s="148" t="n"/>
      <c r="L855" s="148" t="n"/>
      <c r="M855" s="148" t="n"/>
      <c r="N855" s="148" t="n"/>
      <c r="O855" s="148" t="n"/>
      <c r="P855" s="148" t="n"/>
      <c r="Q855" s="148" t="n"/>
      <c r="R855" s="148" t="n"/>
      <c r="S855" s="148" t="n"/>
      <c r="T855" s="148" t="n"/>
      <c r="U855" s="149">
        <f>IF(AND('Master Stock'!D855&lt;&gt;"",'Master Stock'!H855="OCCUPIED",ISNUMBER('Master Stock'!J855),'Master Stock'!K855=""),SUMPRODUCT(--('Master Stock'!$D$2:$D$1000&lt;&gt;""),--('Master Stock'!$H$2:$H$1000="OCCUPIED"),--ISNUMBER('Master Stock'!$J$2:$J$1000),--('Master Stock'!$K$2:$K$1000=""),--('Master Stock'!$J$2:$J$1000&lt;'Master Stock'!J855))+COUNTIFS('Master Stock'!$J$2:J855,'Master Stock'!J855,'Master Stock'!$D$2:D855,"&lt;&gt;",'Master Stock'!$H$2:H855,"OCCUPIED",'Master Stock'!$K$2:K855,""),"")</f>
        <v/>
      </c>
      <c r="V855" s="149">
        <f>IF(AND('Master Stock'!D855&lt;&gt;"",'Master Stock'!H855="OCCUPIED",ISNUMBER('Master Stock'!L855),'Master Stock'!L855&lt;TODAY()-30),SUMPRODUCT(--('Master Stock'!$D$2:$D$1000&lt;&gt;""),--('Master Stock'!$H$2:$H$1000="OCCUPIED"),--ISNUMBER('Master Stock'!$L$2:$L$1000),--('Master Stock'!$L$2:$L$1000&lt;TODAY()-30),--('Master Stock'!$L$2:$L$1000&lt;'Master Stock'!L855))+COUNTIFS('Master Stock'!$L$2:L855,'Master Stock'!L855,'Master Stock'!$D$2:D855,"&lt;&gt;",'Master Stock'!$H$2:H855,"OCCUPIED"),"")</f>
        <v/>
      </c>
      <c r="W855" s="149" t="n"/>
      <c r="X855" s="149" t="n"/>
      <c r="Y855" s="149" t="n"/>
      <c r="Z855" s="149" t="n"/>
    </row>
    <row r="856" ht="15.75" customHeight="1" s="236">
      <c r="A856" s="148" t="n"/>
      <c r="B856" s="148" t="n"/>
      <c r="C856" s="124" t="n"/>
      <c r="D856" s="148" t="n"/>
      <c r="E856" s="148" t="n"/>
      <c r="F856" s="148" t="n"/>
      <c r="G856" s="124" t="n"/>
      <c r="H856" s="148" t="n"/>
      <c r="I856" s="148" t="n"/>
      <c r="J856" s="148" t="n"/>
      <c r="K856" s="148" t="n"/>
      <c r="L856" s="148" t="n"/>
      <c r="M856" s="148" t="n"/>
      <c r="N856" s="148" t="n"/>
      <c r="O856" s="148" t="n"/>
      <c r="P856" s="148" t="n"/>
      <c r="Q856" s="148" t="n"/>
      <c r="R856" s="148" t="n"/>
      <c r="S856" s="148" t="n"/>
      <c r="T856" s="148" t="n"/>
      <c r="U856" s="149">
        <f>IF(AND('Master Stock'!D856&lt;&gt;"",'Master Stock'!H856="OCCUPIED",ISNUMBER('Master Stock'!J856),'Master Stock'!K856=""),SUMPRODUCT(--('Master Stock'!$D$2:$D$1000&lt;&gt;""),--('Master Stock'!$H$2:$H$1000="OCCUPIED"),--ISNUMBER('Master Stock'!$J$2:$J$1000),--('Master Stock'!$K$2:$K$1000=""),--('Master Stock'!$J$2:$J$1000&lt;'Master Stock'!J856))+COUNTIFS('Master Stock'!$J$2:J856,'Master Stock'!J856,'Master Stock'!$D$2:D856,"&lt;&gt;",'Master Stock'!$H$2:H856,"OCCUPIED",'Master Stock'!$K$2:K856,""),"")</f>
        <v/>
      </c>
      <c r="V856" s="149">
        <f>IF(AND('Master Stock'!D856&lt;&gt;"",'Master Stock'!H856="OCCUPIED",ISNUMBER('Master Stock'!L856),'Master Stock'!L856&lt;TODAY()-30),SUMPRODUCT(--('Master Stock'!$D$2:$D$1000&lt;&gt;""),--('Master Stock'!$H$2:$H$1000="OCCUPIED"),--ISNUMBER('Master Stock'!$L$2:$L$1000),--('Master Stock'!$L$2:$L$1000&lt;TODAY()-30),--('Master Stock'!$L$2:$L$1000&lt;'Master Stock'!L856))+COUNTIFS('Master Stock'!$L$2:L856,'Master Stock'!L856,'Master Stock'!$D$2:D856,"&lt;&gt;",'Master Stock'!$H$2:H856,"OCCUPIED"),"")</f>
        <v/>
      </c>
      <c r="W856" s="149" t="n"/>
      <c r="X856" s="149" t="n"/>
      <c r="Y856" s="149" t="n"/>
      <c r="Z856" s="149" t="n"/>
    </row>
    <row r="857" ht="15.75" customHeight="1" s="236">
      <c r="A857" s="148" t="n"/>
      <c r="B857" s="148" t="n"/>
      <c r="C857" s="124" t="n"/>
      <c r="D857" s="148" t="n"/>
      <c r="E857" s="148" t="n"/>
      <c r="F857" s="148" t="n"/>
      <c r="G857" s="124" t="n"/>
      <c r="H857" s="148" t="n"/>
      <c r="I857" s="148" t="n"/>
      <c r="J857" s="148" t="n"/>
      <c r="K857" s="148" t="n"/>
      <c r="L857" s="148" t="n"/>
      <c r="M857" s="148" t="n"/>
      <c r="N857" s="148" t="n"/>
      <c r="O857" s="148" t="n"/>
      <c r="P857" s="148" t="n"/>
      <c r="Q857" s="148" t="n"/>
      <c r="R857" s="148" t="n"/>
      <c r="S857" s="148" t="n"/>
      <c r="T857" s="148" t="n"/>
      <c r="U857" s="149">
        <f>IF(AND('Master Stock'!D857&lt;&gt;"",'Master Stock'!H857="OCCUPIED",ISNUMBER('Master Stock'!J857),'Master Stock'!K857=""),SUMPRODUCT(--('Master Stock'!$D$2:$D$1000&lt;&gt;""),--('Master Stock'!$H$2:$H$1000="OCCUPIED"),--ISNUMBER('Master Stock'!$J$2:$J$1000),--('Master Stock'!$K$2:$K$1000=""),--('Master Stock'!$J$2:$J$1000&lt;'Master Stock'!J857))+COUNTIFS('Master Stock'!$J$2:J857,'Master Stock'!J857,'Master Stock'!$D$2:D857,"&lt;&gt;",'Master Stock'!$H$2:H857,"OCCUPIED",'Master Stock'!$K$2:K857,""),"")</f>
        <v/>
      </c>
      <c r="V857" s="149">
        <f>IF(AND('Master Stock'!D857&lt;&gt;"",'Master Stock'!H857="OCCUPIED",ISNUMBER('Master Stock'!L857),'Master Stock'!L857&lt;TODAY()-30),SUMPRODUCT(--('Master Stock'!$D$2:$D$1000&lt;&gt;""),--('Master Stock'!$H$2:$H$1000="OCCUPIED"),--ISNUMBER('Master Stock'!$L$2:$L$1000),--('Master Stock'!$L$2:$L$1000&lt;TODAY()-30),--('Master Stock'!$L$2:$L$1000&lt;'Master Stock'!L857))+COUNTIFS('Master Stock'!$L$2:L857,'Master Stock'!L857,'Master Stock'!$D$2:D857,"&lt;&gt;",'Master Stock'!$H$2:H857,"OCCUPIED"),"")</f>
        <v/>
      </c>
      <c r="W857" s="149" t="n"/>
      <c r="X857" s="149" t="n"/>
      <c r="Y857" s="149" t="n"/>
      <c r="Z857" s="149" t="n"/>
    </row>
    <row r="858" ht="15.75" customHeight="1" s="236">
      <c r="A858" s="148" t="n"/>
      <c r="B858" s="148" t="n"/>
      <c r="C858" s="124" t="n"/>
      <c r="D858" s="148" t="n"/>
      <c r="E858" s="148" t="n"/>
      <c r="F858" s="148" t="n"/>
      <c r="G858" s="124" t="n"/>
      <c r="H858" s="148" t="n"/>
      <c r="I858" s="148" t="n"/>
      <c r="J858" s="148" t="n"/>
      <c r="K858" s="148" t="n"/>
      <c r="L858" s="148" t="n"/>
      <c r="M858" s="148" t="n"/>
      <c r="N858" s="148" t="n"/>
      <c r="O858" s="148" t="n"/>
      <c r="P858" s="148" t="n"/>
      <c r="Q858" s="148" t="n"/>
      <c r="R858" s="148" t="n"/>
      <c r="S858" s="148" t="n"/>
      <c r="T858" s="148" t="n"/>
      <c r="U858" s="149">
        <f>IF(AND('Master Stock'!D858&lt;&gt;"",'Master Stock'!H858="OCCUPIED",ISNUMBER('Master Stock'!J858),'Master Stock'!K858=""),SUMPRODUCT(--('Master Stock'!$D$2:$D$1000&lt;&gt;""),--('Master Stock'!$H$2:$H$1000="OCCUPIED"),--ISNUMBER('Master Stock'!$J$2:$J$1000),--('Master Stock'!$K$2:$K$1000=""),--('Master Stock'!$J$2:$J$1000&lt;'Master Stock'!J858))+COUNTIFS('Master Stock'!$J$2:J858,'Master Stock'!J858,'Master Stock'!$D$2:D858,"&lt;&gt;",'Master Stock'!$H$2:H858,"OCCUPIED",'Master Stock'!$K$2:K858,""),"")</f>
        <v/>
      </c>
      <c r="V858" s="149">
        <f>IF(AND('Master Stock'!D858&lt;&gt;"",'Master Stock'!H858="OCCUPIED",ISNUMBER('Master Stock'!L858),'Master Stock'!L858&lt;TODAY()-30),SUMPRODUCT(--('Master Stock'!$D$2:$D$1000&lt;&gt;""),--('Master Stock'!$H$2:$H$1000="OCCUPIED"),--ISNUMBER('Master Stock'!$L$2:$L$1000),--('Master Stock'!$L$2:$L$1000&lt;TODAY()-30),--('Master Stock'!$L$2:$L$1000&lt;'Master Stock'!L858))+COUNTIFS('Master Stock'!$L$2:L858,'Master Stock'!L858,'Master Stock'!$D$2:D858,"&lt;&gt;",'Master Stock'!$H$2:H858,"OCCUPIED"),"")</f>
        <v/>
      </c>
      <c r="W858" s="149" t="n"/>
      <c r="X858" s="149" t="n"/>
      <c r="Y858" s="149" t="n"/>
      <c r="Z858" s="149" t="n"/>
    </row>
    <row r="859" ht="15.75" customHeight="1" s="236">
      <c r="A859" s="148" t="n"/>
      <c r="B859" s="148" t="n"/>
      <c r="C859" s="124" t="n"/>
      <c r="D859" s="148" t="n"/>
      <c r="E859" s="148" t="n"/>
      <c r="F859" s="148" t="n"/>
      <c r="G859" s="124" t="n"/>
      <c r="H859" s="148" t="n"/>
      <c r="I859" s="148" t="n"/>
      <c r="J859" s="148" t="n"/>
      <c r="K859" s="148" t="n"/>
      <c r="L859" s="148" t="n"/>
      <c r="M859" s="148" t="n"/>
      <c r="N859" s="148" t="n"/>
      <c r="O859" s="148" t="n"/>
      <c r="P859" s="148" t="n"/>
      <c r="Q859" s="148" t="n"/>
      <c r="R859" s="148" t="n"/>
      <c r="S859" s="148" t="n"/>
      <c r="T859" s="148" t="n"/>
      <c r="U859" s="149">
        <f>IF(AND('Master Stock'!D859&lt;&gt;"",'Master Stock'!H859="OCCUPIED",ISNUMBER('Master Stock'!J859),'Master Stock'!K859=""),SUMPRODUCT(--('Master Stock'!$D$2:$D$1000&lt;&gt;""),--('Master Stock'!$H$2:$H$1000="OCCUPIED"),--ISNUMBER('Master Stock'!$J$2:$J$1000),--('Master Stock'!$K$2:$K$1000=""),--('Master Stock'!$J$2:$J$1000&lt;'Master Stock'!J859))+COUNTIFS('Master Stock'!$J$2:J859,'Master Stock'!J859,'Master Stock'!$D$2:D859,"&lt;&gt;",'Master Stock'!$H$2:H859,"OCCUPIED",'Master Stock'!$K$2:K859,""),"")</f>
        <v/>
      </c>
      <c r="V859" s="149">
        <f>IF(AND('Master Stock'!D859&lt;&gt;"",'Master Stock'!H859="OCCUPIED",ISNUMBER('Master Stock'!L859),'Master Stock'!L859&lt;TODAY()-30),SUMPRODUCT(--('Master Stock'!$D$2:$D$1000&lt;&gt;""),--('Master Stock'!$H$2:$H$1000="OCCUPIED"),--ISNUMBER('Master Stock'!$L$2:$L$1000),--('Master Stock'!$L$2:$L$1000&lt;TODAY()-30),--('Master Stock'!$L$2:$L$1000&lt;'Master Stock'!L859))+COUNTIFS('Master Stock'!$L$2:L859,'Master Stock'!L859,'Master Stock'!$D$2:D859,"&lt;&gt;",'Master Stock'!$H$2:H859,"OCCUPIED"),"")</f>
        <v/>
      </c>
      <c r="W859" s="149" t="n"/>
      <c r="X859" s="149" t="n"/>
      <c r="Y859" s="149" t="n"/>
      <c r="Z859" s="149" t="n"/>
    </row>
    <row r="860" ht="15.75" customHeight="1" s="236">
      <c r="A860" s="148" t="n"/>
      <c r="B860" s="148" t="n"/>
      <c r="C860" s="124" t="n"/>
      <c r="D860" s="148" t="n"/>
      <c r="E860" s="148" t="n"/>
      <c r="F860" s="148" t="n"/>
      <c r="G860" s="124" t="n"/>
      <c r="H860" s="148" t="n"/>
      <c r="I860" s="148" t="n"/>
      <c r="J860" s="148" t="n"/>
      <c r="K860" s="148" t="n"/>
      <c r="L860" s="148" t="n"/>
      <c r="M860" s="148" t="n"/>
      <c r="N860" s="148" t="n"/>
      <c r="O860" s="148" t="n"/>
      <c r="P860" s="148" t="n"/>
      <c r="Q860" s="148" t="n"/>
      <c r="R860" s="148" t="n"/>
      <c r="S860" s="148" t="n"/>
      <c r="T860" s="148" t="n"/>
      <c r="U860" s="149">
        <f>IF(AND('Master Stock'!D860&lt;&gt;"",'Master Stock'!H860="OCCUPIED",ISNUMBER('Master Stock'!J860),'Master Stock'!K860=""),SUMPRODUCT(--('Master Stock'!$D$2:$D$1000&lt;&gt;""),--('Master Stock'!$H$2:$H$1000="OCCUPIED"),--ISNUMBER('Master Stock'!$J$2:$J$1000),--('Master Stock'!$K$2:$K$1000=""),--('Master Stock'!$J$2:$J$1000&lt;'Master Stock'!J860))+COUNTIFS('Master Stock'!$J$2:J860,'Master Stock'!J860,'Master Stock'!$D$2:D860,"&lt;&gt;",'Master Stock'!$H$2:H860,"OCCUPIED",'Master Stock'!$K$2:K860,""),"")</f>
        <v/>
      </c>
      <c r="V860" s="149">
        <f>IF(AND('Master Stock'!D860&lt;&gt;"",'Master Stock'!H860="OCCUPIED",ISNUMBER('Master Stock'!L860),'Master Stock'!L860&lt;TODAY()-30),SUMPRODUCT(--('Master Stock'!$D$2:$D$1000&lt;&gt;""),--('Master Stock'!$H$2:$H$1000="OCCUPIED"),--ISNUMBER('Master Stock'!$L$2:$L$1000),--('Master Stock'!$L$2:$L$1000&lt;TODAY()-30),--('Master Stock'!$L$2:$L$1000&lt;'Master Stock'!L860))+COUNTIFS('Master Stock'!$L$2:L860,'Master Stock'!L860,'Master Stock'!$D$2:D860,"&lt;&gt;",'Master Stock'!$H$2:H860,"OCCUPIED"),"")</f>
        <v/>
      </c>
      <c r="W860" s="149" t="n"/>
      <c r="X860" s="149" t="n"/>
      <c r="Y860" s="149" t="n"/>
      <c r="Z860" s="149" t="n"/>
    </row>
    <row r="861" ht="15.75" customHeight="1" s="236">
      <c r="A861" s="148" t="n"/>
      <c r="B861" s="148" t="n"/>
      <c r="C861" s="124" t="n"/>
      <c r="D861" s="148" t="n"/>
      <c r="E861" s="148" t="n"/>
      <c r="F861" s="148" t="n"/>
      <c r="G861" s="124" t="n"/>
      <c r="H861" s="148" t="n"/>
      <c r="I861" s="148" t="n"/>
      <c r="J861" s="148" t="n"/>
      <c r="K861" s="148" t="n"/>
      <c r="L861" s="148" t="n"/>
      <c r="M861" s="148" t="n"/>
      <c r="N861" s="148" t="n"/>
      <c r="O861" s="148" t="n"/>
      <c r="P861" s="148" t="n"/>
      <c r="Q861" s="148" t="n"/>
      <c r="R861" s="148" t="n"/>
      <c r="S861" s="148" t="n"/>
      <c r="T861" s="148" t="n"/>
      <c r="U861" s="149">
        <f>IF(AND('Master Stock'!D861&lt;&gt;"",'Master Stock'!H861="OCCUPIED",ISNUMBER('Master Stock'!J861),'Master Stock'!K861=""),SUMPRODUCT(--('Master Stock'!$D$2:$D$1000&lt;&gt;""),--('Master Stock'!$H$2:$H$1000="OCCUPIED"),--ISNUMBER('Master Stock'!$J$2:$J$1000),--('Master Stock'!$K$2:$K$1000=""),--('Master Stock'!$J$2:$J$1000&lt;'Master Stock'!J861))+COUNTIFS('Master Stock'!$J$2:J861,'Master Stock'!J861,'Master Stock'!$D$2:D861,"&lt;&gt;",'Master Stock'!$H$2:H861,"OCCUPIED",'Master Stock'!$K$2:K861,""),"")</f>
        <v/>
      </c>
      <c r="V861" s="149">
        <f>IF(AND('Master Stock'!D861&lt;&gt;"",'Master Stock'!H861="OCCUPIED",ISNUMBER('Master Stock'!L861),'Master Stock'!L861&lt;TODAY()-30),SUMPRODUCT(--('Master Stock'!$D$2:$D$1000&lt;&gt;""),--('Master Stock'!$H$2:$H$1000="OCCUPIED"),--ISNUMBER('Master Stock'!$L$2:$L$1000),--('Master Stock'!$L$2:$L$1000&lt;TODAY()-30),--('Master Stock'!$L$2:$L$1000&lt;'Master Stock'!L861))+COUNTIFS('Master Stock'!$L$2:L861,'Master Stock'!L861,'Master Stock'!$D$2:D861,"&lt;&gt;",'Master Stock'!$H$2:H861,"OCCUPIED"),"")</f>
        <v/>
      </c>
      <c r="W861" s="149" t="n"/>
      <c r="X861" s="149" t="n"/>
      <c r="Y861" s="149" t="n"/>
      <c r="Z861" s="149" t="n"/>
    </row>
    <row r="862" ht="15.75" customHeight="1" s="236">
      <c r="A862" s="148" t="n"/>
      <c r="B862" s="148" t="n"/>
      <c r="C862" s="124" t="n"/>
      <c r="D862" s="148" t="n"/>
      <c r="E862" s="148" t="n"/>
      <c r="F862" s="148" t="n"/>
      <c r="G862" s="124" t="n"/>
      <c r="H862" s="148" t="n"/>
      <c r="I862" s="148" t="n"/>
      <c r="J862" s="148" t="n"/>
      <c r="K862" s="148" t="n"/>
      <c r="L862" s="148" t="n"/>
      <c r="M862" s="148" t="n"/>
      <c r="N862" s="148" t="n"/>
      <c r="O862" s="148" t="n"/>
      <c r="P862" s="148" t="n"/>
      <c r="Q862" s="148" t="n"/>
      <c r="R862" s="148" t="n"/>
      <c r="S862" s="148" t="n"/>
      <c r="T862" s="148" t="n"/>
      <c r="U862" s="149">
        <f>IF(AND('Master Stock'!D862&lt;&gt;"",'Master Stock'!H862="OCCUPIED",ISNUMBER('Master Stock'!J862),'Master Stock'!K862=""),SUMPRODUCT(--('Master Stock'!$D$2:$D$1000&lt;&gt;""),--('Master Stock'!$H$2:$H$1000="OCCUPIED"),--ISNUMBER('Master Stock'!$J$2:$J$1000),--('Master Stock'!$K$2:$K$1000=""),--('Master Stock'!$J$2:$J$1000&lt;'Master Stock'!J862))+COUNTIFS('Master Stock'!$J$2:J862,'Master Stock'!J862,'Master Stock'!$D$2:D862,"&lt;&gt;",'Master Stock'!$H$2:H862,"OCCUPIED",'Master Stock'!$K$2:K862,""),"")</f>
        <v/>
      </c>
      <c r="V862" s="149">
        <f>IF(AND('Master Stock'!D862&lt;&gt;"",'Master Stock'!H862="OCCUPIED",ISNUMBER('Master Stock'!L862),'Master Stock'!L862&lt;TODAY()-30),SUMPRODUCT(--('Master Stock'!$D$2:$D$1000&lt;&gt;""),--('Master Stock'!$H$2:$H$1000="OCCUPIED"),--ISNUMBER('Master Stock'!$L$2:$L$1000),--('Master Stock'!$L$2:$L$1000&lt;TODAY()-30),--('Master Stock'!$L$2:$L$1000&lt;'Master Stock'!L862))+COUNTIFS('Master Stock'!$L$2:L862,'Master Stock'!L862,'Master Stock'!$D$2:D862,"&lt;&gt;",'Master Stock'!$H$2:H862,"OCCUPIED"),"")</f>
        <v/>
      </c>
      <c r="W862" s="149" t="n"/>
      <c r="X862" s="149" t="n"/>
      <c r="Y862" s="149" t="n"/>
      <c r="Z862" s="149" t="n"/>
    </row>
    <row r="863" ht="15.75" customHeight="1" s="236">
      <c r="A863" s="148" t="n"/>
      <c r="B863" s="148" t="n"/>
      <c r="C863" s="124" t="n"/>
      <c r="D863" s="148" t="n"/>
      <c r="E863" s="148" t="n"/>
      <c r="F863" s="148" t="n"/>
      <c r="G863" s="124" t="n"/>
      <c r="H863" s="148" t="n"/>
      <c r="I863" s="148" t="n"/>
      <c r="J863" s="148" t="n"/>
      <c r="K863" s="148" t="n"/>
      <c r="L863" s="148" t="n"/>
      <c r="M863" s="148" t="n"/>
      <c r="N863" s="148" t="n"/>
      <c r="O863" s="148" t="n"/>
      <c r="P863" s="148" t="n"/>
      <c r="Q863" s="148" t="n"/>
      <c r="R863" s="148" t="n"/>
      <c r="S863" s="148" t="n"/>
      <c r="T863" s="148" t="n"/>
      <c r="U863" s="149">
        <f>IF(AND('Master Stock'!D863&lt;&gt;"",'Master Stock'!H863="OCCUPIED",ISNUMBER('Master Stock'!J863),'Master Stock'!K863=""),SUMPRODUCT(--('Master Stock'!$D$2:$D$1000&lt;&gt;""),--('Master Stock'!$H$2:$H$1000="OCCUPIED"),--ISNUMBER('Master Stock'!$J$2:$J$1000),--('Master Stock'!$K$2:$K$1000=""),--('Master Stock'!$J$2:$J$1000&lt;'Master Stock'!J863))+COUNTIFS('Master Stock'!$J$2:J863,'Master Stock'!J863,'Master Stock'!$D$2:D863,"&lt;&gt;",'Master Stock'!$H$2:H863,"OCCUPIED",'Master Stock'!$K$2:K863,""),"")</f>
        <v/>
      </c>
      <c r="V863" s="149">
        <f>IF(AND('Master Stock'!D863&lt;&gt;"",'Master Stock'!H863="OCCUPIED",ISNUMBER('Master Stock'!L863),'Master Stock'!L863&lt;TODAY()-30),SUMPRODUCT(--('Master Stock'!$D$2:$D$1000&lt;&gt;""),--('Master Stock'!$H$2:$H$1000="OCCUPIED"),--ISNUMBER('Master Stock'!$L$2:$L$1000),--('Master Stock'!$L$2:$L$1000&lt;TODAY()-30),--('Master Stock'!$L$2:$L$1000&lt;'Master Stock'!L863))+COUNTIFS('Master Stock'!$L$2:L863,'Master Stock'!L863,'Master Stock'!$D$2:D863,"&lt;&gt;",'Master Stock'!$H$2:H863,"OCCUPIED"),"")</f>
        <v/>
      </c>
      <c r="W863" s="149" t="n"/>
      <c r="X863" s="149" t="n"/>
      <c r="Y863" s="149" t="n"/>
      <c r="Z863" s="149" t="n"/>
    </row>
    <row r="864" ht="15.75" customHeight="1" s="236">
      <c r="A864" s="148" t="n"/>
      <c r="B864" s="148" t="n"/>
      <c r="C864" s="124" t="n"/>
      <c r="D864" s="148" t="n"/>
      <c r="E864" s="148" t="n"/>
      <c r="F864" s="148" t="n"/>
      <c r="G864" s="124" t="n"/>
      <c r="H864" s="148" t="n"/>
      <c r="I864" s="148" t="n"/>
      <c r="J864" s="148" t="n"/>
      <c r="K864" s="148" t="n"/>
      <c r="L864" s="148" t="n"/>
      <c r="M864" s="148" t="n"/>
      <c r="N864" s="148" t="n"/>
      <c r="O864" s="148" t="n"/>
      <c r="P864" s="148" t="n"/>
      <c r="Q864" s="148" t="n"/>
      <c r="R864" s="148" t="n"/>
      <c r="S864" s="148" t="n"/>
      <c r="T864" s="148" t="n"/>
      <c r="U864" s="149">
        <f>IF(AND('Master Stock'!D864&lt;&gt;"",'Master Stock'!H864="OCCUPIED",ISNUMBER('Master Stock'!J864),'Master Stock'!K864=""),SUMPRODUCT(--('Master Stock'!$D$2:$D$1000&lt;&gt;""),--('Master Stock'!$H$2:$H$1000="OCCUPIED"),--ISNUMBER('Master Stock'!$J$2:$J$1000),--('Master Stock'!$K$2:$K$1000=""),--('Master Stock'!$J$2:$J$1000&lt;'Master Stock'!J864))+COUNTIFS('Master Stock'!$J$2:J864,'Master Stock'!J864,'Master Stock'!$D$2:D864,"&lt;&gt;",'Master Stock'!$H$2:H864,"OCCUPIED",'Master Stock'!$K$2:K864,""),"")</f>
        <v/>
      </c>
      <c r="V864" s="149">
        <f>IF(AND('Master Stock'!D864&lt;&gt;"",'Master Stock'!H864="OCCUPIED",ISNUMBER('Master Stock'!L864),'Master Stock'!L864&lt;TODAY()-30),SUMPRODUCT(--('Master Stock'!$D$2:$D$1000&lt;&gt;""),--('Master Stock'!$H$2:$H$1000="OCCUPIED"),--ISNUMBER('Master Stock'!$L$2:$L$1000),--('Master Stock'!$L$2:$L$1000&lt;TODAY()-30),--('Master Stock'!$L$2:$L$1000&lt;'Master Stock'!L864))+COUNTIFS('Master Stock'!$L$2:L864,'Master Stock'!L864,'Master Stock'!$D$2:D864,"&lt;&gt;",'Master Stock'!$H$2:H864,"OCCUPIED"),"")</f>
        <v/>
      </c>
      <c r="W864" s="149" t="n"/>
      <c r="X864" s="149" t="n"/>
      <c r="Y864" s="149" t="n"/>
      <c r="Z864" s="149" t="n"/>
    </row>
    <row r="865" ht="15.75" customHeight="1" s="236">
      <c r="A865" s="148" t="n"/>
      <c r="B865" s="148" t="n"/>
      <c r="C865" s="124" t="n"/>
      <c r="D865" s="148" t="n"/>
      <c r="E865" s="148" t="n"/>
      <c r="F865" s="148" t="n"/>
      <c r="G865" s="124" t="n"/>
      <c r="H865" s="148" t="n"/>
      <c r="I865" s="148" t="n"/>
      <c r="J865" s="148" t="n"/>
      <c r="K865" s="148" t="n"/>
      <c r="L865" s="148" t="n"/>
      <c r="M865" s="148" t="n"/>
      <c r="N865" s="148" t="n"/>
      <c r="O865" s="148" t="n"/>
      <c r="P865" s="148" t="n"/>
      <c r="Q865" s="148" t="n"/>
      <c r="R865" s="148" t="n"/>
      <c r="S865" s="148" t="n"/>
      <c r="T865" s="148" t="n"/>
      <c r="U865" s="149">
        <f>IF(AND('Master Stock'!D865&lt;&gt;"",'Master Stock'!H865="OCCUPIED",ISNUMBER('Master Stock'!J865),'Master Stock'!K865=""),SUMPRODUCT(--('Master Stock'!$D$2:$D$1000&lt;&gt;""),--('Master Stock'!$H$2:$H$1000="OCCUPIED"),--ISNUMBER('Master Stock'!$J$2:$J$1000),--('Master Stock'!$K$2:$K$1000=""),--('Master Stock'!$J$2:$J$1000&lt;'Master Stock'!J865))+COUNTIFS('Master Stock'!$J$2:J865,'Master Stock'!J865,'Master Stock'!$D$2:D865,"&lt;&gt;",'Master Stock'!$H$2:H865,"OCCUPIED",'Master Stock'!$K$2:K865,""),"")</f>
        <v/>
      </c>
      <c r="V865" s="149">
        <f>IF(AND('Master Stock'!D865&lt;&gt;"",'Master Stock'!H865="OCCUPIED",ISNUMBER('Master Stock'!L865),'Master Stock'!L865&lt;TODAY()-30),SUMPRODUCT(--('Master Stock'!$D$2:$D$1000&lt;&gt;""),--('Master Stock'!$H$2:$H$1000="OCCUPIED"),--ISNUMBER('Master Stock'!$L$2:$L$1000),--('Master Stock'!$L$2:$L$1000&lt;TODAY()-30),--('Master Stock'!$L$2:$L$1000&lt;'Master Stock'!L865))+COUNTIFS('Master Stock'!$L$2:L865,'Master Stock'!L865,'Master Stock'!$D$2:D865,"&lt;&gt;",'Master Stock'!$H$2:H865,"OCCUPIED"),"")</f>
        <v/>
      </c>
      <c r="W865" s="149" t="n"/>
      <c r="X865" s="149" t="n"/>
      <c r="Y865" s="149" t="n"/>
      <c r="Z865" s="149" t="n"/>
    </row>
    <row r="866" ht="15.75" customHeight="1" s="236">
      <c r="A866" s="148" t="n"/>
      <c r="B866" s="148" t="n"/>
      <c r="C866" s="124" t="n"/>
      <c r="D866" s="148" t="n"/>
      <c r="E866" s="148" t="n"/>
      <c r="F866" s="148" t="n"/>
      <c r="G866" s="124" t="n"/>
      <c r="H866" s="148" t="n"/>
      <c r="I866" s="148" t="n"/>
      <c r="J866" s="148" t="n"/>
      <c r="K866" s="148" t="n"/>
      <c r="L866" s="148" t="n"/>
      <c r="M866" s="148" t="n"/>
      <c r="N866" s="148" t="n"/>
      <c r="O866" s="148" t="n"/>
      <c r="P866" s="148" t="n"/>
      <c r="Q866" s="148" t="n"/>
      <c r="R866" s="148" t="n"/>
      <c r="S866" s="148" t="n"/>
      <c r="T866" s="148" t="n"/>
      <c r="U866" s="149">
        <f>IF(AND('Master Stock'!D866&lt;&gt;"",'Master Stock'!H866="OCCUPIED",ISNUMBER('Master Stock'!J866),'Master Stock'!K866=""),SUMPRODUCT(--('Master Stock'!$D$2:$D$1000&lt;&gt;""),--('Master Stock'!$H$2:$H$1000="OCCUPIED"),--ISNUMBER('Master Stock'!$J$2:$J$1000),--('Master Stock'!$K$2:$K$1000=""),--('Master Stock'!$J$2:$J$1000&lt;'Master Stock'!J866))+COUNTIFS('Master Stock'!$J$2:J866,'Master Stock'!J866,'Master Stock'!$D$2:D866,"&lt;&gt;",'Master Stock'!$H$2:H866,"OCCUPIED",'Master Stock'!$K$2:K866,""),"")</f>
        <v/>
      </c>
      <c r="V866" s="149">
        <f>IF(AND('Master Stock'!D866&lt;&gt;"",'Master Stock'!H866="OCCUPIED",ISNUMBER('Master Stock'!L866),'Master Stock'!L866&lt;TODAY()-30),SUMPRODUCT(--('Master Stock'!$D$2:$D$1000&lt;&gt;""),--('Master Stock'!$H$2:$H$1000="OCCUPIED"),--ISNUMBER('Master Stock'!$L$2:$L$1000),--('Master Stock'!$L$2:$L$1000&lt;TODAY()-30),--('Master Stock'!$L$2:$L$1000&lt;'Master Stock'!L866))+COUNTIFS('Master Stock'!$L$2:L866,'Master Stock'!L866,'Master Stock'!$D$2:D866,"&lt;&gt;",'Master Stock'!$H$2:H866,"OCCUPIED"),"")</f>
        <v/>
      </c>
      <c r="W866" s="149" t="n"/>
      <c r="X866" s="149" t="n"/>
      <c r="Y866" s="149" t="n"/>
      <c r="Z866" s="149" t="n"/>
    </row>
    <row r="867" ht="15.75" customHeight="1" s="236">
      <c r="A867" s="148" t="n"/>
      <c r="B867" s="148" t="n"/>
      <c r="C867" s="124" t="n"/>
      <c r="D867" s="148" t="n"/>
      <c r="E867" s="148" t="n"/>
      <c r="F867" s="148" t="n"/>
      <c r="G867" s="124" t="n"/>
      <c r="H867" s="148" t="n"/>
      <c r="I867" s="148" t="n"/>
      <c r="J867" s="148" t="n"/>
      <c r="K867" s="148" t="n"/>
      <c r="L867" s="148" t="n"/>
      <c r="M867" s="148" t="n"/>
      <c r="N867" s="148" t="n"/>
      <c r="O867" s="148" t="n"/>
      <c r="P867" s="148" t="n"/>
      <c r="Q867" s="148" t="n"/>
      <c r="R867" s="148" t="n"/>
      <c r="S867" s="148" t="n"/>
      <c r="T867" s="148" t="n"/>
      <c r="U867" s="149">
        <f>IF(AND('Master Stock'!D867&lt;&gt;"",'Master Stock'!H867="OCCUPIED",ISNUMBER('Master Stock'!J867),'Master Stock'!K867=""),SUMPRODUCT(--('Master Stock'!$D$2:$D$1000&lt;&gt;""),--('Master Stock'!$H$2:$H$1000="OCCUPIED"),--ISNUMBER('Master Stock'!$J$2:$J$1000),--('Master Stock'!$K$2:$K$1000=""),--('Master Stock'!$J$2:$J$1000&lt;'Master Stock'!J867))+COUNTIFS('Master Stock'!$J$2:J867,'Master Stock'!J867,'Master Stock'!$D$2:D867,"&lt;&gt;",'Master Stock'!$H$2:H867,"OCCUPIED",'Master Stock'!$K$2:K867,""),"")</f>
        <v/>
      </c>
      <c r="V867" s="149">
        <f>IF(AND('Master Stock'!D867&lt;&gt;"",'Master Stock'!H867="OCCUPIED",ISNUMBER('Master Stock'!L867),'Master Stock'!L867&lt;TODAY()-30),SUMPRODUCT(--('Master Stock'!$D$2:$D$1000&lt;&gt;""),--('Master Stock'!$H$2:$H$1000="OCCUPIED"),--ISNUMBER('Master Stock'!$L$2:$L$1000),--('Master Stock'!$L$2:$L$1000&lt;TODAY()-30),--('Master Stock'!$L$2:$L$1000&lt;'Master Stock'!L867))+COUNTIFS('Master Stock'!$L$2:L867,'Master Stock'!L867,'Master Stock'!$D$2:D867,"&lt;&gt;",'Master Stock'!$H$2:H867,"OCCUPIED"),"")</f>
        <v/>
      </c>
      <c r="W867" s="149" t="n"/>
      <c r="X867" s="149" t="n"/>
      <c r="Y867" s="149" t="n"/>
      <c r="Z867" s="149" t="n"/>
    </row>
    <row r="868" ht="15.75" customHeight="1" s="236">
      <c r="A868" s="148" t="n"/>
      <c r="B868" s="148" t="n"/>
      <c r="C868" s="124" t="n"/>
      <c r="D868" s="148" t="n"/>
      <c r="E868" s="148" t="n"/>
      <c r="F868" s="148" t="n"/>
      <c r="G868" s="124" t="n"/>
      <c r="H868" s="148" t="n"/>
      <c r="I868" s="148" t="n"/>
      <c r="J868" s="148" t="n"/>
      <c r="K868" s="148" t="n"/>
      <c r="L868" s="148" t="n"/>
      <c r="M868" s="148" t="n"/>
      <c r="N868" s="148" t="n"/>
      <c r="O868" s="148" t="n"/>
      <c r="P868" s="148" t="n"/>
      <c r="Q868" s="148" t="n"/>
      <c r="R868" s="148" t="n"/>
      <c r="S868" s="148" t="n"/>
      <c r="T868" s="148" t="n"/>
      <c r="U868" s="149">
        <f>IF(AND('Master Stock'!D868&lt;&gt;"",'Master Stock'!H868="OCCUPIED",ISNUMBER('Master Stock'!J868),'Master Stock'!K868=""),SUMPRODUCT(--('Master Stock'!$D$2:$D$1000&lt;&gt;""),--('Master Stock'!$H$2:$H$1000="OCCUPIED"),--ISNUMBER('Master Stock'!$J$2:$J$1000),--('Master Stock'!$K$2:$K$1000=""),--('Master Stock'!$J$2:$J$1000&lt;'Master Stock'!J868))+COUNTIFS('Master Stock'!$J$2:J868,'Master Stock'!J868,'Master Stock'!$D$2:D868,"&lt;&gt;",'Master Stock'!$H$2:H868,"OCCUPIED",'Master Stock'!$K$2:K868,""),"")</f>
        <v/>
      </c>
      <c r="V868" s="149">
        <f>IF(AND('Master Stock'!D868&lt;&gt;"",'Master Stock'!H868="OCCUPIED",ISNUMBER('Master Stock'!L868),'Master Stock'!L868&lt;TODAY()-30),SUMPRODUCT(--('Master Stock'!$D$2:$D$1000&lt;&gt;""),--('Master Stock'!$H$2:$H$1000="OCCUPIED"),--ISNUMBER('Master Stock'!$L$2:$L$1000),--('Master Stock'!$L$2:$L$1000&lt;TODAY()-30),--('Master Stock'!$L$2:$L$1000&lt;'Master Stock'!L868))+COUNTIFS('Master Stock'!$L$2:L868,'Master Stock'!L868,'Master Stock'!$D$2:D868,"&lt;&gt;",'Master Stock'!$H$2:H868,"OCCUPIED"),"")</f>
        <v/>
      </c>
      <c r="W868" s="149" t="n"/>
      <c r="X868" s="149" t="n"/>
      <c r="Y868" s="149" t="n"/>
      <c r="Z868" s="149" t="n"/>
    </row>
    <row r="869" ht="15.75" customHeight="1" s="236">
      <c r="A869" s="148" t="n"/>
      <c r="B869" s="148" t="n"/>
      <c r="C869" s="124" t="n"/>
      <c r="D869" s="148" t="n"/>
      <c r="E869" s="148" t="n"/>
      <c r="F869" s="148" t="n"/>
      <c r="G869" s="124" t="n"/>
      <c r="H869" s="148" t="n"/>
      <c r="I869" s="148" t="n"/>
      <c r="J869" s="148" t="n"/>
      <c r="K869" s="148" t="n"/>
      <c r="L869" s="148" t="n"/>
      <c r="M869" s="148" t="n"/>
      <c r="N869" s="148" t="n"/>
      <c r="O869" s="148" t="n"/>
      <c r="P869" s="148" t="n"/>
      <c r="Q869" s="148" t="n"/>
      <c r="R869" s="148" t="n"/>
      <c r="S869" s="148" t="n"/>
      <c r="T869" s="148" t="n"/>
      <c r="U869" s="149">
        <f>IF(AND('Master Stock'!D869&lt;&gt;"",'Master Stock'!H869="OCCUPIED",ISNUMBER('Master Stock'!J869),'Master Stock'!K869=""),SUMPRODUCT(--('Master Stock'!$D$2:$D$1000&lt;&gt;""),--('Master Stock'!$H$2:$H$1000="OCCUPIED"),--ISNUMBER('Master Stock'!$J$2:$J$1000),--('Master Stock'!$K$2:$K$1000=""),--('Master Stock'!$J$2:$J$1000&lt;'Master Stock'!J869))+COUNTIFS('Master Stock'!$J$2:J869,'Master Stock'!J869,'Master Stock'!$D$2:D869,"&lt;&gt;",'Master Stock'!$H$2:H869,"OCCUPIED",'Master Stock'!$K$2:K869,""),"")</f>
        <v/>
      </c>
      <c r="V869" s="149">
        <f>IF(AND('Master Stock'!D869&lt;&gt;"",'Master Stock'!H869="OCCUPIED",ISNUMBER('Master Stock'!L869),'Master Stock'!L869&lt;TODAY()-30),SUMPRODUCT(--('Master Stock'!$D$2:$D$1000&lt;&gt;""),--('Master Stock'!$H$2:$H$1000="OCCUPIED"),--ISNUMBER('Master Stock'!$L$2:$L$1000),--('Master Stock'!$L$2:$L$1000&lt;TODAY()-30),--('Master Stock'!$L$2:$L$1000&lt;'Master Stock'!L869))+COUNTIFS('Master Stock'!$L$2:L869,'Master Stock'!L869,'Master Stock'!$D$2:D869,"&lt;&gt;",'Master Stock'!$H$2:H869,"OCCUPIED"),"")</f>
        <v/>
      </c>
      <c r="W869" s="149" t="n"/>
      <c r="X869" s="149" t="n"/>
      <c r="Y869" s="149" t="n"/>
      <c r="Z869" s="149" t="n"/>
    </row>
    <row r="870" ht="15.75" customHeight="1" s="236">
      <c r="A870" s="148" t="n"/>
      <c r="B870" s="148" t="n"/>
      <c r="C870" s="124" t="n"/>
      <c r="D870" s="148" t="n"/>
      <c r="E870" s="148" t="n"/>
      <c r="F870" s="148" t="n"/>
      <c r="G870" s="124" t="n"/>
      <c r="H870" s="148" t="n"/>
      <c r="I870" s="148" t="n"/>
      <c r="J870" s="148" t="n"/>
      <c r="K870" s="148" t="n"/>
      <c r="L870" s="148" t="n"/>
      <c r="M870" s="148" t="n"/>
      <c r="N870" s="148" t="n"/>
      <c r="O870" s="148" t="n"/>
      <c r="P870" s="148" t="n"/>
      <c r="Q870" s="148" t="n"/>
      <c r="R870" s="148" t="n"/>
      <c r="S870" s="148" t="n"/>
      <c r="T870" s="148" t="n"/>
      <c r="U870" s="149">
        <f>IF(AND('Master Stock'!D870&lt;&gt;"",'Master Stock'!H870="OCCUPIED",ISNUMBER('Master Stock'!J870),'Master Stock'!K870=""),SUMPRODUCT(--('Master Stock'!$D$2:$D$1000&lt;&gt;""),--('Master Stock'!$H$2:$H$1000="OCCUPIED"),--ISNUMBER('Master Stock'!$J$2:$J$1000),--('Master Stock'!$K$2:$K$1000=""),--('Master Stock'!$J$2:$J$1000&lt;'Master Stock'!J870))+COUNTIFS('Master Stock'!$J$2:J870,'Master Stock'!J870,'Master Stock'!$D$2:D870,"&lt;&gt;",'Master Stock'!$H$2:H870,"OCCUPIED",'Master Stock'!$K$2:K870,""),"")</f>
        <v/>
      </c>
      <c r="V870" s="149">
        <f>IF(AND('Master Stock'!D870&lt;&gt;"",'Master Stock'!H870="OCCUPIED",ISNUMBER('Master Stock'!L870),'Master Stock'!L870&lt;TODAY()-30),SUMPRODUCT(--('Master Stock'!$D$2:$D$1000&lt;&gt;""),--('Master Stock'!$H$2:$H$1000="OCCUPIED"),--ISNUMBER('Master Stock'!$L$2:$L$1000),--('Master Stock'!$L$2:$L$1000&lt;TODAY()-30),--('Master Stock'!$L$2:$L$1000&lt;'Master Stock'!L870))+COUNTIFS('Master Stock'!$L$2:L870,'Master Stock'!L870,'Master Stock'!$D$2:D870,"&lt;&gt;",'Master Stock'!$H$2:H870,"OCCUPIED"),"")</f>
        <v/>
      </c>
      <c r="W870" s="149" t="n"/>
      <c r="X870" s="149" t="n"/>
      <c r="Y870" s="149" t="n"/>
      <c r="Z870" s="149" t="n"/>
    </row>
    <row r="871" ht="15.75" customHeight="1" s="236">
      <c r="A871" s="148" t="n"/>
      <c r="B871" s="148" t="n"/>
      <c r="C871" s="124" t="n"/>
      <c r="D871" s="148" t="n"/>
      <c r="E871" s="148" t="n"/>
      <c r="F871" s="148" t="n"/>
      <c r="G871" s="124" t="n"/>
      <c r="H871" s="148" t="n"/>
      <c r="I871" s="148" t="n"/>
      <c r="J871" s="148" t="n"/>
      <c r="K871" s="148" t="n"/>
      <c r="L871" s="148" t="n"/>
      <c r="M871" s="148" t="n"/>
      <c r="N871" s="148" t="n"/>
      <c r="O871" s="148" t="n"/>
      <c r="P871" s="148" t="n"/>
      <c r="Q871" s="148" t="n"/>
      <c r="R871" s="148" t="n"/>
      <c r="S871" s="148" t="n"/>
      <c r="T871" s="148" t="n"/>
      <c r="U871" s="149">
        <f>IF(AND('Master Stock'!D871&lt;&gt;"",'Master Stock'!H871="OCCUPIED",ISNUMBER('Master Stock'!J871),'Master Stock'!K871=""),SUMPRODUCT(--('Master Stock'!$D$2:$D$1000&lt;&gt;""),--('Master Stock'!$H$2:$H$1000="OCCUPIED"),--ISNUMBER('Master Stock'!$J$2:$J$1000),--('Master Stock'!$K$2:$K$1000=""),--('Master Stock'!$J$2:$J$1000&lt;'Master Stock'!J871))+COUNTIFS('Master Stock'!$J$2:J871,'Master Stock'!J871,'Master Stock'!$D$2:D871,"&lt;&gt;",'Master Stock'!$H$2:H871,"OCCUPIED",'Master Stock'!$K$2:K871,""),"")</f>
        <v/>
      </c>
      <c r="V871" s="149">
        <f>IF(AND('Master Stock'!D871&lt;&gt;"",'Master Stock'!H871="OCCUPIED",ISNUMBER('Master Stock'!L871),'Master Stock'!L871&lt;TODAY()-30),SUMPRODUCT(--('Master Stock'!$D$2:$D$1000&lt;&gt;""),--('Master Stock'!$H$2:$H$1000="OCCUPIED"),--ISNUMBER('Master Stock'!$L$2:$L$1000),--('Master Stock'!$L$2:$L$1000&lt;TODAY()-30),--('Master Stock'!$L$2:$L$1000&lt;'Master Stock'!L871))+COUNTIFS('Master Stock'!$L$2:L871,'Master Stock'!L871,'Master Stock'!$D$2:D871,"&lt;&gt;",'Master Stock'!$H$2:H871,"OCCUPIED"),"")</f>
        <v/>
      </c>
      <c r="W871" s="149" t="n"/>
      <c r="X871" s="149" t="n"/>
      <c r="Y871" s="149" t="n"/>
      <c r="Z871" s="149" t="n"/>
    </row>
    <row r="872" ht="15.75" customHeight="1" s="236">
      <c r="A872" s="148" t="n"/>
      <c r="B872" s="148" t="n"/>
      <c r="C872" s="124" t="n"/>
      <c r="D872" s="148" t="n"/>
      <c r="E872" s="148" t="n"/>
      <c r="F872" s="148" t="n"/>
      <c r="G872" s="124" t="n"/>
      <c r="H872" s="148" t="n"/>
      <c r="I872" s="148" t="n"/>
      <c r="J872" s="148" t="n"/>
      <c r="K872" s="148" t="n"/>
      <c r="L872" s="148" t="n"/>
      <c r="M872" s="148" t="n"/>
      <c r="N872" s="148" t="n"/>
      <c r="O872" s="148" t="n"/>
      <c r="P872" s="148" t="n"/>
      <c r="Q872" s="148" t="n"/>
      <c r="R872" s="148" t="n"/>
      <c r="S872" s="148" t="n"/>
      <c r="T872" s="148" t="n"/>
      <c r="U872" s="149">
        <f>IF(AND('Master Stock'!D872&lt;&gt;"",'Master Stock'!H872="OCCUPIED",ISNUMBER('Master Stock'!J872),'Master Stock'!K872=""),SUMPRODUCT(--('Master Stock'!$D$2:$D$1000&lt;&gt;""),--('Master Stock'!$H$2:$H$1000="OCCUPIED"),--ISNUMBER('Master Stock'!$J$2:$J$1000),--('Master Stock'!$K$2:$K$1000=""),--('Master Stock'!$J$2:$J$1000&lt;'Master Stock'!J872))+COUNTIFS('Master Stock'!$J$2:J872,'Master Stock'!J872,'Master Stock'!$D$2:D872,"&lt;&gt;",'Master Stock'!$H$2:H872,"OCCUPIED",'Master Stock'!$K$2:K872,""),"")</f>
        <v/>
      </c>
      <c r="V872" s="149">
        <f>IF(AND('Master Stock'!D872&lt;&gt;"",'Master Stock'!H872="OCCUPIED",ISNUMBER('Master Stock'!L872),'Master Stock'!L872&lt;TODAY()-30),SUMPRODUCT(--('Master Stock'!$D$2:$D$1000&lt;&gt;""),--('Master Stock'!$H$2:$H$1000="OCCUPIED"),--ISNUMBER('Master Stock'!$L$2:$L$1000),--('Master Stock'!$L$2:$L$1000&lt;TODAY()-30),--('Master Stock'!$L$2:$L$1000&lt;'Master Stock'!L872))+COUNTIFS('Master Stock'!$L$2:L872,'Master Stock'!L872,'Master Stock'!$D$2:D872,"&lt;&gt;",'Master Stock'!$H$2:H872,"OCCUPIED"),"")</f>
        <v/>
      </c>
      <c r="W872" s="149" t="n"/>
      <c r="X872" s="149" t="n"/>
      <c r="Y872" s="149" t="n"/>
      <c r="Z872" s="149" t="n"/>
    </row>
    <row r="873" ht="15.75" customHeight="1" s="236">
      <c r="A873" s="148" t="n"/>
      <c r="B873" s="148" t="n"/>
      <c r="C873" s="124" t="n"/>
      <c r="D873" s="148" t="n"/>
      <c r="E873" s="148" t="n"/>
      <c r="F873" s="148" t="n"/>
      <c r="G873" s="124" t="n"/>
      <c r="H873" s="148" t="n"/>
      <c r="I873" s="148" t="n"/>
      <c r="J873" s="148" t="n"/>
      <c r="K873" s="148" t="n"/>
      <c r="L873" s="148" t="n"/>
      <c r="M873" s="148" t="n"/>
      <c r="N873" s="148" t="n"/>
      <c r="O873" s="148" t="n"/>
      <c r="P873" s="148" t="n"/>
      <c r="Q873" s="148" t="n"/>
      <c r="R873" s="148" t="n"/>
      <c r="S873" s="148" t="n"/>
      <c r="T873" s="148" t="n"/>
      <c r="U873" s="149">
        <f>IF(AND('Master Stock'!D873&lt;&gt;"",'Master Stock'!H873="OCCUPIED",ISNUMBER('Master Stock'!J873),'Master Stock'!K873=""),SUMPRODUCT(--('Master Stock'!$D$2:$D$1000&lt;&gt;""),--('Master Stock'!$H$2:$H$1000="OCCUPIED"),--ISNUMBER('Master Stock'!$J$2:$J$1000),--('Master Stock'!$K$2:$K$1000=""),--('Master Stock'!$J$2:$J$1000&lt;'Master Stock'!J873))+COUNTIFS('Master Stock'!$J$2:J873,'Master Stock'!J873,'Master Stock'!$D$2:D873,"&lt;&gt;",'Master Stock'!$H$2:H873,"OCCUPIED",'Master Stock'!$K$2:K873,""),"")</f>
        <v/>
      </c>
      <c r="V873" s="149">
        <f>IF(AND('Master Stock'!D873&lt;&gt;"",'Master Stock'!H873="OCCUPIED",ISNUMBER('Master Stock'!L873),'Master Stock'!L873&lt;TODAY()-30),SUMPRODUCT(--('Master Stock'!$D$2:$D$1000&lt;&gt;""),--('Master Stock'!$H$2:$H$1000="OCCUPIED"),--ISNUMBER('Master Stock'!$L$2:$L$1000),--('Master Stock'!$L$2:$L$1000&lt;TODAY()-30),--('Master Stock'!$L$2:$L$1000&lt;'Master Stock'!L873))+COUNTIFS('Master Stock'!$L$2:L873,'Master Stock'!L873,'Master Stock'!$D$2:D873,"&lt;&gt;",'Master Stock'!$H$2:H873,"OCCUPIED"),"")</f>
        <v/>
      </c>
      <c r="W873" s="149" t="n"/>
      <c r="X873" s="149" t="n"/>
      <c r="Y873" s="149" t="n"/>
      <c r="Z873" s="149" t="n"/>
    </row>
    <row r="874" ht="15.75" customHeight="1" s="236">
      <c r="A874" s="148" t="n"/>
      <c r="B874" s="148" t="n"/>
      <c r="C874" s="124" t="n"/>
      <c r="D874" s="148" t="n"/>
      <c r="E874" s="148" t="n"/>
      <c r="F874" s="148" t="n"/>
      <c r="G874" s="124" t="n"/>
      <c r="H874" s="148" t="n"/>
      <c r="I874" s="148" t="n"/>
      <c r="J874" s="148" t="n"/>
      <c r="K874" s="148" t="n"/>
      <c r="L874" s="148" t="n"/>
      <c r="M874" s="148" t="n"/>
      <c r="N874" s="148" t="n"/>
      <c r="O874" s="148" t="n"/>
      <c r="P874" s="148" t="n"/>
      <c r="Q874" s="148" t="n"/>
      <c r="R874" s="148" t="n"/>
      <c r="S874" s="148" t="n"/>
      <c r="T874" s="148" t="n"/>
      <c r="U874" s="149">
        <f>IF(AND('Master Stock'!D874&lt;&gt;"",'Master Stock'!H874="OCCUPIED",ISNUMBER('Master Stock'!J874),'Master Stock'!K874=""),SUMPRODUCT(--('Master Stock'!$D$2:$D$1000&lt;&gt;""),--('Master Stock'!$H$2:$H$1000="OCCUPIED"),--ISNUMBER('Master Stock'!$J$2:$J$1000),--('Master Stock'!$K$2:$K$1000=""),--('Master Stock'!$J$2:$J$1000&lt;'Master Stock'!J874))+COUNTIFS('Master Stock'!$J$2:J874,'Master Stock'!J874,'Master Stock'!$D$2:D874,"&lt;&gt;",'Master Stock'!$H$2:H874,"OCCUPIED",'Master Stock'!$K$2:K874,""),"")</f>
        <v/>
      </c>
      <c r="V874" s="149">
        <f>IF(AND('Master Stock'!D874&lt;&gt;"",'Master Stock'!H874="OCCUPIED",ISNUMBER('Master Stock'!L874),'Master Stock'!L874&lt;TODAY()-30),SUMPRODUCT(--('Master Stock'!$D$2:$D$1000&lt;&gt;""),--('Master Stock'!$H$2:$H$1000="OCCUPIED"),--ISNUMBER('Master Stock'!$L$2:$L$1000),--('Master Stock'!$L$2:$L$1000&lt;TODAY()-30),--('Master Stock'!$L$2:$L$1000&lt;'Master Stock'!L874))+COUNTIFS('Master Stock'!$L$2:L874,'Master Stock'!L874,'Master Stock'!$D$2:D874,"&lt;&gt;",'Master Stock'!$H$2:H874,"OCCUPIED"),"")</f>
        <v/>
      </c>
      <c r="W874" s="149" t="n"/>
      <c r="X874" s="149" t="n"/>
      <c r="Y874" s="149" t="n"/>
      <c r="Z874" s="149" t="n"/>
    </row>
    <row r="875" ht="15.75" customHeight="1" s="236">
      <c r="A875" s="148" t="n"/>
      <c r="B875" s="148" t="n"/>
      <c r="C875" s="124" t="n"/>
      <c r="D875" s="148" t="n"/>
      <c r="E875" s="148" t="n"/>
      <c r="F875" s="148" t="n"/>
      <c r="G875" s="124" t="n"/>
      <c r="H875" s="148" t="n"/>
      <c r="I875" s="148" t="n"/>
      <c r="J875" s="148" t="n"/>
      <c r="K875" s="148" t="n"/>
      <c r="L875" s="148" t="n"/>
      <c r="M875" s="148" t="n"/>
      <c r="N875" s="148" t="n"/>
      <c r="O875" s="148" t="n"/>
      <c r="P875" s="148" t="n"/>
      <c r="Q875" s="148" t="n"/>
      <c r="R875" s="148" t="n"/>
      <c r="S875" s="148" t="n"/>
      <c r="T875" s="148" t="n"/>
      <c r="U875" s="149">
        <f>IF(AND('Master Stock'!D875&lt;&gt;"",'Master Stock'!H875="OCCUPIED",ISNUMBER('Master Stock'!J875),'Master Stock'!K875=""),SUMPRODUCT(--('Master Stock'!$D$2:$D$1000&lt;&gt;""),--('Master Stock'!$H$2:$H$1000="OCCUPIED"),--ISNUMBER('Master Stock'!$J$2:$J$1000),--('Master Stock'!$K$2:$K$1000=""),--('Master Stock'!$J$2:$J$1000&lt;'Master Stock'!J875))+COUNTIFS('Master Stock'!$J$2:J875,'Master Stock'!J875,'Master Stock'!$D$2:D875,"&lt;&gt;",'Master Stock'!$H$2:H875,"OCCUPIED",'Master Stock'!$K$2:K875,""),"")</f>
        <v/>
      </c>
      <c r="V875" s="149">
        <f>IF(AND('Master Stock'!D875&lt;&gt;"",'Master Stock'!H875="OCCUPIED",ISNUMBER('Master Stock'!L875),'Master Stock'!L875&lt;TODAY()-30),SUMPRODUCT(--('Master Stock'!$D$2:$D$1000&lt;&gt;""),--('Master Stock'!$H$2:$H$1000="OCCUPIED"),--ISNUMBER('Master Stock'!$L$2:$L$1000),--('Master Stock'!$L$2:$L$1000&lt;TODAY()-30),--('Master Stock'!$L$2:$L$1000&lt;'Master Stock'!L875))+COUNTIFS('Master Stock'!$L$2:L875,'Master Stock'!L875,'Master Stock'!$D$2:D875,"&lt;&gt;",'Master Stock'!$H$2:H875,"OCCUPIED"),"")</f>
        <v/>
      </c>
      <c r="W875" s="149" t="n"/>
      <c r="X875" s="149" t="n"/>
      <c r="Y875" s="149" t="n"/>
      <c r="Z875" s="149" t="n"/>
    </row>
    <row r="876" ht="15.75" customHeight="1" s="236">
      <c r="A876" s="148" t="n"/>
      <c r="B876" s="148" t="n"/>
      <c r="C876" s="124" t="n"/>
      <c r="D876" s="148" t="n"/>
      <c r="E876" s="148" t="n"/>
      <c r="F876" s="148" t="n"/>
      <c r="G876" s="124" t="n"/>
      <c r="H876" s="148" t="n"/>
      <c r="I876" s="148" t="n"/>
      <c r="J876" s="148" t="n"/>
      <c r="K876" s="148" t="n"/>
      <c r="L876" s="148" t="n"/>
      <c r="M876" s="148" t="n"/>
      <c r="N876" s="148" t="n"/>
      <c r="O876" s="148" t="n"/>
      <c r="P876" s="148" t="n"/>
      <c r="Q876" s="148" t="n"/>
      <c r="R876" s="148" t="n"/>
      <c r="S876" s="148" t="n"/>
      <c r="T876" s="148" t="n"/>
      <c r="U876" s="149">
        <f>IF(AND('Master Stock'!D876&lt;&gt;"",'Master Stock'!H876="OCCUPIED",ISNUMBER('Master Stock'!J876),'Master Stock'!K876=""),SUMPRODUCT(--('Master Stock'!$D$2:$D$1000&lt;&gt;""),--('Master Stock'!$H$2:$H$1000="OCCUPIED"),--ISNUMBER('Master Stock'!$J$2:$J$1000),--('Master Stock'!$K$2:$K$1000=""),--('Master Stock'!$J$2:$J$1000&lt;'Master Stock'!J876))+COUNTIFS('Master Stock'!$J$2:J876,'Master Stock'!J876,'Master Stock'!$D$2:D876,"&lt;&gt;",'Master Stock'!$H$2:H876,"OCCUPIED",'Master Stock'!$K$2:K876,""),"")</f>
        <v/>
      </c>
      <c r="V876" s="149">
        <f>IF(AND('Master Stock'!D876&lt;&gt;"",'Master Stock'!H876="OCCUPIED",ISNUMBER('Master Stock'!L876),'Master Stock'!L876&lt;TODAY()-30),SUMPRODUCT(--('Master Stock'!$D$2:$D$1000&lt;&gt;""),--('Master Stock'!$H$2:$H$1000="OCCUPIED"),--ISNUMBER('Master Stock'!$L$2:$L$1000),--('Master Stock'!$L$2:$L$1000&lt;TODAY()-30),--('Master Stock'!$L$2:$L$1000&lt;'Master Stock'!L876))+COUNTIFS('Master Stock'!$L$2:L876,'Master Stock'!L876,'Master Stock'!$D$2:D876,"&lt;&gt;",'Master Stock'!$H$2:H876,"OCCUPIED"),"")</f>
        <v/>
      </c>
      <c r="W876" s="149" t="n"/>
      <c r="X876" s="149" t="n"/>
      <c r="Y876" s="149" t="n"/>
      <c r="Z876" s="149" t="n"/>
    </row>
    <row r="877" ht="15.75" customHeight="1" s="236">
      <c r="A877" s="148" t="n"/>
      <c r="B877" s="148" t="n"/>
      <c r="C877" s="124" t="n"/>
      <c r="D877" s="148" t="n"/>
      <c r="E877" s="148" t="n"/>
      <c r="F877" s="148" t="n"/>
      <c r="G877" s="124" t="n"/>
      <c r="H877" s="148" t="n"/>
      <c r="I877" s="148" t="n"/>
      <c r="J877" s="148" t="n"/>
      <c r="K877" s="148" t="n"/>
      <c r="L877" s="148" t="n"/>
      <c r="M877" s="148" t="n"/>
      <c r="N877" s="148" t="n"/>
      <c r="O877" s="148" t="n"/>
      <c r="P877" s="148" t="n"/>
      <c r="Q877" s="148" t="n"/>
      <c r="R877" s="148" t="n"/>
      <c r="S877" s="148" t="n"/>
      <c r="T877" s="148" t="n"/>
      <c r="U877" s="149">
        <f>IF(AND('Master Stock'!D877&lt;&gt;"",'Master Stock'!H877="OCCUPIED",ISNUMBER('Master Stock'!J877),'Master Stock'!K877=""),SUMPRODUCT(--('Master Stock'!$D$2:$D$1000&lt;&gt;""),--('Master Stock'!$H$2:$H$1000="OCCUPIED"),--ISNUMBER('Master Stock'!$J$2:$J$1000),--('Master Stock'!$K$2:$K$1000=""),--('Master Stock'!$J$2:$J$1000&lt;'Master Stock'!J877))+COUNTIFS('Master Stock'!$J$2:J877,'Master Stock'!J877,'Master Stock'!$D$2:D877,"&lt;&gt;",'Master Stock'!$H$2:H877,"OCCUPIED",'Master Stock'!$K$2:K877,""),"")</f>
        <v/>
      </c>
      <c r="V877" s="149">
        <f>IF(AND('Master Stock'!D877&lt;&gt;"",'Master Stock'!H877="OCCUPIED",ISNUMBER('Master Stock'!L877),'Master Stock'!L877&lt;TODAY()-30),SUMPRODUCT(--('Master Stock'!$D$2:$D$1000&lt;&gt;""),--('Master Stock'!$H$2:$H$1000="OCCUPIED"),--ISNUMBER('Master Stock'!$L$2:$L$1000),--('Master Stock'!$L$2:$L$1000&lt;TODAY()-30),--('Master Stock'!$L$2:$L$1000&lt;'Master Stock'!L877))+COUNTIFS('Master Stock'!$L$2:L877,'Master Stock'!L877,'Master Stock'!$D$2:D877,"&lt;&gt;",'Master Stock'!$H$2:H877,"OCCUPIED"),"")</f>
        <v/>
      </c>
      <c r="W877" s="149" t="n"/>
      <c r="X877" s="149" t="n"/>
      <c r="Y877" s="149" t="n"/>
      <c r="Z877" s="149" t="n"/>
    </row>
    <row r="878" ht="15.75" customHeight="1" s="236">
      <c r="A878" s="148" t="n"/>
      <c r="B878" s="148" t="n"/>
      <c r="C878" s="124" t="n"/>
      <c r="D878" s="148" t="n"/>
      <c r="E878" s="148" t="n"/>
      <c r="F878" s="148" t="n"/>
      <c r="G878" s="124" t="n"/>
      <c r="H878" s="148" t="n"/>
      <c r="I878" s="148" t="n"/>
      <c r="J878" s="148" t="n"/>
      <c r="K878" s="148" t="n"/>
      <c r="L878" s="148" t="n"/>
      <c r="M878" s="148" t="n"/>
      <c r="N878" s="148" t="n"/>
      <c r="O878" s="148" t="n"/>
      <c r="P878" s="148" t="n"/>
      <c r="Q878" s="148" t="n"/>
      <c r="R878" s="148" t="n"/>
      <c r="S878" s="148" t="n"/>
      <c r="T878" s="148" t="n"/>
      <c r="U878" s="149">
        <f>IF(AND('Master Stock'!D878&lt;&gt;"",'Master Stock'!H878="OCCUPIED",ISNUMBER('Master Stock'!J878),'Master Stock'!K878=""),SUMPRODUCT(--('Master Stock'!$D$2:$D$1000&lt;&gt;""),--('Master Stock'!$H$2:$H$1000="OCCUPIED"),--ISNUMBER('Master Stock'!$J$2:$J$1000),--('Master Stock'!$K$2:$K$1000=""),--('Master Stock'!$J$2:$J$1000&lt;'Master Stock'!J878))+COUNTIFS('Master Stock'!$J$2:J878,'Master Stock'!J878,'Master Stock'!$D$2:D878,"&lt;&gt;",'Master Stock'!$H$2:H878,"OCCUPIED",'Master Stock'!$K$2:K878,""),"")</f>
        <v/>
      </c>
      <c r="V878" s="149">
        <f>IF(AND('Master Stock'!D878&lt;&gt;"",'Master Stock'!H878="OCCUPIED",ISNUMBER('Master Stock'!L878),'Master Stock'!L878&lt;TODAY()-30),SUMPRODUCT(--('Master Stock'!$D$2:$D$1000&lt;&gt;""),--('Master Stock'!$H$2:$H$1000="OCCUPIED"),--ISNUMBER('Master Stock'!$L$2:$L$1000),--('Master Stock'!$L$2:$L$1000&lt;TODAY()-30),--('Master Stock'!$L$2:$L$1000&lt;'Master Stock'!L878))+COUNTIFS('Master Stock'!$L$2:L878,'Master Stock'!L878,'Master Stock'!$D$2:D878,"&lt;&gt;",'Master Stock'!$H$2:H878,"OCCUPIED"),"")</f>
        <v/>
      </c>
      <c r="W878" s="149" t="n"/>
      <c r="X878" s="149" t="n"/>
      <c r="Y878" s="149" t="n"/>
      <c r="Z878" s="149" t="n"/>
    </row>
    <row r="879" ht="15.75" customHeight="1" s="236">
      <c r="A879" s="148" t="n"/>
      <c r="B879" s="148" t="n"/>
      <c r="C879" s="124" t="n"/>
      <c r="D879" s="148" t="n"/>
      <c r="E879" s="148" t="n"/>
      <c r="F879" s="148" t="n"/>
      <c r="G879" s="124" t="n"/>
      <c r="H879" s="148" t="n"/>
      <c r="I879" s="148" t="n"/>
      <c r="J879" s="148" t="n"/>
      <c r="K879" s="148" t="n"/>
      <c r="L879" s="148" t="n"/>
      <c r="M879" s="148" t="n"/>
      <c r="N879" s="148" t="n"/>
      <c r="O879" s="148" t="n"/>
      <c r="P879" s="148" t="n"/>
      <c r="Q879" s="148" t="n"/>
      <c r="R879" s="148" t="n"/>
      <c r="S879" s="148" t="n"/>
      <c r="T879" s="148" t="n"/>
      <c r="U879" s="149">
        <f>IF(AND('Master Stock'!D879&lt;&gt;"",'Master Stock'!H879="OCCUPIED",ISNUMBER('Master Stock'!J879),'Master Stock'!K879=""),SUMPRODUCT(--('Master Stock'!$D$2:$D$1000&lt;&gt;""),--('Master Stock'!$H$2:$H$1000="OCCUPIED"),--ISNUMBER('Master Stock'!$J$2:$J$1000),--('Master Stock'!$K$2:$K$1000=""),--('Master Stock'!$J$2:$J$1000&lt;'Master Stock'!J879))+COUNTIFS('Master Stock'!$J$2:J879,'Master Stock'!J879,'Master Stock'!$D$2:D879,"&lt;&gt;",'Master Stock'!$H$2:H879,"OCCUPIED",'Master Stock'!$K$2:K879,""),"")</f>
        <v/>
      </c>
      <c r="V879" s="149">
        <f>IF(AND('Master Stock'!D879&lt;&gt;"",'Master Stock'!H879="OCCUPIED",ISNUMBER('Master Stock'!L879),'Master Stock'!L879&lt;TODAY()-30),SUMPRODUCT(--('Master Stock'!$D$2:$D$1000&lt;&gt;""),--('Master Stock'!$H$2:$H$1000="OCCUPIED"),--ISNUMBER('Master Stock'!$L$2:$L$1000),--('Master Stock'!$L$2:$L$1000&lt;TODAY()-30),--('Master Stock'!$L$2:$L$1000&lt;'Master Stock'!L879))+COUNTIFS('Master Stock'!$L$2:L879,'Master Stock'!L879,'Master Stock'!$D$2:D879,"&lt;&gt;",'Master Stock'!$H$2:H879,"OCCUPIED"),"")</f>
        <v/>
      </c>
      <c r="W879" s="149" t="n"/>
      <c r="X879" s="149" t="n"/>
      <c r="Y879" s="149" t="n"/>
      <c r="Z879" s="149" t="n"/>
    </row>
    <row r="880" ht="15.75" customHeight="1" s="236">
      <c r="A880" s="148" t="n"/>
      <c r="B880" s="148" t="n"/>
      <c r="C880" s="124" t="n"/>
      <c r="D880" s="148" t="n"/>
      <c r="E880" s="148" t="n"/>
      <c r="F880" s="148" t="n"/>
      <c r="G880" s="124" t="n"/>
      <c r="H880" s="148" t="n"/>
      <c r="I880" s="148" t="n"/>
      <c r="J880" s="148" t="n"/>
      <c r="K880" s="148" t="n"/>
      <c r="L880" s="148" t="n"/>
      <c r="M880" s="148" t="n"/>
      <c r="N880" s="148" t="n"/>
      <c r="O880" s="148" t="n"/>
      <c r="P880" s="148" t="n"/>
      <c r="Q880" s="148" t="n"/>
      <c r="R880" s="148" t="n"/>
      <c r="S880" s="148" t="n"/>
      <c r="T880" s="148" t="n"/>
      <c r="U880" s="149">
        <f>IF(AND('Master Stock'!D880&lt;&gt;"",'Master Stock'!H880="OCCUPIED",ISNUMBER('Master Stock'!J880),'Master Stock'!K880=""),SUMPRODUCT(--('Master Stock'!$D$2:$D$1000&lt;&gt;""),--('Master Stock'!$H$2:$H$1000="OCCUPIED"),--ISNUMBER('Master Stock'!$J$2:$J$1000),--('Master Stock'!$K$2:$K$1000=""),--('Master Stock'!$J$2:$J$1000&lt;'Master Stock'!J880))+COUNTIFS('Master Stock'!$J$2:J880,'Master Stock'!J880,'Master Stock'!$D$2:D880,"&lt;&gt;",'Master Stock'!$H$2:H880,"OCCUPIED",'Master Stock'!$K$2:K880,""),"")</f>
        <v/>
      </c>
      <c r="V880" s="149">
        <f>IF(AND('Master Stock'!D880&lt;&gt;"",'Master Stock'!H880="OCCUPIED",ISNUMBER('Master Stock'!L880),'Master Stock'!L880&lt;TODAY()-30),SUMPRODUCT(--('Master Stock'!$D$2:$D$1000&lt;&gt;""),--('Master Stock'!$H$2:$H$1000="OCCUPIED"),--ISNUMBER('Master Stock'!$L$2:$L$1000),--('Master Stock'!$L$2:$L$1000&lt;TODAY()-30),--('Master Stock'!$L$2:$L$1000&lt;'Master Stock'!L880))+COUNTIFS('Master Stock'!$L$2:L880,'Master Stock'!L880,'Master Stock'!$D$2:D880,"&lt;&gt;",'Master Stock'!$H$2:H880,"OCCUPIED"),"")</f>
        <v/>
      </c>
      <c r="W880" s="149" t="n"/>
      <c r="X880" s="149" t="n"/>
      <c r="Y880" s="149" t="n"/>
      <c r="Z880" s="149" t="n"/>
    </row>
    <row r="881" ht="15.75" customHeight="1" s="236">
      <c r="A881" s="148" t="n"/>
      <c r="B881" s="148" t="n"/>
      <c r="C881" s="124" t="n"/>
      <c r="D881" s="148" t="n"/>
      <c r="E881" s="148" t="n"/>
      <c r="F881" s="148" t="n"/>
      <c r="G881" s="124" t="n"/>
      <c r="H881" s="148" t="n"/>
      <c r="I881" s="148" t="n"/>
      <c r="J881" s="148" t="n"/>
      <c r="K881" s="148" t="n"/>
      <c r="L881" s="148" t="n"/>
      <c r="M881" s="148" t="n"/>
      <c r="N881" s="148" t="n"/>
      <c r="O881" s="148" t="n"/>
      <c r="P881" s="148" t="n"/>
      <c r="Q881" s="148" t="n"/>
      <c r="R881" s="148" t="n"/>
      <c r="S881" s="148" t="n"/>
      <c r="T881" s="148" t="n"/>
      <c r="U881" s="149">
        <f>IF(AND('Master Stock'!D881&lt;&gt;"",'Master Stock'!H881="OCCUPIED",ISNUMBER('Master Stock'!J881),'Master Stock'!K881=""),SUMPRODUCT(--('Master Stock'!$D$2:$D$1000&lt;&gt;""),--('Master Stock'!$H$2:$H$1000="OCCUPIED"),--ISNUMBER('Master Stock'!$J$2:$J$1000),--('Master Stock'!$K$2:$K$1000=""),--('Master Stock'!$J$2:$J$1000&lt;'Master Stock'!J881))+COUNTIFS('Master Stock'!$J$2:J881,'Master Stock'!J881,'Master Stock'!$D$2:D881,"&lt;&gt;",'Master Stock'!$H$2:H881,"OCCUPIED",'Master Stock'!$K$2:K881,""),"")</f>
        <v/>
      </c>
      <c r="V881" s="149">
        <f>IF(AND('Master Stock'!D881&lt;&gt;"",'Master Stock'!H881="OCCUPIED",ISNUMBER('Master Stock'!L881),'Master Stock'!L881&lt;TODAY()-30),SUMPRODUCT(--('Master Stock'!$D$2:$D$1000&lt;&gt;""),--('Master Stock'!$H$2:$H$1000="OCCUPIED"),--ISNUMBER('Master Stock'!$L$2:$L$1000),--('Master Stock'!$L$2:$L$1000&lt;TODAY()-30),--('Master Stock'!$L$2:$L$1000&lt;'Master Stock'!L881))+COUNTIFS('Master Stock'!$L$2:L881,'Master Stock'!L881,'Master Stock'!$D$2:D881,"&lt;&gt;",'Master Stock'!$H$2:H881,"OCCUPIED"),"")</f>
        <v/>
      </c>
      <c r="W881" s="149" t="n"/>
      <c r="X881" s="149" t="n"/>
      <c r="Y881" s="149" t="n"/>
      <c r="Z881" s="149" t="n"/>
    </row>
    <row r="882" ht="15.75" customHeight="1" s="236">
      <c r="A882" s="148" t="n"/>
      <c r="B882" s="148" t="n"/>
      <c r="C882" s="124" t="n"/>
      <c r="D882" s="148" t="n"/>
      <c r="E882" s="148" t="n"/>
      <c r="F882" s="148" t="n"/>
      <c r="G882" s="124" t="n"/>
      <c r="H882" s="148" t="n"/>
      <c r="I882" s="148" t="n"/>
      <c r="J882" s="148" t="n"/>
      <c r="K882" s="148" t="n"/>
      <c r="L882" s="148" t="n"/>
      <c r="M882" s="148" t="n"/>
      <c r="N882" s="148" t="n"/>
      <c r="O882" s="148" t="n"/>
      <c r="P882" s="148" t="n"/>
      <c r="Q882" s="148" t="n"/>
      <c r="R882" s="148" t="n"/>
      <c r="S882" s="148" t="n"/>
      <c r="T882" s="148" t="n"/>
      <c r="U882" s="149">
        <f>IF(AND('Master Stock'!D882&lt;&gt;"",'Master Stock'!H882="OCCUPIED",ISNUMBER('Master Stock'!J882),'Master Stock'!K882=""),SUMPRODUCT(--('Master Stock'!$D$2:$D$1000&lt;&gt;""),--('Master Stock'!$H$2:$H$1000="OCCUPIED"),--ISNUMBER('Master Stock'!$J$2:$J$1000),--('Master Stock'!$K$2:$K$1000=""),--('Master Stock'!$J$2:$J$1000&lt;'Master Stock'!J882))+COUNTIFS('Master Stock'!$J$2:J882,'Master Stock'!J882,'Master Stock'!$D$2:D882,"&lt;&gt;",'Master Stock'!$H$2:H882,"OCCUPIED",'Master Stock'!$K$2:K882,""),"")</f>
        <v/>
      </c>
      <c r="V882" s="149">
        <f>IF(AND('Master Stock'!D882&lt;&gt;"",'Master Stock'!H882="OCCUPIED",ISNUMBER('Master Stock'!L882),'Master Stock'!L882&lt;TODAY()-30),SUMPRODUCT(--('Master Stock'!$D$2:$D$1000&lt;&gt;""),--('Master Stock'!$H$2:$H$1000="OCCUPIED"),--ISNUMBER('Master Stock'!$L$2:$L$1000),--('Master Stock'!$L$2:$L$1000&lt;TODAY()-30),--('Master Stock'!$L$2:$L$1000&lt;'Master Stock'!L882))+COUNTIFS('Master Stock'!$L$2:L882,'Master Stock'!L882,'Master Stock'!$D$2:D882,"&lt;&gt;",'Master Stock'!$H$2:H882,"OCCUPIED"),"")</f>
        <v/>
      </c>
      <c r="W882" s="149" t="n"/>
      <c r="X882" s="149" t="n"/>
      <c r="Y882" s="149" t="n"/>
      <c r="Z882" s="149" t="n"/>
    </row>
    <row r="883" ht="15.75" customHeight="1" s="236">
      <c r="A883" s="148" t="n"/>
      <c r="B883" s="148" t="n"/>
      <c r="C883" s="124" t="n"/>
      <c r="D883" s="148" t="n"/>
      <c r="E883" s="148" t="n"/>
      <c r="F883" s="148" t="n"/>
      <c r="G883" s="124" t="n"/>
      <c r="H883" s="148" t="n"/>
      <c r="I883" s="148" t="n"/>
      <c r="J883" s="148" t="n"/>
      <c r="K883" s="148" t="n"/>
      <c r="L883" s="148" t="n"/>
      <c r="M883" s="148" t="n"/>
      <c r="N883" s="148" t="n"/>
      <c r="O883" s="148" t="n"/>
      <c r="P883" s="148" t="n"/>
      <c r="Q883" s="148" t="n"/>
      <c r="R883" s="148" t="n"/>
      <c r="S883" s="148" t="n"/>
      <c r="T883" s="148" t="n"/>
      <c r="U883" s="149">
        <f>IF(AND('Master Stock'!D883&lt;&gt;"",'Master Stock'!H883="OCCUPIED",ISNUMBER('Master Stock'!J883),'Master Stock'!K883=""),SUMPRODUCT(--('Master Stock'!$D$2:$D$1000&lt;&gt;""),--('Master Stock'!$H$2:$H$1000="OCCUPIED"),--ISNUMBER('Master Stock'!$J$2:$J$1000),--('Master Stock'!$K$2:$K$1000=""),--('Master Stock'!$J$2:$J$1000&lt;'Master Stock'!J883))+COUNTIFS('Master Stock'!$J$2:J883,'Master Stock'!J883,'Master Stock'!$D$2:D883,"&lt;&gt;",'Master Stock'!$H$2:H883,"OCCUPIED",'Master Stock'!$K$2:K883,""),"")</f>
        <v/>
      </c>
      <c r="V883" s="149">
        <f>IF(AND('Master Stock'!D883&lt;&gt;"",'Master Stock'!H883="OCCUPIED",ISNUMBER('Master Stock'!L883),'Master Stock'!L883&lt;TODAY()-30),SUMPRODUCT(--('Master Stock'!$D$2:$D$1000&lt;&gt;""),--('Master Stock'!$H$2:$H$1000="OCCUPIED"),--ISNUMBER('Master Stock'!$L$2:$L$1000),--('Master Stock'!$L$2:$L$1000&lt;TODAY()-30),--('Master Stock'!$L$2:$L$1000&lt;'Master Stock'!L883))+COUNTIFS('Master Stock'!$L$2:L883,'Master Stock'!L883,'Master Stock'!$D$2:D883,"&lt;&gt;",'Master Stock'!$H$2:H883,"OCCUPIED"),"")</f>
        <v/>
      </c>
      <c r="W883" s="149" t="n"/>
      <c r="X883" s="149" t="n"/>
      <c r="Y883" s="149" t="n"/>
      <c r="Z883" s="149" t="n"/>
    </row>
    <row r="884" ht="15.75" customHeight="1" s="236">
      <c r="A884" s="148" t="n"/>
      <c r="B884" s="148" t="n"/>
      <c r="C884" s="124" t="n"/>
      <c r="D884" s="148" t="n"/>
      <c r="E884" s="148" t="n"/>
      <c r="F884" s="148" t="n"/>
      <c r="G884" s="124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9">
        <f>IF(AND('Master Stock'!D884&lt;&gt;"",'Master Stock'!H884="OCCUPIED",ISNUMBER('Master Stock'!J884),'Master Stock'!K884=""),SUMPRODUCT(--('Master Stock'!$D$2:$D$1000&lt;&gt;""),--('Master Stock'!$H$2:$H$1000="OCCUPIED"),--ISNUMBER('Master Stock'!$J$2:$J$1000),--('Master Stock'!$K$2:$K$1000=""),--('Master Stock'!$J$2:$J$1000&lt;'Master Stock'!J884))+COUNTIFS('Master Stock'!$J$2:J884,'Master Stock'!J884,'Master Stock'!$D$2:D884,"&lt;&gt;",'Master Stock'!$H$2:H884,"OCCUPIED",'Master Stock'!$K$2:K884,""),"")</f>
        <v/>
      </c>
      <c r="V884" s="149">
        <f>IF(AND('Master Stock'!D884&lt;&gt;"",'Master Stock'!H884="OCCUPIED",ISNUMBER('Master Stock'!L884),'Master Stock'!L884&lt;TODAY()-30),SUMPRODUCT(--('Master Stock'!$D$2:$D$1000&lt;&gt;""),--('Master Stock'!$H$2:$H$1000="OCCUPIED"),--ISNUMBER('Master Stock'!$L$2:$L$1000),--('Master Stock'!$L$2:$L$1000&lt;TODAY()-30),--('Master Stock'!$L$2:$L$1000&lt;'Master Stock'!L884))+COUNTIFS('Master Stock'!$L$2:L884,'Master Stock'!L884,'Master Stock'!$D$2:D884,"&lt;&gt;",'Master Stock'!$H$2:H884,"OCCUPIED"),"")</f>
        <v/>
      </c>
      <c r="W884" s="149" t="n"/>
      <c r="X884" s="149" t="n"/>
      <c r="Y884" s="149" t="n"/>
      <c r="Z884" s="149" t="n"/>
    </row>
    <row r="885" ht="15.75" customHeight="1" s="236">
      <c r="A885" s="148" t="n"/>
      <c r="B885" s="148" t="n"/>
      <c r="C885" s="124" t="n"/>
      <c r="D885" s="148" t="n"/>
      <c r="E885" s="148" t="n"/>
      <c r="F885" s="148" t="n"/>
      <c r="G885" s="124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9">
        <f>IF(AND('Master Stock'!D885&lt;&gt;"",'Master Stock'!H885="OCCUPIED",ISNUMBER('Master Stock'!J885),'Master Stock'!K885=""),SUMPRODUCT(--('Master Stock'!$D$2:$D$1000&lt;&gt;""),--('Master Stock'!$H$2:$H$1000="OCCUPIED"),--ISNUMBER('Master Stock'!$J$2:$J$1000),--('Master Stock'!$K$2:$K$1000=""),--('Master Stock'!$J$2:$J$1000&lt;'Master Stock'!J885))+COUNTIFS('Master Stock'!$J$2:J885,'Master Stock'!J885,'Master Stock'!$D$2:D885,"&lt;&gt;",'Master Stock'!$H$2:H885,"OCCUPIED",'Master Stock'!$K$2:K885,""),"")</f>
        <v/>
      </c>
      <c r="V885" s="149">
        <f>IF(AND('Master Stock'!D885&lt;&gt;"",'Master Stock'!H885="OCCUPIED",ISNUMBER('Master Stock'!L885),'Master Stock'!L885&lt;TODAY()-30),SUMPRODUCT(--('Master Stock'!$D$2:$D$1000&lt;&gt;""),--('Master Stock'!$H$2:$H$1000="OCCUPIED"),--ISNUMBER('Master Stock'!$L$2:$L$1000),--('Master Stock'!$L$2:$L$1000&lt;TODAY()-30),--('Master Stock'!$L$2:$L$1000&lt;'Master Stock'!L885))+COUNTIFS('Master Stock'!$L$2:L885,'Master Stock'!L885,'Master Stock'!$D$2:D885,"&lt;&gt;",'Master Stock'!$H$2:H885,"OCCUPIED"),"")</f>
        <v/>
      </c>
      <c r="W885" s="149" t="n"/>
      <c r="X885" s="149" t="n"/>
      <c r="Y885" s="149" t="n"/>
      <c r="Z885" s="149" t="n"/>
    </row>
    <row r="886" ht="15.75" customHeight="1" s="236">
      <c r="A886" s="148" t="n"/>
      <c r="B886" s="148" t="n"/>
      <c r="C886" s="124" t="n"/>
      <c r="D886" s="148" t="n"/>
      <c r="E886" s="148" t="n"/>
      <c r="F886" s="148" t="n"/>
      <c r="G886" s="124" t="n"/>
      <c r="H886" s="148" t="n"/>
      <c r="I886" s="148" t="n"/>
      <c r="J886" s="148" t="n"/>
      <c r="K886" s="148" t="n"/>
      <c r="L886" s="148" t="n"/>
      <c r="M886" s="148" t="n"/>
      <c r="N886" s="148" t="n"/>
      <c r="O886" s="148" t="n"/>
      <c r="P886" s="148" t="n"/>
      <c r="Q886" s="148" t="n"/>
      <c r="R886" s="148" t="n"/>
      <c r="S886" s="148" t="n"/>
      <c r="T886" s="148" t="n"/>
      <c r="U886" s="149">
        <f>IF(AND('Master Stock'!D886&lt;&gt;"",'Master Stock'!H886="OCCUPIED",ISNUMBER('Master Stock'!J886),'Master Stock'!K886=""),SUMPRODUCT(--('Master Stock'!$D$2:$D$1000&lt;&gt;""),--('Master Stock'!$H$2:$H$1000="OCCUPIED"),--ISNUMBER('Master Stock'!$J$2:$J$1000),--('Master Stock'!$K$2:$K$1000=""),--('Master Stock'!$J$2:$J$1000&lt;'Master Stock'!J886))+COUNTIFS('Master Stock'!$J$2:J886,'Master Stock'!J886,'Master Stock'!$D$2:D886,"&lt;&gt;",'Master Stock'!$H$2:H886,"OCCUPIED",'Master Stock'!$K$2:K886,""),"")</f>
        <v/>
      </c>
      <c r="V886" s="149">
        <f>IF(AND('Master Stock'!D886&lt;&gt;"",'Master Stock'!H886="OCCUPIED",ISNUMBER('Master Stock'!L886),'Master Stock'!L886&lt;TODAY()-30),SUMPRODUCT(--('Master Stock'!$D$2:$D$1000&lt;&gt;""),--('Master Stock'!$H$2:$H$1000="OCCUPIED"),--ISNUMBER('Master Stock'!$L$2:$L$1000),--('Master Stock'!$L$2:$L$1000&lt;TODAY()-30),--('Master Stock'!$L$2:$L$1000&lt;'Master Stock'!L886))+COUNTIFS('Master Stock'!$L$2:L886,'Master Stock'!L886,'Master Stock'!$D$2:D886,"&lt;&gt;",'Master Stock'!$H$2:H886,"OCCUPIED"),"")</f>
        <v/>
      </c>
      <c r="W886" s="149" t="n"/>
      <c r="X886" s="149" t="n"/>
      <c r="Y886" s="149" t="n"/>
      <c r="Z886" s="149" t="n"/>
    </row>
    <row r="887" ht="15.75" customHeight="1" s="236">
      <c r="A887" s="148" t="n"/>
      <c r="B887" s="148" t="n"/>
      <c r="C887" s="124" t="n"/>
      <c r="D887" s="148" t="n"/>
      <c r="E887" s="148" t="n"/>
      <c r="F887" s="148" t="n"/>
      <c r="G887" s="124" t="n"/>
      <c r="H887" s="148" t="n"/>
      <c r="I887" s="148" t="n"/>
      <c r="J887" s="148" t="n"/>
      <c r="K887" s="148" t="n"/>
      <c r="L887" s="148" t="n"/>
      <c r="M887" s="148" t="n"/>
      <c r="N887" s="148" t="n"/>
      <c r="O887" s="148" t="n"/>
      <c r="P887" s="148" t="n"/>
      <c r="Q887" s="148" t="n"/>
      <c r="R887" s="148" t="n"/>
      <c r="S887" s="148" t="n"/>
      <c r="T887" s="148" t="n"/>
      <c r="U887" s="149">
        <f>IF(AND('Master Stock'!D887&lt;&gt;"",'Master Stock'!H887="OCCUPIED",ISNUMBER('Master Stock'!J887),'Master Stock'!K887=""),SUMPRODUCT(--('Master Stock'!$D$2:$D$1000&lt;&gt;""),--('Master Stock'!$H$2:$H$1000="OCCUPIED"),--ISNUMBER('Master Stock'!$J$2:$J$1000),--('Master Stock'!$K$2:$K$1000=""),--('Master Stock'!$J$2:$J$1000&lt;'Master Stock'!J887))+COUNTIFS('Master Stock'!$J$2:J887,'Master Stock'!J887,'Master Stock'!$D$2:D887,"&lt;&gt;",'Master Stock'!$H$2:H887,"OCCUPIED",'Master Stock'!$K$2:K887,""),"")</f>
        <v/>
      </c>
      <c r="V887" s="149">
        <f>IF(AND('Master Stock'!D887&lt;&gt;"",'Master Stock'!H887="OCCUPIED",ISNUMBER('Master Stock'!L887),'Master Stock'!L887&lt;TODAY()-30),SUMPRODUCT(--('Master Stock'!$D$2:$D$1000&lt;&gt;""),--('Master Stock'!$H$2:$H$1000="OCCUPIED"),--ISNUMBER('Master Stock'!$L$2:$L$1000),--('Master Stock'!$L$2:$L$1000&lt;TODAY()-30),--('Master Stock'!$L$2:$L$1000&lt;'Master Stock'!L887))+COUNTIFS('Master Stock'!$L$2:L887,'Master Stock'!L887,'Master Stock'!$D$2:D887,"&lt;&gt;",'Master Stock'!$H$2:H887,"OCCUPIED"),"")</f>
        <v/>
      </c>
      <c r="W887" s="149" t="n"/>
      <c r="X887" s="149" t="n"/>
      <c r="Y887" s="149" t="n"/>
      <c r="Z887" s="149" t="n"/>
    </row>
    <row r="888" ht="15.75" customHeight="1" s="236">
      <c r="A888" s="148" t="n"/>
      <c r="B888" s="148" t="n"/>
      <c r="C888" s="124" t="n"/>
      <c r="D888" s="148" t="n"/>
      <c r="E888" s="148" t="n"/>
      <c r="F888" s="148" t="n"/>
      <c r="G888" s="124" t="n"/>
      <c r="H888" s="148" t="n"/>
      <c r="I888" s="148" t="n"/>
      <c r="J888" s="148" t="n"/>
      <c r="K888" s="148" t="n"/>
      <c r="L888" s="148" t="n"/>
      <c r="M888" s="148" t="n"/>
      <c r="N888" s="148" t="n"/>
      <c r="O888" s="148" t="n"/>
      <c r="P888" s="148" t="n"/>
      <c r="Q888" s="148" t="n"/>
      <c r="R888" s="148" t="n"/>
      <c r="S888" s="148" t="n"/>
      <c r="T888" s="148" t="n"/>
      <c r="U888" s="149">
        <f>IF(AND('Master Stock'!D888&lt;&gt;"",'Master Stock'!H888="OCCUPIED",ISNUMBER('Master Stock'!J888),'Master Stock'!K888=""),SUMPRODUCT(--('Master Stock'!$D$2:$D$1000&lt;&gt;""),--('Master Stock'!$H$2:$H$1000="OCCUPIED"),--ISNUMBER('Master Stock'!$J$2:$J$1000),--('Master Stock'!$K$2:$K$1000=""),--('Master Stock'!$J$2:$J$1000&lt;'Master Stock'!J888))+COUNTIFS('Master Stock'!$J$2:J888,'Master Stock'!J888,'Master Stock'!$D$2:D888,"&lt;&gt;",'Master Stock'!$H$2:H888,"OCCUPIED",'Master Stock'!$K$2:K888,""),"")</f>
        <v/>
      </c>
      <c r="V888" s="149">
        <f>IF(AND('Master Stock'!D888&lt;&gt;"",'Master Stock'!H888="OCCUPIED",ISNUMBER('Master Stock'!L888),'Master Stock'!L888&lt;TODAY()-30),SUMPRODUCT(--('Master Stock'!$D$2:$D$1000&lt;&gt;""),--('Master Stock'!$H$2:$H$1000="OCCUPIED"),--ISNUMBER('Master Stock'!$L$2:$L$1000),--('Master Stock'!$L$2:$L$1000&lt;TODAY()-30),--('Master Stock'!$L$2:$L$1000&lt;'Master Stock'!L888))+COUNTIFS('Master Stock'!$L$2:L888,'Master Stock'!L888,'Master Stock'!$D$2:D888,"&lt;&gt;",'Master Stock'!$H$2:H888,"OCCUPIED"),"")</f>
        <v/>
      </c>
      <c r="W888" s="149" t="n"/>
      <c r="X888" s="149" t="n"/>
      <c r="Y888" s="149" t="n"/>
      <c r="Z888" s="149" t="n"/>
    </row>
    <row r="889" ht="15.75" customHeight="1" s="236">
      <c r="A889" s="148" t="n"/>
      <c r="B889" s="148" t="n"/>
      <c r="C889" s="124" t="n"/>
      <c r="D889" s="148" t="n"/>
      <c r="E889" s="148" t="n"/>
      <c r="F889" s="148" t="n"/>
      <c r="G889" s="124" t="n"/>
      <c r="H889" s="148" t="n"/>
      <c r="I889" s="148" t="n"/>
      <c r="J889" s="148" t="n"/>
      <c r="K889" s="148" t="n"/>
      <c r="L889" s="148" t="n"/>
      <c r="M889" s="148" t="n"/>
      <c r="N889" s="148" t="n"/>
      <c r="O889" s="148" t="n"/>
      <c r="P889" s="148" t="n"/>
      <c r="Q889" s="148" t="n"/>
      <c r="R889" s="148" t="n"/>
      <c r="S889" s="148" t="n"/>
      <c r="T889" s="148" t="n"/>
      <c r="U889" s="149">
        <f>IF(AND('Master Stock'!D889&lt;&gt;"",'Master Stock'!H889="OCCUPIED",ISNUMBER('Master Stock'!J889),'Master Stock'!K889=""),SUMPRODUCT(--('Master Stock'!$D$2:$D$1000&lt;&gt;""),--('Master Stock'!$H$2:$H$1000="OCCUPIED"),--ISNUMBER('Master Stock'!$J$2:$J$1000),--('Master Stock'!$K$2:$K$1000=""),--('Master Stock'!$J$2:$J$1000&lt;'Master Stock'!J889))+COUNTIFS('Master Stock'!$J$2:J889,'Master Stock'!J889,'Master Stock'!$D$2:D889,"&lt;&gt;",'Master Stock'!$H$2:H889,"OCCUPIED",'Master Stock'!$K$2:K889,""),"")</f>
        <v/>
      </c>
      <c r="V889" s="149">
        <f>IF(AND('Master Stock'!D889&lt;&gt;"",'Master Stock'!H889="OCCUPIED",ISNUMBER('Master Stock'!L889),'Master Stock'!L889&lt;TODAY()-30),SUMPRODUCT(--('Master Stock'!$D$2:$D$1000&lt;&gt;""),--('Master Stock'!$H$2:$H$1000="OCCUPIED"),--ISNUMBER('Master Stock'!$L$2:$L$1000),--('Master Stock'!$L$2:$L$1000&lt;TODAY()-30),--('Master Stock'!$L$2:$L$1000&lt;'Master Stock'!L889))+COUNTIFS('Master Stock'!$L$2:L889,'Master Stock'!L889,'Master Stock'!$D$2:D889,"&lt;&gt;",'Master Stock'!$H$2:H889,"OCCUPIED"),"")</f>
        <v/>
      </c>
      <c r="W889" s="149" t="n"/>
      <c r="X889" s="149" t="n"/>
      <c r="Y889" s="149" t="n"/>
      <c r="Z889" s="149" t="n"/>
    </row>
    <row r="890" ht="15.75" customHeight="1" s="236">
      <c r="A890" s="148" t="n"/>
      <c r="B890" s="148" t="n"/>
      <c r="C890" s="124" t="n"/>
      <c r="D890" s="148" t="n"/>
      <c r="E890" s="148" t="n"/>
      <c r="F890" s="148" t="n"/>
      <c r="G890" s="124" t="n"/>
      <c r="H890" s="148" t="n"/>
      <c r="I890" s="148" t="n"/>
      <c r="J890" s="148" t="n"/>
      <c r="K890" s="148" t="n"/>
      <c r="L890" s="148" t="n"/>
      <c r="M890" s="148" t="n"/>
      <c r="N890" s="148" t="n"/>
      <c r="O890" s="148" t="n"/>
      <c r="P890" s="148" t="n"/>
      <c r="Q890" s="148" t="n"/>
      <c r="R890" s="148" t="n"/>
      <c r="S890" s="148" t="n"/>
      <c r="T890" s="148" t="n"/>
      <c r="U890" s="149">
        <f>IF(AND('Master Stock'!D890&lt;&gt;"",'Master Stock'!H890="OCCUPIED",ISNUMBER('Master Stock'!J890),'Master Stock'!K890=""),SUMPRODUCT(--('Master Stock'!$D$2:$D$1000&lt;&gt;""),--('Master Stock'!$H$2:$H$1000="OCCUPIED"),--ISNUMBER('Master Stock'!$J$2:$J$1000),--('Master Stock'!$K$2:$K$1000=""),--('Master Stock'!$J$2:$J$1000&lt;'Master Stock'!J890))+COUNTIFS('Master Stock'!$J$2:J890,'Master Stock'!J890,'Master Stock'!$D$2:D890,"&lt;&gt;",'Master Stock'!$H$2:H890,"OCCUPIED",'Master Stock'!$K$2:K890,""),"")</f>
        <v/>
      </c>
      <c r="V890" s="149">
        <f>IF(AND('Master Stock'!D890&lt;&gt;"",'Master Stock'!H890="OCCUPIED",ISNUMBER('Master Stock'!L890),'Master Stock'!L890&lt;TODAY()-30),SUMPRODUCT(--('Master Stock'!$D$2:$D$1000&lt;&gt;""),--('Master Stock'!$H$2:$H$1000="OCCUPIED"),--ISNUMBER('Master Stock'!$L$2:$L$1000),--('Master Stock'!$L$2:$L$1000&lt;TODAY()-30),--('Master Stock'!$L$2:$L$1000&lt;'Master Stock'!L890))+COUNTIFS('Master Stock'!$L$2:L890,'Master Stock'!L890,'Master Stock'!$D$2:D890,"&lt;&gt;",'Master Stock'!$H$2:H890,"OCCUPIED"),"")</f>
        <v/>
      </c>
      <c r="W890" s="149" t="n"/>
      <c r="X890" s="149" t="n"/>
      <c r="Y890" s="149" t="n"/>
      <c r="Z890" s="149" t="n"/>
    </row>
    <row r="891" ht="15.75" customHeight="1" s="236">
      <c r="A891" s="148" t="n"/>
      <c r="B891" s="148" t="n"/>
      <c r="C891" s="124" t="n"/>
      <c r="D891" s="148" t="n"/>
      <c r="E891" s="148" t="n"/>
      <c r="F891" s="148" t="n"/>
      <c r="G891" s="124" t="n"/>
      <c r="H891" s="148" t="n"/>
      <c r="I891" s="148" t="n"/>
      <c r="J891" s="148" t="n"/>
      <c r="K891" s="148" t="n"/>
      <c r="L891" s="148" t="n"/>
      <c r="M891" s="148" t="n"/>
      <c r="N891" s="148" t="n"/>
      <c r="O891" s="148" t="n"/>
      <c r="P891" s="148" t="n"/>
      <c r="Q891" s="148" t="n"/>
      <c r="R891" s="148" t="n"/>
      <c r="S891" s="148" t="n"/>
      <c r="T891" s="148" t="n"/>
      <c r="U891" s="149">
        <f>IF(AND('Master Stock'!D891&lt;&gt;"",'Master Stock'!H891="OCCUPIED",ISNUMBER('Master Stock'!J891),'Master Stock'!K891=""),SUMPRODUCT(--('Master Stock'!$D$2:$D$1000&lt;&gt;""),--('Master Stock'!$H$2:$H$1000="OCCUPIED"),--ISNUMBER('Master Stock'!$J$2:$J$1000),--('Master Stock'!$K$2:$K$1000=""),--('Master Stock'!$J$2:$J$1000&lt;'Master Stock'!J891))+COUNTIFS('Master Stock'!$J$2:J891,'Master Stock'!J891,'Master Stock'!$D$2:D891,"&lt;&gt;",'Master Stock'!$H$2:H891,"OCCUPIED",'Master Stock'!$K$2:K891,""),"")</f>
        <v/>
      </c>
      <c r="V891" s="149">
        <f>IF(AND('Master Stock'!D891&lt;&gt;"",'Master Stock'!H891="OCCUPIED",ISNUMBER('Master Stock'!L891),'Master Stock'!L891&lt;TODAY()-30),SUMPRODUCT(--('Master Stock'!$D$2:$D$1000&lt;&gt;""),--('Master Stock'!$H$2:$H$1000="OCCUPIED"),--ISNUMBER('Master Stock'!$L$2:$L$1000),--('Master Stock'!$L$2:$L$1000&lt;TODAY()-30),--('Master Stock'!$L$2:$L$1000&lt;'Master Stock'!L891))+COUNTIFS('Master Stock'!$L$2:L891,'Master Stock'!L891,'Master Stock'!$D$2:D891,"&lt;&gt;",'Master Stock'!$H$2:H891,"OCCUPIED"),"")</f>
        <v/>
      </c>
      <c r="W891" s="149" t="n"/>
      <c r="X891" s="149" t="n"/>
      <c r="Y891" s="149" t="n"/>
      <c r="Z891" s="149" t="n"/>
    </row>
    <row r="892" ht="15.75" customHeight="1" s="236">
      <c r="A892" s="148" t="n"/>
      <c r="B892" s="148" t="n"/>
      <c r="C892" s="124" t="n"/>
      <c r="D892" s="148" t="n"/>
      <c r="E892" s="148" t="n"/>
      <c r="F892" s="148" t="n"/>
      <c r="G892" s="124" t="n"/>
      <c r="H892" s="148" t="n"/>
      <c r="I892" s="148" t="n"/>
      <c r="J892" s="148" t="n"/>
      <c r="K892" s="148" t="n"/>
      <c r="L892" s="148" t="n"/>
      <c r="M892" s="148" t="n"/>
      <c r="N892" s="148" t="n"/>
      <c r="O892" s="148" t="n"/>
      <c r="P892" s="148" t="n"/>
      <c r="Q892" s="148" t="n"/>
      <c r="R892" s="148" t="n"/>
      <c r="S892" s="148" t="n"/>
      <c r="T892" s="148" t="n"/>
      <c r="U892" s="149">
        <f>IF(AND('Master Stock'!D892&lt;&gt;"",'Master Stock'!H892="OCCUPIED",ISNUMBER('Master Stock'!J892),'Master Stock'!K892=""),SUMPRODUCT(--('Master Stock'!$D$2:$D$1000&lt;&gt;""),--('Master Stock'!$H$2:$H$1000="OCCUPIED"),--ISNUMBER('Master Stock'!$J$2:$J$1000),--('Master Stock'!$K$2:$K$1000=""),--('Master Stock'!$J$2:$J$1000&lt;'Master Stock'!J892))+COUNTIFS('Master Stock'!$J$2:J892,'Master Stock'!J892,'Master Stock'!$D$2:D892,"&lt;&gt;",'Master Stock'!$H$2:H892,"OCCUPIED",'Master Stock'!$K$2:K892,""),"")</f>
        <v/>
      </c>
      <c r="V892" s="149">
        <f>IF(AND('Master Stock'!D892&lt;&gt;"",'Master Stock'!H892="OCCUPIED",ISNUMBER('Master Stock'!L892),'Master Stock'!L892&lt;TODAY()-30),SUMPRODUCT(--('Master Stock'!$D$2:$D$1000&lt;&gt;""),--('Master Stock'!$H$2:$H$1000="OCCUPIED"),--ISNUMBER('Master Stock'!$L$2:$L$1000),--('Master Stock'!$L$2:$L$1000&lt;TODAY()-30),--('Master Stock'!$L$2:$L$1000&lt;'Master Stock'!L892))+COUNTIFS('Master Stock'!$L$2:L892,'Master Stock'!L892,'Master Stock'!$D$2:D892,"&lt;&gt;",'Master Stock'!$H$2:H892,"OCCUPIED"),"")</f>
        <v/>
      </c>
      <c r="W892" s="149" t="n"/>
      <c r="X892" s="149" t="n"/>
      <c r="Y892" s="149" t="n"/>
      <c r="Z892" s="149" t="n"/>
    </row>
    <row r="893" ht="15.75" customHeight="1" s="236">
      <c r="A893" s="148" t="n"/>
      <c r="B893" s="148" t="n"/>
      <c r="C893" s="124" t="n"/>
      <c r="D893" s="148" t="n"/>
      <c r="E893" s="148" t="n"/>
      <c r="F893" s="148" t="n"/>
      <c r="G893" s="124" t="n"/>
      <c r="H893" s="148" t="n"/>
      <c r="I893" s="148" t="n"/>
      <c r="J893" s="148" t="n"/>
      <c r="K893" s="148" t="n"/>
      <c r="L893" s="148" t="n"/>
      <c r="M893" s="148" t="n"/>
      <c r="N893" s="148" t="n"/>
      <c r="O893" s="148" t="n"/>
      <c r="P893" s="148" t="n"/>
      <c r="Q893" s="148" t="n"/>
      <c r="R893" s="148" t="n"/>
      <c r="S893" s="148" t="n"/>
      <c r="T893" s="148" t="n"/>
      <c r="U893" s="149">
        <f>IF(AND('Master Stock'!D893&lt;&gt;"",'Master Stock'!H893="OCCUPIED",ISNUMBER('Master Stock'!J893),'Master Stock'!K893=""),SUMPRODUCT(--('Master Stock'!$D$2:$D$1000&lt;&gt;""),--('Master Stock'!$H$2:$H$1000="OCCUPIED"),--ISNUMBER('Master Stock'!$J$2:$J$1000),--('Master Stock'!$K$2:$K$1000=""),--('Master Stock'!$J$2:$J$1000&lt;'Master Stock'!J893))+COUNTIFS('Master Stock'!$J$2:J893,'Master Stock'!J893,'Master Stock'!$D$2:D893,"&lt;&gt;",'Master Stock'!$H$2:H893,"OCCUPIED",'Master Stock'!$K$2:K893,""),"")</f>
        <v/>
      </c>
      <c r="V893" s="149">
        <f>IF(AND('Master Stock'!D893&lt;&gt;"",'Master Stock'!H893="OCCUPIED",ISNUMBER('Master Stock'!L893),'Master Stock'!L893&lt;TODAY()-30),SUMPRODUCT(--('Master Stock'!$D$2:$D$1000&lt;&gt;""),--('Master Stock'!$H$2:$H$1000="OCCUPIED"),--ISNUMBER('Master Stock'!$L$2:$L$1000),--('Master Stock'!$L$2:$L$1000&lt;TODAY()-30),--('Master Stock'!$L$2:$L$1000&lt;'Master Stock'!L893))+COUNTIFS('Master Stock'!$L$2:L893,'Master Stock'!L893,'Master Stock'!$D$2:D893,"&lt;&gt;",'Master Stock'!$H$2:H893,"OCCUPIED"),"")</f>
        <v/>
      </c>
      <c r="W893" s="149" t="n"/>
      <c r="X893" s="149" t="n"/>
      <c r="Y893" s="149" t="n"/>
      <c r="Z893" s="149" t="n"/>
    </row>
    <row r="894" ht="15.75" customHeight="1" s="236">
      <c r="A894" s="148" t="n"/>
      <c r="B894" s="148" t="n"/>
      <c r="C894" s="124" t="n"/>
      <c r="D894" s="148" t="n"/>
      <c r="E894" s="148" t="n"/>
      <c r="F894" s="148" t="n"/>
      <c r="G894" s="124" t="n"/>
      <c r="H894" s="148" t="n"/>
      <c r="I894" s="148" t="n"/>
      <c r="J894" s="148" t="n"/>
      <c r="K894" s="148" t="n"/>
      <c r="L894" s="148" t="n"/>
      <c r="M894" s="148" t="n"/>
      <c r="N894" s="148" t="n"/>
      <c r="O894" s="148" t="n"/>
      <c r="P894" s="148" t="n"/>
      <c r="Q894" s="148" t="n"/>
      <c r="R894" s="148" t="n"/>
      <c r="S894" s="148" t="n"/>
      <c r="T894" s="148" t="n"/>
      <c r="U894" s="149">
        <f>IF(AND('Master Stock'!D894&lt;&gt;"",'Master Stock'!H894="OCCUPIED",ISNUMBER('Master Stock'!J894),'Master Stock'!K894=""),SUMPRODUCT(--('Master Stock'!$D$2:$D$1000&lt;&gt;""),--('Master Stock'!$H$2:$H$1000="OCCUPIED"),--ISNUMBER('Master Stock'!$J$2:$J$1000),--('Master Stock'!$K$2:$K$1000=""),--('Master Stock'!$J$2:$J$1000&lt;'Master Stock'!J894))+COUNTIFS('Master Stock'!$J$2:J894,'Master Stock'!J894,'Master Stock'!$D$2:D894,"&lt;&gt;",'Master Stock'!$H$2:H894,"OCCUPIED",'Master Stock'!$K$2:K894,""),"")</f>
        <v/>
      </c>
      <c r="V894" s="149">
        <f>IF(AND('Master Stock'!D894&lt;&gt;"",'Master Stock'!H894="OCCUPIED",ISNUMBER('Master Stock'!L894),'Master Stock'!L894&lt;TODAY()-30),SUMPRODUCT(--('Master Stock'!$D$2:$D$1000&lt;&gt;""),--('Master Stock'!$H$2:$H$1000="OCCUPIED"),--ISNUMBER('Master Stock'!$L$2:$L$1000),--('Master Stock'!$L$2:$L$1000&lt;TODAY()-30),--('Master Stock'!$L$2:$L$1000&lt;'Master Stock'!L894))+COUNTIFS('Master Stock'!$L$2:L894,'Master Stock'!L894,'Master Stock'!$D$2:D894,"&lt;&gt;",'Master Stock'!$H$2:H894,"OCCUPIED"),"")</f>
        <v/>
      </c>
      <c r="W894" s="149" t="n"/>
      <c r="X894" s="149" t="n"/>
      <c r="Y894" s="149" t="n"/>
      <c r="Z894" s="149" t="n"/>
    </row>
    <row r="895" ht="15.75" customHeight="1" s="236">
      <c r="A895" s="148" t="n"/>
      <c r="B895" s="148" t="n"/>
      <c r="C895" s="124" t="n"/>
      <c r="D895" s="148" t="n"/>
      <c r="E895" s="148" t="n"/>
      <c r="F895" s="148" t="n"/>
      <c r="G895" s="124" t="n"/>
      <c r="H895" s="148" t="n"/>
      <c r="I895" s="148" t="n"/>
      <c r="J895" s="148" t="n"/>
      <c r="K895" s="148" t="n"/>
      <c r="L895" s="148" t="n"/>
      <c r="M895" s="148" t="n"/>
      <c r="N895" s="148" t="n"/>
      <c r="O895" s="148" t="n"/>
      <c r="P895" s="148" t="n"/>
      <c r="Q895" s="148" t="n"/>
      <c r="R895" s="148" t="n"/>
      <c r="S895" s="148" t="n"/>
      <c r="T895" s="148" t="n"/>
      <c r="U895" s="149">
        <f>IF(AND('Master Stock'!D895&lt;&gt;"",'Master Stock'!H895="OCCUPIED",ISNUMBER('Master Stock'!J895),'Master Stock'!K895=""),SUMPRODUCT(--('Master Stock'!$D$2:$D$1000&lt;&gt;""),--('Master Stock'!$H$2:$H$1000="OCCUPIED"),--ISNUMBER('Master Stock'!$J$2:$J$1000),--('Master Stock'!$K$2:$K$1000=""),--('Master Stock'!$J$2:$J$1000&lt;'Master Stock'!J895))+COUNTIFS('Master Stock'!$J$2:J895,'Master Stock'!J895,'Master Stock'!$D$2:D895,"&lt;&gt;",'Master Stock'!$H$2:H895,"OCCUPIED",'Master Stock'!$K$2:K895,""),"")</f>
        <v/>
      </c>
      <c r="V895" s="149">
        <f>IF(AND('Master Stock'!D895&lt;&gt;"",'Master Stock'!H895="OCCUPIED",ISNUMBER('Master Stock'!L895),'Master Stock'!L895&lt;TODAY()-30),SUMPRODUCT(--('Master Stock'!$D$2:$D$1000&lt;&gt;""),--('Master Stock'!$H$2:$H$1000="OCCUPIED"),--ISNUMBER('Master Stock'!$L$2:$L$1000),--('Master Stock'!$L$2:$L$1000&lt;TODAY()-30),--('Master Stock'!$L$2:$L$1000&lt;'Master Stock'!L895))+COUNTIFS('Master Stock'!$L$2:L895,'Master Stock'!L895,'Master Stock'!$D$2:D895,"&lt;&gt;",'Master Stock'!$H$2:H895,"OCCUPIED"),"")</f>
        <v/>
      </c>
      <c r="W895" s="149" t="n"/>
      <c r="X895" s="149" t="n"/>
      <c r="Y895" s="149" t="n"/>
      <c r="Z895" s="149" t="n"/>
    </row>
    <row r="896" ht="15.75" customHeight="1" s="236">
      <c r="A896" s="148" t="n"/>
      <c r="B896" s="148" t="n"/>
      <c r="C896" s="124" t="n"/>
      <c r="D896" s="148" t="n"/>
      <c r="E896" s="148" t="n"/>
      <c r="F896" s="148" t="n"/>
      <c r="G896" s="124" t="n"/>
      <c r="H896" s="148" t="n"/>
      <c r="I896" s="148" t="n"/>
      <c r="J896" s="148" t="n"/>
      <c r="K896" s="148" t="n"/>
      <c r="L896" s="148" t="n"/>
      <c r="M896" s="148" t="n"/>
      <c r="N896" s="148" t="n"/>
      <c r="O896" s="148" t="n"/>
      <c r="P896" s="148" t="n"/>
      <c r="Q896" s="148" t="n"/>
      <c r="R896" s="148" t="n"/>
      <c r="S896" s="148" t="n"/>
      <c r="T896" s="148" t="n"/>
      <c r="U896" s="149">
        <f>IF(AND('Master Stock'!D896&lt;&gt;"",'Master Stock'!H896="OCCUPIED",ISNUMBER('Master Stock'!J896),'Master Stock'!K896=""),SUMPRODUCT(--('Master Stock'!$D$2:$D$1000&lt;&gt;""),--('Master Stock'!$H$2:$H$1000="OCCUPIED"),--ISNUMBER('Master Stock'!$J$2:$J$1000),--('Master Stock'!$K$2:$K$1000=""),--('Master Stock'!$J$2:$J$1000&lt;'Master Stock'!J896))+COUNTIFS('Master Stock'!$J$2:J896,'Master Stock'!J896,'Master Stock'!$D$2:D896,"&lt;&gt;",'Master Stock'!$H$2:H896,"OCCUPIED",'Master Stock'!$K$2:K896,""),"")</f>
        <v/>
      </c>
      <c r="V896" s="149">
        <f>IF(AND('Master Stock'!D896&lt;&gt;"",'Master Stock'!H896="OCCUPIED",ISNUMBER('Master Stock'!L896),'Master Stock'!L896&lt;TODAY()-30),SUMPRODUCT(--('Master Stock'!$D$2:$D$1000&lt;&gt;""),--('Master Stock'!$H$2:$H$1000="OCCUPIED"),--ISNUMBER('Master Stock'!$L$2:$L$1000),--('Master Stock'!$L$2:$L$1000&lt;TODAY()-30),--('Master Stock'!$L$2:$L$1000&lt;'Master Stock'!L896))+COUNTIFS('Master Stock'!$L$2:L896,'Master Stock'!L896,'Master Stock'!$D$2:D896,"&lt;&gt;",'Master Stock'!$H$2:H896,"OCCUPIED"),"")</f>
        <v/>
      </c>
      <c r="W896" s="149" t="n"/>
      <c r="X896" s="149" t="n"/>
      <c r="Y896" s="149" t="n"/>
      <c r="Z896" s="149" t="n"/>
    </row>
    <row r="897" ht="15.75" customHeight="1" s="236">
      <c r="A897" s="148" t="n"/>
      <c r="B897" s="148" t="n"/>
      <c r="C897" s="124" t="n"/>
      <c r="D897" s="148" t="n"/>
      <c r="E897" s="148" t="n"/>
      <c r="F897" s="148" t="n"/>
      <c r="G897" s="124" t="n"/>
      <c r="H897" s="148" t="n"/>
      <c r="I897" s="148" t="n"/>
      <c r="J897" s="148" t="n"/>
      <c r="K897" s="148" t="n"/>
      <c r="L897" s="148" t="n"/>
      <c r="M897" s="148" t="n"/>
      <c r="N897" s="148" t="n"/>
      <c r="O897" s="148" t="n"/>
      <c r="P897" s="148" t="n"/>
      <c r="Q897" s="148" t="n"/>
      <c r="R897" s="148" t="n"/>
      <c r="S897" s="148" t="n"/>
      <c r="T897" s="148" t="n"/>
      <c r="U897" s="149">
        <f>IF(AND('Master Stock'!D897&lt;&gt;"",'Master Stock'!H897="OCCUPIED",ISNUMBER('Master Stock'!J897),'Master Stock'!K897=""),SUMPRODUCT(--('Master Stock'!$D$2:$D$1000&lt;&gt;""),--('Master Stock'!$H$2:$H$1000="OCCUPIED"),--ISNUMBER('Master Stock'!$J$2:$J$1000),--('Master Stock'!$K$2:$K$1000=""),--('Master Stock'!$J$2:$J$1000&lt;'Master Stock'!J897))+COUNTIFS('Master Stock'!$J$2:J897,'Master Stock'!J897,'Master Stock'!$D$2:D897,"&lt;&gt;",'Master Stock'!$H$2:H897,"OCCUPIED",'Master Stock'!$K$2:K897,""),"")</f>
        <v/>
      </c>
      <c r="V897" s="149">
        <f>IF(AND('Master Stock'!D897&lt;&gt;"",'Master Stock'!H897="OCCUPIED",ISNUMBER('Master Stock'!L897),'Master Stock'!L897&lt;TODAY()-30),SUMPRODUCT(--('Master Stock'!$D$2:$D$1000&lt;&gt;""),--('Master Stock'!$H$2:$H$1000="OCCUPIED"),--ISNUMBER('Master Stock'!$L$2:$L$1000),--('Master Stock'!$L$2:$L$1000&lt;TODAY()-30),--('Master Stock'!$L$2:$L$1000&lt;'Master Stock'!L897))+COUNTIFS('Master Stock'!$L$2:L897,'Master Stock'!L897,'Master Stock'!$D$2:D897,"&lt;&gt;",'Master Stock'!$H$2:H897,"OCCUPIED"),"")</f>
        <v/>
      </c>
      <c r="W897" s="149" t="n"/>
      <c r="X897" s="149" t="n"/>
      <c r="Y897" s="149" t="n"/>
      <c r="Z897" s="149" t="n"/>
    </row>
    <row r="898" ht="15.75" customHeight="1" s="236">
      <c r="A898" s="148" t="n"/>
      <c r="B898" s="148" t="n"/>
      <c r="C898" s="124" t="n"/>
      <c r="D898" s="148" t="n"/>
      <c r="E898" s="148" t="n"/>
      <c r="F898" s="148" t="n"/>
      <c r="G898" s="124" t="n"/>
      <c r="H898" s="148" t="n"/>
      <c r="I898" s="148" t="n"/>
      <c r="J898" s="148" t="n"/>
      <c r="K898" s="148" t="n"/>
      <c r="L898" s="148" t="n"/>
      <c r="M898" s="148" t="n"/>
      <c r="N898" s="148" t="n"/>
      <c r="O898" s="148" t="n"/>
      <c r="P898" s="148" t="n"/>
      <c r="Q898" s="148" t="n"/>
      <c r="R898" s="148" t="n"/>
      <c r="S898" s="148" t="n"/>
      <c r="T898" s="148" t="n"/>
      <c r="U898" s="149">
        <f>IF(AND('Master Stock'!D898&lt;&gt;"",'Master Stock'!H898="OCCUPIED",ISNUMBER('Master Stock'!J898),'Master Stock'!K898=""),SUMPRODUCT(--('Master Stock'!$D$2:$D$1000&lt;&gt;""),--('Master Stock'!$H$2:$H$1000="OCCUPIED"),--ISNUMBER('Master Stock'!$J$2:$J$1000),--('Master Stock'!$K$2:$K$1000=""),--('Master Stock'!$J$2:$J$1000&lt;'Master Stock'!J898))+COUNTIFS('Master Stock'!$J$2:J898,'Master Stock'!J898,'Master Stock'!$D$2:D898,"&lt;&gt;",'Master Stock'!$H$2:H898,"OCCUPIED",'Master Stock'!$K$2:K898,""),"")</f>
        <v/>
      </c>
      <c r="V898" s="149">
        <f>IF(AND('Master Stock'!D898&lt;&gt;"",'Master Stock'!H898="OCCUPIED",ISNUMBER('Master Stock'!L898),'Master Stock'!L898&lt;TODAY()-30),SUMPRODUCT(--('Master Stock'!$D$2:$D$1000&lt;&gt;""),--('Master Stock'!$H$2:$H$1000="OCCUPIED"),--ISNUMBER('Master Stock'!$L$2:$L$1000),--('Master Stock'!$L$2:$L$1000&lt;TODAY()-30),--('Master Stock'!$L$2:$L$1000&lt;'Master Stock'!L898))+COUNTIFS('Master Stock'!$L$2:L898,'Master Stock'!L898,'Master Stock'!$D$2:D898,"&lt;&gt;",'Master Stock'!$H$2:H898,"OCCUPIED"),"")</f>
        <v/>
      </c>
      <c r="W898" s="149" t="n"/>
      <c r="X898" s="149" t="n"/>
      <c r="Y898" s="149" t="n"/>
      <c r="Z898" s="149" t="n"/>
    </row>
    <row r="899" ht="15.75" customHeight="1" s="236">
      <c r="A899" s="148" t="n"/>
      <c r="B899" s="148" t="n"/>
      <c r="C899" s="124" t="n"/>
      <c r="D899" s="148" t="n"/>
      <c r="E899" s="148" t="n"/>
      <c r="F899" s="148" t="n"/>
      <c r="G899" s="124" t="n"/>
      <c r="H899" s="148" t="n"/>
      <c r="I899" s="148" t="n"/>
      <c r="J899" s="148" t="n"/>
      <c r="K899" s="148" t="n"/>
      <c r="L899" s="148" t="n"/>
      <c r="M899" s="148" t="n"/>
      <c r="N899" s="148" t="n"/>
      <c r="O899" s="148" t="n"/>
      <c r="P899" s="148" t="n"/>
      <c r="Q899" s="148" t="n"/>
      <c r="R899" s="148" t="n"/>
      <c r="S899" s="148" t="n"/>
      <c r="T899" s="148" t="n"/>
      <c r="U899" s="149">
        <f>IF(AND('Master Stock'!D899&lt;&gt;"",'Master Stock'!H899="OCCUPIED",ISNUMBER('Master Stock'!J899),'Master Stock'!K899=""),SUMPRODUCT(--('Master Stock'!$D$2:$D$1000&lt;&gt;""),--('Master Stock'!$H$2:$H$1000="OCCUPIED"),--ISNUMBER('Master Stock'!$J$2:$J$1000),--('Master Stock'!$K$2:$K$1000=""),--('Master Stock'!$J$2:$J$1000&lt;'Master Stock'!J899))+COUNTIFS('Master Stock'!$J$2:J899,'Master Stock'!J899,'Master Stock'!$D$2:D899,"&lt;&gt;",'Master Stock'!$H$2:H899,"OCCUPIED",'Master Stock'!$K$2:K899,""),"")</f>
        <v/>
      </c>
      <c r="V899" s="149">
        <f>IF(AND('Master Stock'!D899&lt;&gt;"",'Master Stock'!H899="OCCUPIED",ISNUMBER('Master Stock'!L899),'Master Stock'!L899&lt;TODAY()-30),SUMPRODUCT(--('Master Stock'!$D$2:$D$1000&lt;&gt;""),--('Master Stock'!$H$2:$H$1000="OCCUPIED"),--ISNUMBER('Master Stock'!$L$2:$L$1000),--('Master Stock'!$L$2:$L$1000&lt;TODAY()-30),--('Master Stock'!$L$2:$L$1000&lt;'Master Stock'!L899))+COUNTIFS('Master Stock'!$L$2:L899,'Master Stock'!L899,'Master Stock'!$D$2:D899,"&lt;&gt;",'Master Stock'!$H$2:H899,"OCCUPIED"),"")</f>
        <v/>
      </c>
      <c r="W899" s="149" t="n"/>
      <c r="X899" s="149" t="n"/>
      <c r="Y899" s="149" t="n"/>
      <c r="Z899" s="149" t="n"/>
    </row>
    <row r="900" ht="15.75" customHeight="1" s="236">
      <c r="A900" s="148" t="n"/>
      <c r="B900" s="148" t="n"/>
      <c r="C900" s="124" t="n"/>
      <c r="D900" s="148" t="n"/>
      <c r="E900" s="148" t="n"/>
      <c r="F900" s="148" t="n"/>
      <c r="G900" s="124" t="n"/>
      <c r="H900" s="148" t="n"/>
      <c r="I900" s="148" t="n"/>
      <c r="J900" s="148" t="n"/>
      <c r="K900" s="148" t="n"/>
      <c r="L900" s="148" t="n"/>
      <c r="M900" s="148" t="n"/>
      <c r="N900" s="148" t="n"/>
      <c r="O900" s="148" t="n"/>
      <c r="P900" s="148" t="n"/>
      <c r="Q900" s="148" t="n"/>
      <c r="R900" s="148" t="n"/>
      <c r="S900" s="148" t="n"/>
      <c r="T900" s="148" t="n"/>
      <c r="U900" s="149">
        <f>IF(AND('Master Stock'!D900&lt;&gt;"",'Master Stock'!H900="OCCUPIED",ISNUMBER('Master Stock'!J900),'Master Stock'!K900=""),SUMPRODUCT(--('Master Stock'!$D$2:$D$1000&lt;&gt;""),--('Master Stock'!$H$2:$H$1000="OCCUPIED"),--ISNUMBER('Master Stock'!$J$2:$J$1000),--('Master Stock'!$K$2:$K$1000=""),--('Master Stock'!$J$2:$J$1000&lt;'Master Stock'!J900))+COUNTIFS('Master Stock'!$J$2:J900,'Master Stock'!J900,'Master Stock'!$D$2:D900,"&lt;&gt;",'Master Stock'!$H$2:H900,"OCCUPIED",'Master Stock'!$K$2:K900,""),"")</f>
        <v/>
      </c>
      <c r="V900" s="149">
        <f>IF(AND('Master Stock'!D900&lt;&gt;"",'Master Stock'!H900="OCCUPIED",ISNUMBER('Master Stock'!L900),'Master Stock'!L900&lt;TODAY()-30),SUMPRODUCT(--('Master Stock'!$D$2:$D$1000&lt;&gt;""),--('Master Stock'!$H$2:$H$1000="OCCUPIED"),--ISNUMBER('Master Stock'!$L$2:$L$1000),--('Master Stock'!$L$2:$L$1000&lt;TODAY()-30),--('Master Stock'!$L$2:$L$1000&lt;'Master Stock'!L900))+COUNTIFS('Master Stock'!$L$2:L900,'Master Stock'!L900,'Master Stock'!$D$2:D900,"&lt;&gt;",'Master Stock'!$H$2:H900,"OCCUPIED"),"")</f>
        <v/>
      </c>
      <c r="W900" s="149" t="n"/>
      <c r="X900" s="149" t="n"/>
      <c r="Y900" s="149" t="n"/>
      <c r="Z900" s="149" t="n"/>
    </row>
    <row r="901" ht="15.75" customHeight="1" s="236">
      <c r="A901" s="148" t="n"/>
      <c r="B901" s="148" t="n"/>
      <c r="C901" s="124" t="n"/>
      <c r="D901" s="148" t="n"/>
      <c r="E901" s="148" t="n"/>
      <c r="F901" s="148" t="n"/>
      <c r="G901" s="124" t="n"/>
      <c r="H901" s="148" t="n"/>
      <c r="I901" s="148" t="n"/>
      <c r="J901" s="148" t="n"/>
      <c r="K901" s="148" t="n"/>
      <c r="L901" s="148" t="n"/>
      <c r="M901" s="148" t="n"/>
      <c r="N901" s="148" t="n"/>
      <c r="O901" s="148" t="n"/>
      <c r="P901" s="148" t="n"/>
      <c r="Q901" s="148" t="n"/>
      <c r="R901" s="148" t="n"/>
      <c r="S901" s="148" t="n"/>
      <c r="T901" s="148" t="n"/>
      <c r="U901" s="149">
        <f>IF(AND('Master Stock'!D901&lt;&gt;"",'Master Stock'!H901="OCCUPIED",ISNUMBER('Master Stock'!J901),'Master Stock'!K901=""),SUMPRODUCT(--('Master Stock'!$D$2:$D$1000&lt;&gt;""),--('Master Stock'!$H$2:$H$1000="OCCUPIED"),--ISNUMBER('Master Stock'!$J$2:$J$1000),--('Master Stock'!$K$2:$K$1000=""),--('Master Stock'!$J$2:$J$1000&lt;'Master Stock'!J901))+COUNTIFS('Master Stock'!$J$2:J901,'Master Stock'!J901,'Master Stock'!$D$2:D901,"&lt;&gt;",'Master Stock'!$H$2:H901,"OCCUPIED",'Master Stock'!$K$2:K901,""),"")</f>
        <v/>
      </c>
      <c r="V901" s="149">
        <f>IF(AND('Master Stock'!D901&lt;&gt;"",'Master Stock'!H901="OCCUPIED",ISNUMBER('Master Stock'!L901),'Master Stock'!L901&lt;TODAY()-30),SUMPRODUCT(--('Master Stock'!$D$2:$D$1000&lt;&gt;""),--('Master Stock'!$H$2:$H$1000="OCCUPIED"),--ISNUMBER('Master Stock'!$L$2:$L$1000),--('Master Stock'!$L$2:$L$1000&lt;TODAY()-30),--('Master Stock'!$L$2:$L$1000&lt;'Master Stock'!L901))+COUNTIFS('Master Stock'!$L$2:L901,'Master Stock'!L901,'Master Stock'!$D$2:D901,"&lt;&gt;",'Master Stock'!$H$2:H901,"OCCUPIED"),"")</f>
        <v/>
      </c>
      <c r="W901" s="149" t="n"/>
      <c r="X901" s="149" t="n"/>
      <c r="Y901" s="149" t="n"/>
      <c r="Z901" s="149" t="n"/>
    </row>
    <row r="902" ht="15.75" customHeight="1" s="236">
      <c r="A902" s="148" t="n"/>
      <c r="B902" s="148" t="n"/>
      <c r="C902" s="124" t="n"/>
      <c r="D902" s="148" t="n"/>
      <c r="E902" s="148" t="n"/>
      <c r="F902" s="148" t="n"/>
      <c r="G902" s="124" t="n"/>
      <c r="H902" s="148" t="n"/>
      <c r="I902" s="148" t="n"/>
      <c r="J902" s="148" t="n"/>
      <c r="K902" s="148" t="n"/>
      <c r="L902" s="148" t="n"/>
      <c r="M902" s="148" t="n"/>
      <c r="N902" s="148" t="n"/>
      <c r="O902" s="148" t="n"/>
      <c r="P902" s="148" t="n"/>
      <c r="Q902" s="148" t="n"/>
      <c r="R902" s="148" t="n"/>
      <c r="S902" s="148" t="n"/>
      <c r="T902" s="148" t="n"/>
      <c r="U902" s="149">
        <f>IF(AND('Master Stock'!D902&lt;&gt;"",'Master Stock'!H902="OCCUPIED",ISNUMBER('Master Stock'!J902),'Master Stock'!K902=""),SUMPRODUCT(--('Master Stock'!$D$2:$D$1000&lt;&gt;""),--('Master Stock'!$H$2:$H$1000="OCCUPIED"),--ISNUMBER('Master Stock'!$J$2:$J$1000),--('Master Stock'!$K$2:$K$1000=""),--('Master Stock'!$J$2:$J$1000&lt;'Master Stock'!J902))+COUNTIFS('Master Stock'!$J$2:J902,'Master Stock'!J902,'Master Stock'!$D$2:D902,"&lt;&gt;",'Master Stock'!$H$2:H902,"OCCUPIED",'Master Stock'!$K$2:K902,""),"")</f>
        <v/>
      </c>
      <c r="V902" s="149">
        <f>IF(AND('Master Stock'!D902&lt;&gt;"",'Master Stock'!H902="OCCUPIED",ISNUMBER('Master Stock'!L902),'Master Stock'!L902&lt;TODAY()-30),SUMPRODUCT(--('Master Stock'!$D$2:$D$1000&lt;&gt;""),--('Master Stock'!$H$2:$H$1000="OCCUPIED"),--ISNUMBER('Master Stock'!$L$2:$L$1000),--('Master Stock'!$L$2:$L$1000&lt;TODAY()-30),--('Master Stock'!$L$2:$L$1000&lt;'Master Stock'!L902))+COUNTIFS('Master Stock'!$L$2:L902,'Master Stock'!L902,'Master Stock'!$D$2:D902,"&lt;&gt;",'Master Stock'!$H$2:H902,"OCCUPIED"),"")</f>
        <v/>
      </c>
      <c r="W902" s="149" t="n"/>
      <c r="X902" s="149" t="n"/>
      <c r="Y902" s="149" t="n"/>
      <c r="Z902" s="149" t="n"/>
    </row>
    <row r="903" ht="15.75" customHeight="1" s="236">
      <c r="A903" s="148" t="n"/>
      <c r="B903" s="148" t="n"/>
      <c r="C903" s="124" t="n"/>
      <c r="D903" s="148" t="n"/>
      <c r="E903" s="148" t="n"/>
      <c r="F903" s="148" t="n"/>
      <c r="G903" s="124" t="n"/>
      <c r="H903" s="148" t="n"/>
      <c r="I903" s="148" t="n"/>
      <c r="J903" s="148" t="n"/>
      <c r="K903" s="148" t="n"/>
      <c r="L903" s="148" t="n"/>
      <c r="M903" s="148" t="n"/>
      <c r="N903" s="148" t="n"/>
      <c r="O903" s="148" t="n"/>
      <c r="P903" s="148" t="n"/>
      <c r="Q903" s="148" t="n"/>
      <c r="R903" s="148" t="n"/>
      <c r="S903" s="148" t="n"/>
      <c r="T903" s="148" t="n"/>
      <c r="U903" s="149">
        <f>IF(AND('Master Stock'!D903&lt;&gt;"",'Master Stock'!H903="OCCUPIED",ISNUMBER('Master Stock'!J903),'Master Stock'!K903=""),SUMPRODUCT(--('Master Stock'!$D$2:$D$1000&lt;&gt;""),--('Master Stock'!$H$2:$H$1000="OCCUPIED"),--ISNUMBER('Master Stock'!$J$2:$J$1000),--('Master Stock'!$K$2:$K$1000=""),--('Master Stock'!$J$2:$J$1000&lt;'Master Stock'!J903))+COUNTIFS('Master Stock'!$J$2:J903,'Master Stock'!J903,'Master Stock'!$D$2:D903,"&lt;&gt;",'Master Stock'!$H$2:H903,"OCCUPIED",'Master Stock'!$K$2:K903,""),"")</f>
        <v/>
      </c>
      <c r="V903" s="149">
        <f>IF(AND('Master Stock'!D903&lt;&gt;"",'Master Stock'!H903="OCCUPIED",ISNUMBER('Master Stock'!L903),'Master Stock'!L903&lt;TODAY()-30),SUMPRODUCT(--('Master Stock'!$D$2:$D$1000&lt;&gt;""),--('Master Stock'!$H$2:$H$1000="OCCUPIED"),--ISNUMBER('Master Stock'!$L$2:$L$1000),--('Master Stock'!$L$2:$L$1000&lt;TODAY()-30),--('Master Stock'!$L$2:$L$1000&lt;'Master Stock'!L903))+COUNTIFS('Master Stock'!$L$2:L903,'Master Stock'!L903,'Master Stock'!$D$2:D903,"&lt;&gt;",'Master Stock'!$H$2:H903,"OCCUPIED"),"")</f>
        <v/>
      </c>
      <c r="W903" s="149" t="n"/>
      <c r="X903" s="149" t="n"/>
      <c r="Y903" s="149" t="n"/>
      <c r="Z903" s="149" t="n"/>
    </row>
    <row r="904" ht="15.75" customHeight="1" s="236">
      <c r="A904" s="148" t="n"/>
      <c r="B904" s="148" t="n"/>
      <c r="C904" s="124" t="n"/>
      <c r="D904" s="148" t="n"/>
      <c r="E904" s="148" t="n"/>
      <c r="F904" s="148" t="n"/>
      <c r="G904" s="124" t="n"/>
      <c r="H904" s="148" t="n"/>
      <c r="I904" s="148" t="n"/>
      <c r="J904" s="148" t="n"/>
      <c r="K904" s="148" t="n"/>
      <c r="L904" s="148" t="n"/>
      <c r="M904" s="148" t="n"/>
      <c r="N904" s="148" t="n"/>
      <c r="O904" s="148" t="n"/>
      <c r="P904" s="148" t="n"/>
      <c r="Q904" s="148" t="n"/>
      <c r="R904" s="148" t="n"/>
      <c r="S904" s="148" t="n"/>
      <c r="T904" s="148" t="n"/>
      <c r="U904" s="149">
        <f>IF(AND('Master Stock'!D904&lt;&gt;"",'Master Stock'!H904="OCCUPIED",ISNUMBER('Master Stock'!J904),'Master Stock'!K904=""),SUMPRODUCT(--('Master Stock'!$D$2:$D$1000&lt;&gt;""),--('Master Stock'!$H$2:$H$1000="OCCUPIED"),--ISNUMBER('Master Stock'!$J$2:$J$1000),--('Master Stock'!$K$2:$K$1000=""),--('Master Stock'!$J$2:$J$1000&lt;'Master Stock'!J904))+COUNTIFS('Master Stock'!$J$2:J904,'Master Stock'!J904,'Master Stock'!$D$2:D904,"&lt;&gt;",'Master Stock'!$H$2:H904,"OCCUPIED",'Master Stock'!$K$2:K904,""),"")</f>
        <v/>
      </c>
      <c r="V904" s="149">
        <f>IF(AND('Master Stock'!D904&lt;&gt;"",'Master Stock'!H904="OCCUPIED",ISNUMBER('Master Stock'!L904),'Master Stock'!L904&lt;TODAY()-30),SUMPRODUCT(--('Master Stock'!$D$2:$D$1000&lt;&gt;""),--('Master Stock'!$H$2:$H$1000="OCCUPIED"),--ISNUMBER('Master Stock'!$L$2:$L$1000),--('Master Stock'!$L$2:$L$1000&lt;TODAY()-30),--('Master Stock'!$L$2:$L$1000&lt;'Master Stock'!L904))+COUNTIFS('Master Stock'!$L$2:L904,'Master Stock'!L904,'Master Stock'!$D$2:D904,"&lt;&gt;",'Master Stock'!$H$2:H904,"OCCUPIED"),"")</f>
        <v/>
      </c>
      <c r="W904" s="149" t="n"/>
      <c r="X904" s="149" t="n"/>
      <c r="Y904" s="149" t="n"/>
      <c r="Z904" s="149" t="n"/>
    </row>
    <row r="905" ht="15.75" customHeight="1" s="236">
      <c r="A905" s="148" t="n"/>
      <c r="B905" s="148" t="n"/>
      <c r="C905" s="124" t="n"/>
      <c r="D905" s="148" t="n"/>
      <c r="E905" s="148" t="n"/>
      <c r="F905" s="148" t="n"/>
      <c r="G905" s="124" t="n"/>
      <c r="H905" s="148" t="n"/>
      <c r="I905" s="148" t="n"/>
      <c r="J905" s="148" t="n"/>
      <c r="K905" s="148" t="n"/>
      <c r="L905" s="148" t="n"/>
      <c r="M905" s="148" t="n"/>
      <c r="N905" s="148" t="n"/>
      <c r="O905" s="148" t="n"/>
      <c r="P905" s="148" t="n"/>
      <c r="Q905" s="148" t="n"/>
      <c r="R905" s="148" t="n"/>
      <c r="S905" s="148" t="n"/>
      <c r="T905" s="148" t="n"/>
      <c r="U905" s="149">
        <f>IF(AND('Master Stock'!D905&lt;&gt;"",'Master Stock'!H905="OCCUPIED",ISNUMBER('Master Stock'!J905),'Master Stock'!K905=""),SUMPRODUCT(--('Master Stock'!$D$2:$D$1000&lt;&gt;""),--('Master Stock'!$H$2:$H$1000="OCCUPIED"),--ISNUMBER('Master Stock'!$J$2:$J$1000),--('Master Stock'!$K$2:$K$1000=""),--('Master Stock'!$J$2:$J$1000&lt;'Master Stock'!J905))+COUNTIFS('Master Stock'!$J$2:J905,'Master Stock'!J905,'Master Stock'!$D$2:D905,"&lt;&gt;",'Master Stock'!$H$2:H905,"OCCUPIED",'Master Stock'!$K$2:K905,""),"")</f>
        <v/>
      </c>
      <c r="V905" s="149">
        <f>IF(AND('Master Stock'!D905&lt;&gt;"",'Master Stock'!H905="OCCUPIED",ISNUMBER('Master Stock'!L905),'Master Stock'!L905&lt;TODAY()-30),SUMPRODUCT(--('Master Stock'!$D$2:$D$1000&lt;&gt;""),--('Master Stock'!$H$2:$H$1000="OCCUPIED"),--ISNUMBER('Master Stock'!$L$2:$L$1000),--('Master Stock'!$L$2:$L$1000&lt;TODAY()-30),--('Master Stock'!$L$2:$L$1000&lt;'Master Stock'!L905))+COUNTIFS('Master Stock'!$L$2:L905,'Master Stock'!L905,'Master Stock'!$D$2:D905,"&lt;&gt;",'Master Stock'!$H$2:H905,"OCCUPIED"),"")</f>
        <v/>
      </c>
      <c r="W905" s="149" t="n"/>
      <c r="X905" s="149" t="n"/>
      <c r="Y905" s="149" t="n"/>
      <c r="Z905" s="149" t="n"/>
    </row>
    <row r="906" ht="15.75" customHeight="1" s="236">
      <c r="A906" s="148" t="n"/>
      <c r="B906" s="148" t="n"/>
      <c r="C906" s="124" t="n"/>
      <c r="D906" s="148" t="n"/>
      <c r="E906" s="148" t="n"/>
      <c r="F906" s="148" t="n"/>
      <c r="G906" s="124" t="n"/>
      <c r="H906" s="148" t="n"/>
      <c r="I906" s="148" t="n"/>
      <c r="J906" s="148" t="n"/>
      <c r="K906" s="148" t="n"/>
      <c r="L906" s="148" t="n"/>
      <c r="M906" s="148" t="n"/>
      <c r="N906" s="148" t="n"/>
      <c r="O906" s="148" t="n"/>
      <c r="P906" s="148" t="n"/>
      <c r="Q906" s="148" t="n"/>
      <c r="R906" s="148" t="n"/>
      <c r="S906" s="148" t="n"/>
      <c r="T906" s="148" t="n"/>
      <c r="U906" s="149">
        <f>IF(AND('Master Stock'!D906&lt;&gt;"",'Master Stock'!H906="OCCUPIED",ISNUMBER('Master Stock'!J906),'Master Stock'!K906=""),SUMPRODUCT(--('Master Stock'!$D$2:$D$1000&lt;&gt;""),--('Master Stock'!$H$2:$H$1000="OCCUPIED"),--ISNUMBER('Master Stock'!$J$2:$J$1000),--('Master Stock'!$K$2:$K$1000=""),--('Master Stock'!$J$2:$J$1000&lt;'Master Stock'!J906))+COUNTIFS('Master Stock'!$J$2:J906,'Master Stock'!J906,'Master Stock'!$D$2:D906,"&lt;&gt;",'Master Stock'!$H$2:H906,"OCCUPIED",'Master Stock'!$K$2:K906,""),"")</f>
        <v/>
      </c>
      <c r="V906" s="149">
        <f>IF(AND('Master Stock'!D906&lt;&gt;"",'Master Stock'!H906="OCCUPIED",ISNUMBER('Master Stock'!L906),'Master Stock'!L906&lt;TODAY()-30),SUMPRODUCT(--('Master Stock'!$D$2:$D$1000&lt;&gt;""),--('Master Stock'!$H$2:$H$1000="OCCUPIED"),--ISNUMBER('Master Stock'!$L$2:$L$1000),--('Master Stock'!$L$2:$L$1000&lt;TODAY()-30),--('Master Stock'!$L$2:$L$1000&lt;'Master Stock'!L906))+COUNTIFS('Master Stock'!$L$2:L906,'Master Stock'!L906,'Master Stock'!$D$2:D906,"&lt;&gt;",'Master Stock'!$H$2:H906,"OCCUPIED"),"")</f>
        <v/>
      </c>
      <c r="W906" s="149" t="n"/>
      <c r="X906" s="149" t="n"/>
      <c r="Y906" s="149" t="n"/>
      <c r="Z906" s="149" t="n"/>
    </row>
    <row r="907" ht="15.75" customHeight="1" s="236">
      <c r="A907" s="148" t="n"/>
      <c r="B907" s="148" t="n"/>
      <c r="C907" s="124" t="n"/>
      <c r="D907" s="148" t="n"/>
      <c r="E907" s="148" t="n"/>
      <c r="F907" s="148" t="n"/>
      <c r="G907" s="124" t="n"/>
      <c r="H907" s="148" t="n"/>
      <c r="I907" s="148" t="n"/>
      <c r="J907" s="148" t="n"/>
      <c r="K907" s="148" t="n"/>
      <c r="L907" s="148" t="n"/>
      <c r="M907" s="148" t="n"/>
      <c r="N907" s="148" t="n"/>
      <c r="O907" s="148" t="n"/>
      <c r="P907" s="148" t="n"/>
      <c r="Q907" s="148" t="n"/>
      <c r="R907" s="148" t="n"/>
      <c r="S907" s="148" t="n"/>
      <c r="T907" s="148" t="n"/>
      <c r="U907" s="149">
        <f>IF(AND('Master Stock'!D907&lt;&gt;"",'Master Stock'!H907="OCCUPIED",ISNUMBER('Master Stock'!J907),'Master Stock'!K907=""),SUMPRODUCT(--('Master Stock'!$D$2:$D$1000&lt;&gt;""),--('Master Stock'!$H$2:$H$1000="OCCUPIED"),--ISNUMBER('Master Stock'!$J$2:$J$1000),--('Master Stock'!$K$2:$K$1000=""),--('Master Stock'!$J$2:$J$1000&lt;'Master Stock'!J907))+COUNTIFS('Master Stock'!$J$2:J907,'Master Stock'!J907,'Master Stock'!$D$2:D907,"&lt;&gt;",'Master Stock'!$H$2:H907,"OCCUPIED",'Master Stock'!$K$2:K907,""),"")</f>
        <v/>
      </c>
      <c r="V907" s="149">
        <f>IF(AND('Master Stock'!D907&lt;&gt;"",'Master Stock'!H907="OCCUPIED",ISNUMBER('Master Stock'!L907),'Master Stock'!L907&lt;TODAY()-30),SUMPRODUCT(--('Master Stock'!$D$2:$D$1000&lt;&gt;""),--('Master Stock'!$H$2:$H$1000="OCCUPIED"),--ISNUMBER('Master Stock'!$L$2:$L$1000),--('Master Stock'!$L$2:$L$1000&lt;TODAY()-30),--('Master Stock'!$L$2:$L$1000&lt;'Master Stock'!L907))+COUNTIFS('Master Stock'!$L$2:L907,'Master Stock'!L907,'Master Stock'!$D$2:D907,"&lt;&gt;",'Master Stock'!$H$2:H907,"OCCUPIED"),"")</f>
        <v/>
      </c>
      <c r="W907" s="149" t="n"/>
      <c r="X907" s="149" t="n"/>
      <c r="Y907" s="149" t="n"/>
      <c r="Z907" s="149" t="n"/>
    </row>
    <row r="908" ht="15.75" customHeight="1" s="236">
      <c r="A908" s="148" t="n"/>
      <c r="B908" s="148" t="n"/>
      <c r="C908" s="124" t="n"/>
      <c r="D908" s="148" t="n"/>
      <c r="E908" s="148" t="n"/>
      <c r="F908" s="148" t="n"/>
      <c r="G908" s="124" t="n"/>
      <c r="H908" s="148" t="n"/>
      <c r="I908" s="148" t="n"/>
      <c r="J908" s="148" t="n"/>
      <c r="K908" s="148" t="n"/>
      <c r="L908" s="148" t="n"/>
      <c r="M908" s="148" t="n"/>
      <c r="N908" s="148" t="n"/>
      <c r="O908" s="148" t="n"/>
      <c r="P908" s="148" t="n"/>
      <c r="Q908" s="148" t="n"/>
      <c r="R908" s="148" t="n"/>
      <c r="S908" s="148" t="n"/>
      <c r="T908" s="148" t="n"/>
      <c r="U908" s="149">
        <f>IF(AND('Master Stock'!D908&lt;&gt;"",'Master Stock'!H908="OCCUPIED",ISNUMBER('Master Stock'!J908),'Master Stock'!K908=""),SUMPRODUCT(--('Master Stock'!$D$2:$D$1000&lt;&gt;""),--('Master Stock'!$H$2:$H$1000="OCCUPIED"),--ISNUMBER('Master Stock'!$J$2:$J$1000),--('Master Stock'!$K$2:$K$1000=""),--('Master Stock'!$J$2:$J$1000&lt;'Master Stock'!J908))+COUNTIFS('Master Stock'!$J$2:J908,'Master Stock'!J908,'Master Stock'!$D$2:D908,"&lt;&gt;",'Master Stock'!$H$2:H908,"OCCUPIED",'Master Stock'!$K$2:K908,""),"")</f>
        <v/>
      </c>
      <c r="V908" s="149">
        <f>IF(AND('Master Stock'!D908&lt;&gt;"",'Master Stock'!H908="OCCUPIED",ISNUMBER('Master Stock'!L908),'Master Stock'!L908&lt;TODAY()-30),SUMPRODUCT(--('Master Stock'!$D$2:$D$1000&lt;&gt;""),--('Master Stock'!$H$2:$H$1000="OCCUPIED"),--ISNUMBER('Master Stock'!$L$2:$L$1000),--('Master Stock'!$L$2:$L$1000&lt;TODAY()-30),--('Master Stock'!$L$2:$L$1000&lt;'Master Stock'!L908))+COUNTIFS('Master Stock'!$L$2:L908,'Master Stock'!L908,'Master Stock'!$D$2:D908,"&lt;&gt;",'Master Stock'!$H$2:H908,"OCCUPIED"),"")</f>
        <v/>
      </c>
      <c r="W908" s="149" t="n"/>
      <c r="X908" s="149" t="n"/>
      <c r="Y908" s="149" t="n"/>
      <c r="Z908" s="149" t="n"/>
    </row>
    <row r="909" ht="15.75" customHeight="1" s="236">
      <c r="A909" s="148" t="n"/>
      <c r="B909" s="148" t="n"/>
      <c r="C909" s="124" t="n"/>
      <c r="D909" s="148" t="n"/>
      <c r="E909" s="148" t="n"/>
      <c r="F909" s="148" t="n"/>
      <c r="G909" s="124" t="n"/>
      <c r="H909" s="148" t="n"/>
      <c r="I909" s="148" t="n"/>
      <c r="J909" s="148" t="n"/>
      <c r="K909" s="148" t="n"/>
      <c r="L909" s="148" t="n"/>
      <c r="M909" s="148" t="n"/>
      <c r="N909" s="148" t="n"/>
      <c r="O909" s="148" t="n"/>
      <c r="P909" s="148" t="n"/>
      <c r="Q909" s="148" t="n"/>
      <c r="R909" s="148" t="n"/>
      <c r="S909" s="148" t="n"/>
      <c r="T909" s="148" t="n"/>
      <c r="U909" s="149">
        <f>IF(AND('Master Stock'!D909&lt;&gt;"",'Master Stock'!H909="OCCUPIED",ISNUMBER('Master Stock'!J909),'Master Stock'!K909=""),SUMPRODUCT(--('Master Stock'!$D$2:$D$1000&lt;&gt;""),--('Master Stock'!$H$2:$H$1000="OCCUPIED"),--ISNUMBER('Master Stock'!$J$2:$J$1000),--('Master Stock'!$K$2:$K$1000=""),--('Master Stock'!$J$2:$J$1000&lt;'Master Stock'!J909))+COUNTIFS('Master Stock'!$J$2:J909,'Master Stock'!J909,'Master Stock'!$D$2:D909,"&lt;&gt;",'Master Stock'!$H$2:H909,"OCCUPIED",'Master Stock'!$K$2:K909,""),"")</f>
        <v/>
      </c>
      <c r="V909" s="149">
        <f>IF(AND('Master Stock'!D909&lt;&gt;"",'Master Stock'!H909="OCCUPIED",ISNUMBER('Master Stock'!L909),'Master Stock'!L909&lt;TODAY()-30),SUMPRODUCT(--('Master Stock'!$D$2:$D$1000&lt;&gt;""),--('Master Stock'!$H$2:$H$1000="OCCUPIED"),--ISNUMBER('Master Stock'!$L$2:$L$1000),--('Master Stock'!$L$2:$L$1000&lt;TODAY()-30),--('Master Stock'!$L$2:$L$1000&lt;'Master Stock'!L909))+COUNTIFS('Master Stock'!$L$2:L909,'Master Stock'!L909,'Master Stock'!$D$2:D909,"&lt;&gt;",'Master Stock'!$H$2:H909,"OCCUPIED"),"")</f>
        <v/>
      </c>
      <c r="W909" s="149" t="n"/>
      <c r="X909" s="149" t="n"/>
      <c r="Y909" s="149" t="n"/>
      <c r="Z909" s="149" t="n"/>
    </row>
    <row r="910" ht="15.75" customHeight="1" s="236">
      <c r="A910" s="148" t="n"/>
      <c r="B910" s="148" t="n"/>
      <c r="C910" s="124" t="n"/>
      <c r="D910" s="148" t="n"/>
      <c r="E910" s="148" t="n"/>
      <c r="F910" s="148" t="n"/>
      <c r="G910" s="124" t="n"/>
      <c r="H910" s="148" t="n"/>
      <c r="I910" s="148" t="n"/>
      <c r="J910" s="148" t="n"/>
      <c r="K910" s="148" t="n"/>
      <c r="L910" s="148" t="n"/>
      <c r="M910" s="148" t="n"/>
      <c r="N910" s="148" t="n"/>
      <c r="O910" s="148" t="n"/>
      <c r="P910" s="148" t="n"/>
      <c r="Q910" s="148" t="n"/>
      <c r="R910" s="148" t="n"/>
      <c r="S910" s="148" t="n"/>
      <c r="T910" s="148" t="n"/>
      <c r="U910" s="149">
        <f>IF(AND('Master Stock'!D910&lt;&gt;"",'Master Stock'!H910="OCCUPIED",ISNUMBER('Master Stock'!J910),'Master Stock'!K910=""),SUMPRODUCT(--('Master Stock'!$D$2:$D$1000&lt;&gt;""),--('Master Stock'!$H$2:$H$1000="OCCUPIED"),--ISNUMBER('Master Stock'!$J$2:$J$1000),--('Master Stock'!$K$2:$K$1000=""),--('Master Stock'!$J$2:$J$1000&lt;'Master Stock'!J910))+COUNTIFS('Master Stock'!$J$2:J910,'Master Stock'!J910,'Master Stock'!$D$2:D910,"&lt;&gt;",'Master Stock'!$H$2:H910,"OCCUPIED",'Master Stock'!$K$2:K910,""),"")</f>
        <v/>
      </c>
      <c r="V910" s="149">
        <f>IF(AND('Master Stock'!D910&lt;&gt;"",'Master Stock'!H910="OCCUPIED",ISNUMBER('Master Stock'!L910),'Master Stock'!L910&lt;TODAY()-30),SUMPRODUCT(--('Master Stock'!$D$2:$D$1000&lt;&gt;""),--('Master Stock'!$H$2:$H$1000="OCCUPIED"),--ISNUMBER('Master Stock'!$L$2:$L$1000),--('Master Stock'!$L$2:$L$1000&lt;TODAY()-30),--('Master Stock'!$L$2:$L$1000&lt;'Master Stock'!L910))+COUNTIFS('Master Stock'!$L$2:L910,'Master Stock'!L910,'Master Stock'!$D$2:D910,"&lt;&gt;",'Master Stock'!$H$2:H910,"OCCUPIED"),"")</f>
        <v/>
      </c>
      <c r="W910" s="149" t="n"/>
      <c r="X910" s="149" t="n"/>
      <c r="Y910" s="149" t="n"/>
      <c r="Z910" s="149" t="n"/>
    </row>
    <row r="911" ht="15.75" customHeight="1" s="236">
      <c r="A911" s="148" t="n"/>
      <c r="B911" s="148" t="n"/>
      <c r="C911" s="124" t="n"/>
      <c r="D911" s="148" t="n"/>
      <c r="E911" s="148" t="n"/>
      <c r="F911" s="148" t="n"/>
      <c r="G911" s="124" t="n"/>
      <c r="H911" s="148" t="n"/>
      <c r="I911" s="148" t="n"/>
      <c r="J911" s="148" t="n"/>
      <c r="K911" s="148" t="n"/>
      <c r="L911" s="148" t="n"/>
      <c r="M911" s="148" t="n"/>
      <c r="N911" s="148" t="n"/>
      <c r="O911" s="148" t="n"/>
      <c r="P911" s="148" t="n"/>
      <c r="Q911" s="148" t="n"/>
      <c r="R911" s="148" t="n"/>
      <c r="S911" s="148" t="n"/>
      <c r="T911" s="148" t="n"/>
      <c r="U911" s="149">
        <f>IF(AND('Master Stock'!D911&lt;&gt;"",'Master Stock'!H911="OCCUPIED",ISNUMBER('Master Stock'!J911),'Master Stock'!K911=""),SUMPRODUCT(--('Master Stock'!$D$2:$D$1000&lt;&gt;""),--('Master Stock'!$H$2:$H$1000="OCCUPIED"),--ISNUMBER('Master Stock'!$J$2:$J$1000),--('Master Stock'!$K$2:$K$1000=""),--('Master Stock'!$J$2:$J$1000&lt;'Master Stock'!J911))+COUNTIFS('Master Stock'!$J$2:J911,'Master Stock'!J911,'Master Stock'!$D$2:D911,"&lt;&gt;",'Master Stock'!$H$2:H911,"OCCUPIED",'Master Stock'!$K$2:K911,""),"")</f>
        <v/>
      </c>
      <c r="V911" s="149">
        <f>IF(AND('Master Stock'!D911&lt;&gt;"",'Master Stock'!H911="OCCUPIED",ISNUMBER('Master Stock'!L911),'Master Stock'!L911&lt;TODAY()-30),SUMPRODUCT(--('Master Stock'!$D$2:$D$1000&lt;&gt;""),--('Master Stock'!$H$2:$H$1000="OCCUPIED"),--ISNUMBER('Master Stock'!$L$2:$L$1000),--('Master Stock'!$L$2:$L$1000&lt;TODAY()-30),--('Master Stock'!$L$2:$L$1000&lt;'Master Stock'!L911))+COUNTIFS('Master Stock'!$L$2:L911,'Master Stock'!L911,'Master Stock'!$D$2:D911,"&lt;&gt;",'Master Stock'!$H$2:H911,"OCCUPIED"),"")</f>
        <v/>
      </c>
      <c r="W911" s="149" t="n"/>
      <c r="X911" s="149" t="n"/>
      <c r="Y911" s="149" t="n"/>
      <c r="Z911" s="149" t="n"/>
    </row>
    <row r="912" ht="15.75" customHeight="1" s="236">
      <c r="A912" s="148" t="n"/>
      <c r="B912" s="148" t="n"/>
      <c r="C912" s="124" t="n"/>
      <c r="D912" s="148" t="n"/>
      <c r="E912" s="148" t="n"/>
      <c r="F912" s="148" t="n"/>
      <c r="G912" s="124" t="n"/>
      <c r="H912" s="148" t="n"/>
      <c r="I912" s="148" t="n"/>
      <c r="J912" s="148" t="n"/>
      <c r="K912" s="148" t="n"/>
      <c r="L912" s="148" t="n"/>
      <c r="M912" s="148" t="n"/>
      <c r="N912" s="148" t="n"/>
      <c r="O912" s="148" t="n"/>
      <c r="P912" s="148" t="n"/>
      <c r="Q912" s="148" t="n"/>
      <c r="R912" s="148" t="n"/>
      <c r="S912" s="148" t="n"/>
      <c r="T912" s="148" t="n"/>
      <c r="U912" s="149">
        <f>IF(AND('Master Stock'!D912&lt;&gt;"",'Master Stock'!H912="OCCUPIED",ISNUMBER('Master Stock'!J912),'Master Stock'!K912=""),SUMPRODUCT(--('Master Stock'!$D$2:$D$1000&lt;&gt;""),--('Master Stock'!$H$2:$H$1000="OCCUPIED"),--ISNUMBER('Master Stock'!$J$2:$J$1000),--('Master Stock'!$K$2:$K$1000=""),--('Master Stock'!$J$2:$J$1000&lt;'Master Stock'!J912))+COUNTIFS('Master Stock'!$J$2:J912,'Master Stock'!J912,'Master Stock'!$D$2:D912,"&lt;&gt;",'Master Stock'!$H$2:H912,"OCCUPIED",'Master Stock'!$K$2:K912,""),"")</f>
        <v/>
      </c>
      <c r="V912" s="149">
        <f>IF(AND('Master Stock'!D912&lt;&gt;"",'Master Stock'!H912="OCCUPIED",ISNUMBER('Master Stock'!L912),'Master Stock'!L912&lt;TODAY()-30),SUMPRODUCT(--('Master Stock'!$D$2:$D$1000&lt;&gt;""),--('Master Stock'!$H$2:$H$1000="OCCUPIED"),--ISNUMBER('Master Stock'!$L$2:$L$1000),--('Master Stock'!$L$2:$L$1000&lt;TODAY()-30),--('Master Stock'!$L$2:$L$1000&lt;'Master Stock'!L912))+COUNTIFS('Master Stock'!$L$2:L912,'Master Stock'!L912,'Master Stock'!$D$2:D912,"&lt;&gt;",'Master Stock'!$H$2:H912,"OCCUPIED"),"")</f>
        <v/>
      </c>
      <c r="W912" s="149" t="n"/>
      <c r="X912" s="149" t="n"/>
      <c r="Y912" s="149" t="n"/>
      <c r="Z912" s="149" t="n"/>
    </row>
    <row r="913" ht="15.75" customHeight="1" s="236">
      <c r="A913" s="148" t="n"/>
      <c r="B913" s="148" t="n"/>
      <c r="C913" s="124" t="n"/>
      <c r="D913" s="148" t="n"/>
      <c r="E913" s="148" t="n"/>
      <c r="F913" s="148" t="n"/>
      <c r="G913" s="124" t="n"/>
      <c r="H913" s="148" t="n"/>
      <c r="I913" s="148" t="n"/>
      <c r="J913" s="148" t="n"/>
      <c r="K913" s="148" t="n"/>
      <c r="L913" s="148" t="n"/>
      <c r="M913" s="148" t="n"/>
      <c r="N913" s="148" t="n"/>
      <c r="O913" s="148" t="n"/>
      <c r="P913" s="148" t="n"/>
      <c r="Q913" s="148" t="n"/>
      <c r="R913" s="148" t="n"/>
      <c r="S913" s="148" t="n"/>
      <c r="T913" s="148" t="n"/>
      <c r="U913" s="149">
        <f>IF(AND('Master Stock'!D913&lt;&gt;"",'Master Stock'!H913="OCCUPIED",ISNUMBER('Master Stock'!J913),'Master Stock'!K913=""),SUMPRODUCT(--('Master Stock'!$D$2:$D$1000&lt;&gt;""),--('Master Stock'!$H$2:$H$1000="OCCUPIED"),--ISNUMBER('Master Stock'!$J$2:$J$1000),--('Master Stock'!$K$2:$K$1000=""),--('Master Stock'!$J$2:$J$1000&lt;'Master Stock'!J913))+COUNTIFS('Master Stock'!$J$2:J913,'Master Stock'!J913,'Master Stock'!$D$2:D913,"&lt;&gt;",'Master Stock'!$H$2:H913,"OCCUPIED",'Master Stock'!$K$2:K913,""),"")</f>
        <v/>
      </c>
      <c r="V913" s="149">
        <f>IF(AND('Master Stock'!D913&lt;&gt;"",'Master Stock'!H913="OCCUPIED",ISNUMBER('Master Stock'!L913),'Master Stock'!L913&lt;TODAY()-30),SUMPRODUCT(--('Master Stock'!$D$2:$D$1000&lt;&gt;""),--('Master Stock'!$H$2:$H$1000="OCCUPIED"),--ISNUMBER('Master Stock'!$L$2:$L$1000),--('Master Stock'!$L$2:$L$1000&lt;TODAY()-30),--('Master Stock'!$L$2:$L$1000&lt;'Master Stock'!L913))+COUNTIFS('Master Stock'!$L$2:L913,'Master Stock'!L913,'Master Stock'!$D$2:D913,"&lt;&gt;",'Master Stock'!$H$2:H913,"OCCUPIED"),"")</f>
        <v/>
      </c>
      <c r="W913" s="149" t="n"/>
      <c r="X913" s="149" t="n"/>
      <c r="Y913" s="149" t="n"/>
      <c r="Z913" s="149" t="n"/>
    </row>
    <row r="914" ht="15.75" customHeight="1" s="236">
      <c r="A914" s="148" t="n"/>
      <c r="B914" s="148" t="n"/>
      <c r="C914" s="124" t="n"/>
      <c r="D914" s="148" t="n"/>
      <c r="E914" s="148" t="n"/>
      <c r="F914" s="148" t="n"/>
      <c r="G914" s="124" t="n"/>
      <c r="H914" s="148" t="n"/>
      <c r="I914" s="148" t="n"/>
      <c r="J914" s="148" t="n"/>
      <c r="K914" s="148" t="n"/>
      <c r="L914" s="148" t="n"/>
      <c r="M914" s="148" t="n"/>
      <c r="N914" s="148" t="n"/>
      <c r="O914" s="148" t="n"/>
      <c r="P914" s="148" t="n"/>
      <c r="Q914" s="148" t="n"/>
      <c r="R914" s="148" t="n"/>
      <c r="S914" s="148" t="n"/>
      <c r="T914" s="148" t="n"/>
      <c r="U914" s="149">
        <f>IF(AND('Master Stock'!D914&lt;&gt;"",'Master Stock'!H914="OCCUPIED",ISNUMBER('Master Stock'!J914),'Master Stock'!K914=""),SUMPRODUCT(--('Master Stock'!$D$2:$D$1000&lt;&gt;""),--('Master Stock'!$H$2:$H$1000="OCCUPIED"),--ISNUMBER('Master Stock'!$J$2:$J$1000),--('Master Stock'!$K$2:$K$1000=""),--('Master Stock'!$J$2:$J$1000&lt;'Master Stock'!J914))+COUNTIFS('Master Stock'!$J$2:J914,'Master Stock'!J914,'Master Stock'!$D$2:D914,"&lt;&gt;",'Master Stock'!$H$2:H914,"OCCUPIED",'Master Stock'!$K$2:K914,""),"")</f>
        <v/>
      </c>
      <c r="V914" s="149">
        <f>IF(AND('Master Stock'!D914&lt;&gt;"",'Master Stock'!H914="OCCUPIED",ISNUMBER('Master Stock'!L914),'Master Stock'!L914&lt;TODAY()-30),SUMPRODUCT(--('Master Stock'!$D$2:$D$1000&lt;&gt;""),--('Master Stock'!$H$2:$H$1000="OCCUPIED"),--ISNUMBER('Master Stock'!$L$2:$L$1000),--('Master Stock'!$L$2:$L$1000&lt;TODAY()-30),--('Master Stock'!$L$2:$L$1000&lt;'Master Stock'!L914))+COUNTIFS('Master Stock'!$L$2:L914,'Master Stock'!L914,'Master Stock'!$D$2:D914,"&lt;&gt;",'Master Stock'!$H$2:H914,"OCCUPIED"),"")</f>
        <v/>
      </c>
      <c r="W914" s="149" t="n"/>
      <c r="X914" s="149" t="n"/>
      <c r="Y914" s="149" t="n"/>
      <c r="Z914" s="149" t="n"/>
    </row>
    <row r="915" ht="15.75" customHeight="1" s="236">
      <c r="A915" s="148" t="n"/>
      <c r="B915" s="148" t="n"/>
      <c r="C915" s="124" t="n"/>
      <c r="D915" s="148" t="n"/>
      <c r="E915" s="148" t="n"/>
      <c r="F915" s="148" t="n"/>
      <c r="G915" s="124" t="n"/>
      <c r="H915" s="148" t="n"/>
      <c r="I915" s="148" t="n"/>
      <c r="J915" s="148" t="n"/>
      <c r="K915" s="148" t="n"/>
      <c r="L915" s="148" t="n"/>
      <c r="M915" s="148" t="n"/>
      <c r="N915" s="148" t="n"/>
      <c r="O915" s="148" t="n"/>
      <c r="P915" s="148" t="n"/>
      <c r="Q915" s="148" t="n"/>
      <c r="R915" s="148" t="n"/>
      <c r="S915" s="148" t="n"/>
      <c r="T915" s="148" t="n"/>
      <c r="U915" s="149">
        <f>IF(AND('Master Stock'!D915&lt;&gt;"",'Master Stock'!H915="OCCUPIED",ISNUMBER('Master Stock'!J915),'Master Stock'!K915=""),SUMPRODUCT(--('Master Stock'!$D$2:$D$1000&lt;&gt;""),--('Master Stock'!$H$2:$H$1000="OCCUPIED"),--ISNUMBER('Master Stock'!$J$2:$J$1000),--('Master Stock'!$K$2:$K$1000=""),--('Master Stock'!$J$2:$J$1000&lt;'Master Stock'!J915))+COUNTIFS('Master Stock'!$J$2:J915,'Master Stock'!J915,'Master Stock'!$D$2:D915,"&lt;&gt;",'Master Stock'!$H$2:H915,"OCCUPIED",'Master Stock'!$K$2:K915,""),"")</f>
        <v/>
      </c>
      <c r="V915" s="149">
        <f>IF(AND('Master Stock'!D915&lt;&gt;"",'Master Stock'!H915="OCCUPIED",ISNUMBER('Master Stock'!L915),'Master Stock'!L915&lt;TODAY()-30),SUMPRODUCT(--('Master Stock'!$D$2:$D$1000&lt;&gt;""),--('Master Stock'!$H$2:$H$1000="OCCUPIED"),--ISNUMBER('Master Stock'!$L$2:$L$1000),--('Master Stock'!$L$2:$L$1000&lt;TODAY()-30),--('Master Stock'!$L$2:$L$1000&lt;'Master Stock'!L915))+COUNTIFS('Master Stock'!$L$2:L915,'Master Stock'!L915,'Master Stock'!$D$2:D915,"&lt;&gt;",'Master Stock'!$H$2:H915,"OCCUPIED"),"")</f>
        <v/>
      </c>
      <c r="W915" s="149" t="n"/>
      <c r="X915" s="149" t="n"/>
      <c r="Y915" s="149" t="n"/>
      <c r="Z915" s="149" t="n"/>
    </row>
    <row r="916" ht="15.75" customHeight="1" s="236">
      <c r="A916" s="148" t="n"/>
      <c r="B916" s="148" t="n"/>
      <c r="C916" s="124" t="n"/>
      <c r="D916" s="148" t="n"/>
      <c r="E916" s="148" t="n"/>
      <c r="F916" s="148" t="n"/>
      <c r="G916" s="124" t="n"/>
      <c r="H916" s="148" t="n"/>
      <c r="I916" s="148" t="n"/>
      <c r="J916" s="148" t="n"/>
      <c r="K916" s="148" t="n"/>
      <c r="L916" s="148" t="n"/>
      <c r="M916" s="148" t="n"/>
      <c r="N916" s="148" t="n"/>
      <c r="O916" s="148" t="n"/>
      <c r="P916" s="148" t="n"/>
      <c r="Q916" s="148" t="n"/>
      <c r="R916" s="148" t="n"/>
      <c r="S916" s="148" t="n"/>
      <c r="T916" s="148" t="n"/>
      <c r="U916" s="149">
        <f>IF(AND('Master Stock'!D916&lt;&gt;"",'Master Stock'!H916="OCCUPIED",ISNUMBER('Master Stock'!J916),'Master Stock'!K916=""),SUMPRODUCT(--('Master Stock'!$D$2:$D$1000&lt;&gt;""),--('Master Stock'!$H$2:$H$1000="OCCUPIED"),--ISNUMBER('Master Stock'!$J$2:$J$1000),--('Master Stock'!$K$2:$K$1000=""),--('Master Stock'!$J$2:$J$1000&lt;'Master Stock'!J916))+COUNTIFS('Master Stock'!$J$2:J916,'Master Stock'!J916,'Master Stock'!$D$2:D916,"&lt;&gt;",'Master Stock'!$H$2:H916,"OCCUPIED",'Master Stock'!$K$2:K916,""),"")</f>
        <v/>
      </c>
      <c r="V916" s="149">
        <f>IF(AND('Master Stock'!D916&lt;&gt;"",'Master Stock'!H916="OCCUPIED",ISNUMBER('Master Stock'!L916),'Master Stock'!L916&lt;TODAY()-30),SUMPRODUCT(--('Master Stock'!$D$2:$D$1000&lt;&gt;""),--('Master Stock'!$H$2:$H$1000="OCCUPIED"),--ISNUMBER('Master Stock'!$L$2:$L$1000),--('Master Stock'!$L$2:$L$1000&lt;TODAY()-30),--('Master Stock'!$L$2:$L$1000&lt;'Master Stock'!L916))+COUNTIFS('Master Stock'!$L$2:L916,'Master Stock'!L916,'Master Stock'!$D$2:D916,"&lt;&gt;",'Master Stock'!$H$2:H916,"OCCUPIED"),"")</f>
        <v/>
      </c>
      <c r="W916" s="149" t="n"/>
      <c r="X916" s="149" t="n"/>
      <c r="Y916" s="149" t="n"/>
      <c r="Z916" s="149" t="n"/>
    </row>
    <row r="917" ht="15.75" customHeight="1" s="236">
      <c r="A917" s="148" t="n"/>
      <c r="B917" s="148" t="n"/>
      <c r="C917" s="124" t="n"/>
      <c r="D917" s="148" t="n"/>
      <c r="E917" s="148" t="n"/>
      <c r="F917" s="148" t="n"/>
      <c r="G917" s="124" t="n"/>
      <c r="H917" s="148" t="n"/>
      <c r="I917" s="148" t="n"/>
      <c r="J917" s="148" t="n"/>
      <c r="K917" s="148" t="n"/>
      <c r="L917" s="148" t="n"/>
      <c r="M917" s="148" t="n"/>
      <c r="N917" s="148" t="n"/>
      <c r="O917" s="148" t="n"/>
      <c r="P917" s="148" t="n"/>
      <c r="Q917" s="148" t="n"/>
      <c r="R917" s="148" t="n"/>
      <c r="S917" s="148" t="n"/>
      <c r="T917" s="148" t="n"/>
      <c r="U917" s="149">
        <f>IF(AND('Master Stock'!D917&lt;&gt;"",'Master Stock'!H917="OCCUPIED",ISNUMBER('Master Stock'!J917),'Master Stock'!K917=""),SUMPRODUCT(--('Master Stock'!$D$2:$D$1000&lt;&gt;""),--('Master Stock'!$H$2:$H$1000="OCCUPIED"),--ISNUMBER('Master Stock'!$J$2:$J$1000),--('Master Stock'!$K$2:$K$1000=""),--('Master Stock'!$J$2:$J$1000&lt;'Master Stock'!J917))+COUNTIFS('Master Stock'!$J$2:J917,'Master Stock'!J917,'Master Stock'!$D$2:D917,"&lt;&gt;",'Master Stock'!$H$2:H917,"OCCUPIED",'Master Stock'!$K$2:K917,""),"")</f>
        <v/>
      </c>
      <c r="V917" s="149">
        <f>IF(AND('Master Stock'!D917&lt;&gt;"",'Master Stock'!H917="OCCUPIED",ISNUMBER('Master Stock'!L917),'Master Stock'!L917&lt;TODAY()-30),SUMPRODUCT(--('Master Stock'!$D$2:$D$1000&lt;&gt;""),--('Master Stock'!$H$2:$H$1000="OCCUPIED"),--ISNUMBER('Master Stock'!$L$2:$L$1000),--('Master Stock'!$L$2:$L$1000&lt;TODAY()-30),--('Master Stock'!$L$2:$L$1000&lt;'Master Stock'!L917))+COUNTIFS('Master Stock'!$L$2:L917,'Master Stock'!L917,'Master Stock'!$D$2:D917,"&lt;&gt;",'Master Stock'!$H$2:H917,"OCCUPIED"),"")</f>
        <v/>
      </c>
      <c r="W917" s="149" t="n"/>
      <c r="X917" s="149" t="n"/>
      <c r="Y917" s="149" t="n"/>
      <c r="Z917" s="149" t="n"/>
    </row>
    <row r="918" ht="15.75" customHeight="1" s="236">
      <c r="A918" s="148" t="n"/>
      <c r="B918" s="148" t="n"/>
      <c r="C918" s="124" t="n"/>
      <c r="D918" s="148" t="n"/>
      <c r="E918" s="148" t="n"/>
      <c r="F918" s="148" t="n"/>
      <c r="G918" s="124" t="n"/>
      <c r="H918" s="148" t="n"/>
      <c r="I918" s="148" t="n"/>
      <c r="J918" s="148" t="n"/>
      <c r="K918" s="148" t="n"/>
      <c r="L918" s="148" t="n"/>
      <c r="M918" s="148" t="n"/>
      <c r="N918" s="148" t="n"/>
      <c r="O918" s="148" t="n"/>
      <c r="P918" s="148" t="n"/>
      <c r="Q918" s="148" t="n"/>
      <c r="R918" s="148" t="n"/>
      <c r="S918" s="148" t="n"/>
      <c r="T918" s="148" t="n"/>
      <c r="U918" s="149">
        <f>IF(AND('Master Stock'!D918&lt;&gt;"",'Master Stock'!H918="OCCUPIED",ISNUMBER('Master Stock'!J918),'Master Stock'!K918=""),SUMPRODUCT(--('Master Stock'!$D$2:$D$1000&lt;&gt;""),--('Master Stock'!$H$2:$H$1000="OCCUPIED"),--ISNUMBER('Master Stock'!$J$2:$J$1000),--('Master Stock'!$K$2:$K$1000=""),--('Master Stock'!$J$2:$J$1000&lt;'Master Stock'!J918))+COUNTIFS('Master Stock'!$J$2:J918,'Master Stock'!J918,'Master Stock'!$D$2:D918,"&lt;&gt;",'Master Stock'!$H$2:H918,"OCCUPIED",'Master Stock'!$K$2:K918,""),"")</f>
        <v/>
      </c>
      <c r="V918" s="149">
        <f>IF(AND('Master Stock'!D918&lt;&gt;"",'Master Stock'!H918="OCCUPIED",ISNUMBER('Master Stock'!L918),'Master Stock'!L918&lt;TODAY()-30),SUMPRODUCT(--('Master Stock'!$D$2:$D$1000&lt;&gt;""),--('Master Stock'!$H$2:$H$1000="OCCUPIED"),--ISNUMBER('Master Stock'!$L$2:$L$1000),--('Master Stock'!$L$2:$L$1000&lt;TODAY()-30),--('Master Stock'!$L$2:$L$1000&lt;'Master Stock'!L918))+COUNTIFS('Master Stock'!$L$2:L918,'Master Stock'!L918,'Master Stock'!$D$2:D918,"&lt;&gt;",'Master Stock'!$H$2:H918,"OCCUPIED"),"")</f>
        <v/>
      </c>
      <c r="W918" s="149" t="n"/>
      <c r="X918" s="149" t="n"/>
      <c r="Y918" s="149" t="n"/>
      <c r="Z918" s="149" t="n"/>
    </row>
    <row r="919" ht="15.75" customHeight="1" s="236">
      <c r="A919" s="148" t="n"/>
      <c r="B919" s="148" t="n"/>
      <c r="C919" s="124" t="n"/>
      <c r="D919" s="148" t="n"/>
      <c r="E919" s="148" t="n"/>
      <c r="F919" s="148" t="n"/>
      <c r="G919" s="124" t="n"/>
      <c r="H919" s="148" t="n"/>
      <c r="I919" s="148" t="n"/>
      <c r="J919" s="148" t="n"/>
      <c r="K919" s="148" t="n"/>
      <c r="L919" s="148" t="n"/>
      <c r="M919" s="148" t="n"/>
      <c r="N919" s="148" t="n"/>
      <c r="O919" s="148" t="n"/>
      <c r="P919" s="148" t="n"/>
      <c r="Q919" s="148" t="n"/>
      <c r="R919" s="148" t="n"/>
      <c r="S919" s="148" t="n"/>
      <c r="T919" s="148" t="n"/>
      <c r="U919" s="149">
        <f>IF(AND('Master Stock'!D919&lt;&gt;"",'Master Stock'!H919="OCCUPIED",ISNUMBER('Master Stock'!J919),'Master Stock'!K919=""),SUMPRODUCT(--('Master Stock'!$D$2:$D$1000&lt;&gt;""),--('Master Stock'!$H$2:$H$1000="OCCUPIED"),--ISNUMBER('Master Stock'!$J$2:$J$1000),--('Master Stock'!$K$2:$K$1000=""),--('Master Stock'!$J$2:$J$1000&lt;'Master Stock'!J919))+COUNTIFS('Master Stock'!$J$2:J919,'Master Stock'!J919,'Master Stock'!$D$2:D919,"&lt;&gt;",'Master Stock'!$H$2:H919,"OCCUPIED",'Master Stock'!$K$2:K919,""),"")</f>
        <v/>
      </c>
      <c r="V919" s="149">
        <f>IF(AND('Master Stock'!D919&lt;&gt;"",'Master Stock'!H919="OCCUPIED",ISNUMBER('Master Stock'!L919),'Master Stock'!L919&lt;TODAY()-30),SUMPRODUCT(--('Master Stock'!$D$2:$D$1000&lt;&gt;""),--('Master Stock'!$H$2:$H$1000="OCCUPIED"),--ISNUMBER('Master Stock'!$L$2:$L$1000),--('Master Stock'!$L$2:$L$1000&lt;TODAY()-30),--('Master Stock'!$L$2:$L$1000&lt;'Master Stock'!L919))+COUNTIFS('Master Stock'!$L$2:L919,'Master Stock'!L919,'Master Stock'!$D$2:D919,"&lt;&gt;",'Master Stock'!$H$2:H919,"OCCUPIED"),"")</f>
        <v/>
      </c>
      <c r="W919" s="149" t="n"/>
      <c r="X919" s="149" t="n"/>
      <c r="Y919" s="149" t="n"/>
      <c r="Z919" s="149" t="n"/>
    </row>
    <row r="920" ht="15.75" customHeight="1" s="236">
      <c r="A920" s="148" t="n"/>
      <c r="B920" s="148" t="n"/>
      <c r="C920" s="124" t="n"/>
      <c r="D920" s="148" t="n"/>
      <c r="E920" s="148" t="n"/>
      <c r="F920" s="148" t="n"/>
      <c r="G920" s="124" t="n"/>
      <c r="H920" s="148" t="n"/>
      <c r="I920" s="148" t="n"/>
      <c r="J920" s="148" t="n"/>
      <c r="K920" s="148" t="n"/>
      <c r="L920" s="148" t="n"/>
      <c r="M920" s="148" t="n"/>
      <c r="N920" s="148" t="n"/>
      <c r="O920" s="148" t="n"/>
      <c r="P920" s="148" t="n"/>
      <c r="Q920" s="148" t="n"/>
      <c r="R920" s="148" t="n"/>
      <c r="S920" s="148" t="n"/>
      <c r="T920" s="148" t="n"/>
      <c r="U920" s="149">
        <f>IF(AND('Master Stock'!D920&lt;&gt;"",'Master Stock'!H920="OCCUPIED",ISNUMBER('Master Stock'!J920),'Master Stock'!K920=""),SUMPRODUCT(--('Master Stock'!$D$2:$D$1000&lt;&gt;""),--('Master Stock'!$H$2:$H$1000="OCCUPIED"),--ISNUMBER('Master Stock'!$J$2:$J$1000),--('Master Stock'!$K$2:$K$1000=""),--('Master Stock'!$J$2:$J$1000&lt;'Master Stock'!J920))+COUNTIFS('Master Stock'!$J$2:J920,'Master Stock'!J920,'Master Stock'!$D$2:D920,"&lt;&gt;",'Master Stock'!$H$2:H920,"OCCUPIED",'Master Stock'!$K$2:K920,""),"")</f>
        <v/>
      </c>
      <c r="V920" s="149">
        <f>IF(AND('Master Stock'!D920&lt;&gt;"",'Master Stock'!H920="OCCUPIED",ISNUMBER('Master Stock'!L920),'Master Stock'!L920&lt;TODAY()-30),SUMPRODUCT(--('Master Stock'!$D$2:$D$1000&lt;&gt;""),--('Master Stock'!$H$2:$H$1000="OCCUPIED"),--ISNUMBER('Master Stock'!$L$2:$L$1000),--('Master Stock'!$L$2:$L$1000&lt;TODAY()-30),--('Master Stock'!$L$2:$L$1000&lt;'Master Stock'!L920))+COUNTIFS('Master Stock'!$L$2:L920,'Master Stock'!L920,'Master Stock'!$D$2:D920,"&lt;&gt;",'Master Stock'!$H$2:H920,"OCCUPIED"),"")</f>
        <v/>
      </c>
      <c r="W920" s="149" t="n"/>
      <c r="X920" s="149" t="n"/>
      <c r="Y920" s="149" t="n"/>
      <c r="Z920" s="149" t="n"/>
    </row>
    <row r="921" ht="15.75" customHeight="1" s="236">
      <c r="A921" s="148" t="n"/>
      <c r="B921" s="148" t="n"/>
      <c r="C921" s="124" t="n"/>
      <c r="D921" s="148" t="n"/>
      <c r="E921" s="148" t="n"/>
      <c r="F921" s="148" t="n"/>
      <c r="G921" s="124" t="n"/>
      <c r="H921" s="148" t="n"/>
      <c r="I921" s="148" t="n"/>
      <c r="J921" s="148" t="n"/>
      <c r="K921" s="148" t="n"/>
      <c r="L921" s="148" t="n"/>
      <c r="M921" s="148" t="n"/>
      <c r="N921" s="148" t="n"/>
      <c r="O921" s="148" t="n"/>
      <c r="P921" s="148" t="n"/>
      <c r="Q921" s="148" t="n"/>
      <c r="R921" s="148" t="n"/>
      <c r="S921" s="148" t="n"/>
      <c r="T921" s="148" t="n"/>
      <c r="U921" s="149">
        <f>IF(AND('Master Stock'!D921&lt;&gt;"",'Master Stock'!H921="OCCUPIED",ISNUMBER('Master Stock'!J921),'Master Stock'!K921=""),SUMPRODUCT(--('Master Stock'!$D$2:$D$1000&lt;&gt;""),--('Master Stock'!$H$2:$H$1000="OCCUPIED"),--ISNUMBER('Master Stock'!$J$2:$J$1000),--('Master Stock'!$K$2:$K$1000=""),--('Master Stock'!$J$2:$J$1000&lt;'Master Stock'!J921))+COUNTIFS('Master Stock'!$J$2:J921,'Master Stock'!J921,'Master Stock'!$D$2:D921,"&lt;&gt;",'Master Stock'!$H$2:H921,"OCCUPIED",'Master Stock'!$K$2:K921,""),"")</f>
        <v/>
      </c>
      <c r="V921" s="149">
        <f>IF(AND('Master Stock'!D921&lt;&gt;"",'Master Stock'!H921="OCCUPIED",ISNUMBER('Master Stock'!L921),'Master Stock'!L921&lt;TODAY()-30),SUMPRODUCT(--('Master Stock'!$D$2:$D$1000&lt;&gt;""),--('Master Stock'!$H$2:$H$1000="OCCUPIED"),--ISNUMBER('Master Stock'!$L$2:$L$1000),--('Master Stock'!$L$2:$L$1000&lt;TODAY()-30),--('Master Stock'!$L$2:$L$1000&lt;'Master Stock'!L921))+COUNTIFS('Master Stock'!$L$2:L921,'Master Stock'!L921,'Master Stock'!$D$2:D921,"&lt;&gt;",'Master Stock'!$H$2:H921,"OCCUPIED"),"")</f>
        <v/>
      </c>
      <c r="W921" s="149" t="n"/>
      <c r="X921" s="149" t="n"/>
      <c r="Y921" s="149" t="n"/>
      <c r="Z921" s="149" t="n"/>
    </row>
    <row r="922" ht="15.75" customHeight="1" s="236">
      <c r="A922" s="148" t="n"/>
      <c r="B922" s="148" t="n"/>
      <c r="C922" s="124" t="n"/>
      <c r="D922" s="148" t="n"/>
      <c r="E922" s="148" t="n"/>
      <c r="F922" s="148" t="n"/>
      <c r="G922" s="124" t="n"/>
      <c r="H922" s="148" t="n"/>
      <c r="I922" s="148" t="n"/>
      <c r="J922" s="148" t="n"/>
      <c r="K922" s="148" t="n"/>
      <c r="L922" s="148" t="n"/>
      <c r="M922" s="148" t="n"/>
      <c r="N922" s="148" t="n"/>
      <c r="O922" s="148" t="n"/>
      <c r="P922" s="148" t="n"/>
      <c r="Q922" s="148" t="n"/>
      <c r="R922" s="148" t="n"/>
      <c r="S922" s="148" t="n"/>
      <c r="T922" s="148" t="n"/>
      <c r="U922" s="149">
        <f>IF(AND('Master Stock'!D922&lt;&gt;"",'Master Stock'!H922="OCCUPIED",ISNUMBER('Master Stock'!J922),'Master Stock'!K922=""),SUMPRODUCT(--('Master Stock'!$D$2:$D$1000&lt;&gt;""),--('Master Stock'!$H$2:$H$1000="OCCUPIED"),--ISNUMBER('Master Stock'!$J$2:$J$1000),--('Master Stock'!$K$2:$K$1000=""),--('Master Stock'!$J$2:$J$1000&lt;'Master Stock'!J922))+COUNTIFS('Master Stock'!$J$2:J922,'Master Stock'!J922,'Master Stock'!$D$2:D922,"&lt;&gt;",'Master Stock'!$H$2:H922,"OCCUPIED",'Master Stock'!$K$2:K922,""),"")</f>
        <v/>
      </c>
      <c r="V922" s="149">
        <f>IF(AND('Master Stock'!D922&lt;&gt;"",'Master Stock'!H922="OCCUPIED",ISNUMBER('Master Stock'!L922),'Master Stock'!L922&lt;TODAY()-30),SUMPRODUCT(--('Master Stock'!$D$2:$D$1000&lt;&gt;""),--('Master Stock'!$H$2:$H$1000="OCCUPIED"),--ISNUMBER('Master Stock'!$L$2:$L$1000),--('Master Stock'!$L$2:$L$1000&lt;TODAY()-30),--('Master Stock'!$L$2:$L$1000&lt;'Master Stock'!L922))+COUNTIFS('Master Stock'!$L$2:L922,'Master Stock'!L922,'Master Stock'!$D$2:D922,"&lt;&gt;",'Master Stock'!$H$2:H922,"OCCUPIED"),"")</f>
        <v/>
      </c>
      <c r="W922" s="149" t="n"/>
      <c r="X922" s="149" t="n"/>
      <c r="Y922" s="149" t="n"/>
      <c r="Z922" s="149" t="n"/>
    </row>
    <row r="923" ht="15.75" customHeight="1" s="236">
      <c r="A923" s="148" t="n"/>
      <c r="B923" s="148" t="n"/>
      <c r="C923" s="124" t="n"/>
      <c r="D923" s="148" t="n"/>
      <c r="E923" s="148" t="n"/>
      <c r="F923" s="148" t="n"/>
      <c r="G923" s="124" t="n"/>
      <c r="H923" s="148" t="n"/>
      <c r="I923" s="148" t="n"/>
      <c r="J923" s="148" t="n"/>
      <c r="K923" s="148" t="n"/>
      <c r="L923" s="148" t="n"/>
      <c r="M923" s="148" t="n"/>
      <c r="N923" s="148" t="n"/>
      <c r="O923" s="148" t="n"/>
      <c r="P923" s="148" t="n"/>
      <c r="Q923" s="148" t="n"/>
      <c r="R923" s="148" t="n"/>
      <c r="S923" s="148" t="n"/>
      <c r="T923" s="148" t="n"/>
      <c r="U923" s="149">
        <f>IF(AND('Master Stock'!D923&lt;&gt;"",'Master Stock'!H923="OCCUPIED",ISNUMBER('Master Stock'!J923),'Master Stock'!K923=""),SUMPRODUCT(--('Master Stock'!$D$2:$D$1000&lt;&gt;""),--('Master Stock'!$H$2:$H$1000="OCCUPIED"),--ISNUMBER('Master Stock'!$J$2:$J$1000),--('Master Stock'!$K$2:$K$1000=""),--('Master Stock'!$J$2:$J$1000&lt;'Master Stock'!J923))+COUNTIFS('Master Stock'!$J$2:J923,'Master Stock'!J923,'Master Stock'!$D$2:D923,"&lt;&gt;",'Master Stock'!$H$2:H923,"OCCUPIED",'Master Stock'!$K$2:K923,""),"")</f>
        <v/>
      </c>
      <c r="V923" s="149">
        <f>IF(AND('Master Stock'!D923&lt;&gt;"",'Master Stock'!H923="OCCUPIED",ISNUMBER('Master Stock'!L923),'Master Stock'!L923&lt;TODAY()-30),SUMPRODUCT(--('Master Stock'!$D$2:$D$1000&lt;&gt;""),--('Master Stock'!$H$2:$H$1000="OCCUPIED"),--ISNUMBER('Master Stock'!$L$2:$L$1000),--('Master Stock'!$L$2:$L$1000&lt;TODAY()-30),--('Master Stock'!$L$2:$L$1000&lt;'Master Stock'!L923))+COUNTIFS('Master Stock'!$L$2:L923,'Master Stock'!L923,'Master Stock'!$D$2:D923,"&lt;&gt;",'Master Stock'!$H$2:H923,"OCCUPIED"),"")</f>
        <v/>
      </c>
      <c r="W923" s="149" t="n"/>
      <c r="X923" s="149" t="n"/>
      <c r="Y923" s="149" t="n"/>
      <c r="Z923" s="149" t="n"/>
    </row>
    <row r="924" ht="15.75" customHeight="1" s="236">
      <c r="A924" s="148" t="n"/>
      <c r="B924" s="148" t="n"/>
      <c r="C924" s="124" t="n"/>
      <c r="D924" s="148" t="n"/>
      <c r="E924" s="148" t="n"/>
      <c r="F924" s="148" t="n"/>
      <c r="G924" s="124" t="n"/>
      <c r="H924" s="148" t="n"/>
      <c r="I924" s="148" t="n"/>
      <c r="J924" s="148" t="n"/>
      <c r="K924" s="148" t="n"/>
      <c r="L924" s="148" t="n"/>
      <c r="M924" s="148" t="n"/>
      <c r="N924" s="148" t="n"/>
      <c r="O924" s="148" t="n"/>
      <c r="P924" s="148" t="n"/>
      <c r="Q924" s="148" t="n"/>
      <c r="R924" s="148" t="n"/>
      <c r="S924" s="148" t="n"/>
      <c r="T924" s="148" t="n"/>
      <c r="U924" s="149">
        <f>IF(AND('Master Stock'!D924&lt;&gt;"",'Master Stock'!H924="OCCUPIED",ISNUMBER('Master Stock'!J924),'Master Stock'!K924=""),SUMPRODUCT(--('Master Stock'!$D$2:$D$1000&lt;&gt;""),--('Master Stock'!$H$2:$H$1000="OCCUPIED"),--ISNUMBER('Master Stock'!$J$2:$J$1000),--('Master Stock'!$K$2:$K$1000=""),--('Master Stock'!$J$2:$J$1000&lt;'Master Stock'!J924))+COUNTIFS('Master Stock'!$J$2:J924,'Master Stock'!J924,'Master Stock'!$D$2:D924,"&lt;&gt;",'Master Stock'!$H$2:H924,"OCCUPIED",'Master Stock'!$K$2:K924,""),"")</f>
        <v/>
      </c>
      <c r="V924" s="149">
        <f>IF(AND('Master Stock'!D924&lt;&gt;"",'Master Stock'!H924="OCCUPIED",ISNUMBER('Master Stock'!L924),'Master Stock'!L924&lt;TODAY()-30),SUMPRODUCT(--('Master Stock'!$D$2:$D$1000&lt;&gt;""),--('Master Stock'!$H$2:$H$1000="OCCUPIED"),--ISNUMBER('Master Stock'!$L$2:$L$1000),--('Master Stock'!$L$2:$L$1000&lt;TODAY()-30),--('Master Stock'!$L$2:$L$1000&lt;'Master Stock'!L924))+COUNTIFS('Master Stock'!$L$2:L924,'Master Stock'!L924,'Master Stock'!$D$2:D924,"&lt;&gt;",'Master Stock'!$H$2:H924,"OCCUPIED"),"")</f>
        <v/>
      </c>
      <c r="W924" s="149" t="n"/>
      <c r="X924" s="149" t="n"/>
      <c r="Y924" s="149" t="n"/>
      <c r="Z924" s="149" t="n"/>
    </row>
    <row r="925" ht="15.75" customHeight="1" s="236">
      <c r="A925" s="148" t="n"/>
      <c r="B925" s="148" t="n"/>
      <c r="C925" s="124" t="n"/>
      <c r="D925" s="148" t="n"/>
      <c r="E925" s="148" t="n"/>
      <c r="F925" s="148" t="n"/>
      <c r="G925" s="124" t="n"/>
      <c r="H925" s="148" t="n"/>
      <c r="I925" s="148" t="n"/>
      <c r="J925" s="148" t="n"/>
      <c r="K925" s="148" t="n"/>
      <c r="L925" s="148" t="n"/>
      <c r="M925" s="148" t="n"/>
      <c r="N925" s="148" t="n"/>
      <c r="O925" s="148" t="n"/>
      <c r="P925" s="148" t="n"/>
      <c r="Q925" s="148" t="n"/>
      <c r="R925" s="148" t="n"/>
      <c r="S925" s="148" t="n"/>
      <c r="T925" s="148" t="n"/>
      <c r="U925" s="149">
        <f>IF(AND('Master Stock'!D925&lt;&gt;"",'Master Stock'!H925="OCCUPIED",ISNUMBER('Master Stock'!J925),'Master Stock'!K925=""),SUMPRODUCT(--('Master Stock'!$D$2:$D$1000&lt;&gt;""),--('Master Stock'!$H$2:$H$1000="OCCUPIED"),--ISNUMBER('Master Stock'!$J$2:$J$1000),--('Master Stock'!$K$2:$K$1000=""),--('Master Stock'!$J$2:$J$1000&lt;'Master Stock'!J925))+COUNTIFS('Master Stock'!$J$2:J925,'Master Stock'!J925,'Master Stock'!$D$2:D925,"&lt;&gt;",'Master Stock'!$H$2:H925,"OCCUPIED",'Master Stock'!$K$2:K925,""),"")</f>
        <v/>
      </c>
      <c r="V925" s="149">
        <f>IF(AND('Master Stock'!D925&lt;&gt;"",'Master Stock'!H925="OCCUPIED",ISNUMBER('Master Stock'!L925),'Master Stock'!L925&lt;TODAY()-30),SUMPRODUCT(--('Master Stock'!$D$2:$D$1000&lt;&gt;""),--('Master Stock'!$H$2:$H$1000="OCCUPIED"),--ISNUMBER('Master Stock'!$L$2:$L$1000),--('Master Stock'!$L$2:$L$1000&lt;TODAY()-30),--('Master Stock'!$L$2:$L$1000&lt;'Master Stock'!L925))+COUNTIFS('Master Stock'!$L$2:L925,'Master Stock'!L925,'Master Stock'!$D$2:D925,"&lt;&gt;",'Master Stock'!$H$2:H925,"OCCUPIED"),"")</f>
        <v/>
      </c>
      <c r="W925" s="149" t="n"/>
      <c r="X925" s="149" t="n"/>
      <c r="Y925" s="149" t="n"/>
      <c r="Z925" s="149" t="n"/>
    </row>
    <row r="926" ht="15.75" customHeight="1" s="236">
      <c r="A926" s="148" t="n"/>
      <c r="B926" s="148" t="n"/>
      <c r="C926" s="124" t="n"/>
      <c r="D926" s="148" t="n"/>
      <c r="E926" s="148" t="n"/>
      <c r="F926" s="148" t="n"/>
      <c r="G926" s="124" t="n"/>
      <c r="H926" s="148" t="n"/>
      <c r="I926" s="148" t="n"/>
      <c r="J926" s="148" t="n"/>
      <c r="K926" s="148" t="n"/>
      <c r="L926" s="148" t="n"/>
      <c r="M926" s="148" t="n"/>
      <c r="N926" s="148" t="n"/>
      <c r="O926" s="148" t="n"/>
      <c r="P926" s="148" t="n"/>
      <c r="Q926" s="148" t="n"/>
      <c r="R926" s="148" t="n"/>
      <c r="S926" s="148" t="n"/>
      <c r="T926" s="148" t="n"/>
      <c r="U926" s="149">
        <f>IF(AND('Master Stock'!D926&lt;&gt;"",'Master Stock'!H926="OCCUPIED",ISNUMBER('Master Stock'!J926),'Master Stock'!K926=""),SUMPRODUCT(--('Master Stock'!$D$2:$D$1000&lt;&gt;""),--('Master Stock'!$H$2:$H$1000="OCCUPIED"),--ISNUMBER('Master Stock'!$J$2:$J$1000),--('Master Stock'!$K$2:$K$1000=""),--('Master Stock'!$J$2:$J$1000&lt;'Master Stock'!J926))+COUNTIFS('Master Stock'!$J$2:J926,'Master Stock'!J926,'Master Stock'!$D$2:D926,"&lt;&gt;",'Master Stock'!$H$2:H926,"OCCUPIED",'Master Stock'!$K$2:K926,""),"")</f>
        <v/>
      </c>
      <c r="V926" s="149">
        <f>IF(AND('Master Stock'!D926&lt;&gt;"",'Master Stock'!H926="OCCUPIED",ISNUMBER('Master Stock'!L926),'Master Stock'!L926&lt;TODAY()-30),SUMPRODUCT(--('Master Stock'!$D$2:$D$1000&lt;&gt;""),--('Master Stock'!$H$2:$H$1000="OCCUPIED"),--ISNUMBER('Master Stock'!$L$2:$L$1000),--('Master Stock'!$L$2:$L$1000&lt;TODAY()-30),--('Master Stock'!$L$2:$L$1000&lt;'Master Stock'!L926))+COUNTIFS('Master Stock'!$L$2:L926,'Master Stock'!L926,'Master Stock'!$D$2:D926,"&lt;&gt;",'Master Stock'!$H$2:H926,"OCCUPIED"),"")</f>
        <v/>
      </c>
      <c r="W926" s="149" t="n"/>
      <c r="X926" s="149" t="n"/>
      <c r="Y926" s="149" t="n"/>
      <c r="Z926" s="149" t="n"/>
    </row>
    <row r="927" ht="15.75" customHeight="1" s="236">
      <c r="A927" s="148" t="n"/>
      <c r="B927" s="148" t="n"/>
      <c r="C927" s="124" t="n"/>
      <c r="D927" s="148" t="n"/>
      <c r="E927" s="148" t="n"/>
      <c r="F927" s="148" t="n"/>
      <c r="G927" s="124" t="n"/>
      <c r="H927" s="148" t="n"/>
      <c r="I927" s="148" t="n"/>
      <c r="J927" s="148" t="n"/>
      <c r="K927" s="148" t="n"/>
      <c r="L927" s="148" t="n"/>
      <c r="M927" s="148" t="n"/>
      <c r="N927" s="148" t="n"/>
      <c r="O927" s="148" t="n"/>
      <c r="P927" s="148" t="n"/>
      <c r="Q927" s="148" t="n"/>
      <c r="R927" s="148" t="n"/>
      <c r="S927" s="148" t="n"/>
      <c r="T927" s="148" t="n"/>
      <c r="U927" s="149">
        <f>IF(AND('Master Stock'!D927&lt;&gt;"",'Master Stock'!H927="OCCUPIED",ISNUMBER('Master Stock'!J927),'Master Stock'!K927=""),SUMPRODUCT(--('Master Stock'!$D$2:$D$1000&lt;&gt;""),--('Master Stock'!$H$2:$H$1000="OCCUPIED"),--ISNUMBER('Master Stock'!$J$2:$J$1000),--('Master Stock'!$K$2:$K$1000=""),--('Master Stock'!$J$2:$J$1000&lt;'Master Stock'!J927))+COUNTIFS('Master Stock'!$J$2:J927,'Master Stock'!J927,'Master Stock'!$D$2:D927,"&lt;&gt;",'Master Stock'!$H$2:H927,"OCCUPIED",'Master Stock'!$K$2:K927,""),"")</f>
        <v/>
      </c>
      <c r="V927" s="149">
        <f>IF(AND('Master Stock'!D927&lt;&gt;"",'Master Stock'!H927="OCCUPIED",ISNUMBER('Master Stock'!L927),'Master Stock'!L927&lt;TODAY()-30),SUMPRODUCT(--('Master Stock'!$D$2:$D$1000&lt;&gt;""),--('Master Stock'!$H$2:$H$1000="OCCUPIED"),--ISNUMBER('Master Stock'!$L$2:$L$1000),--('Master Stock'!$L$2:$L$1000&lt;TODAY()-30),--('Master Stock'!$L$2:$L$1000&lt;'Master Stock'!L927))+COUNTIFS('Master Stock'!$L$2:L927,'Master Stock'!L927,'Master Stock'!$D$2:D927,"&lt;&gt;",'Master Stock'!$H$2:H927,"OCCUPIED"),"")</f>
        <v/>
      </c>
      <c r="W927" s="149" t="n"/>
      <c r="X927" s="149" t="n"/>
      <c r="Y927" s="149" t="n"/>
      <c r="Z927" s="149" t="n"/>
    </row>
    <row r="928" ht="15.75" customHeight="1" s="236">
      <c r="A928" s="148" t="n"/>
      <c r="B928" s="148" t="n"/>
      <c r="C928" s="124" t="n"/>
      <c r="D928" s="148" t="n"/>
      <c r="E928" s="148" t="n"/>
      <c r="F928" s="148" t="n"/>
      <c r="G928" s="124" t="n"/>
      <c r="H928" s="148" t="n"/>
      <c r="I928" s="148" t="n"/>
      <c r="J928" s="148" t="n"/>
      <c r="K928" s="148" t="n"/>
      <c r="L928" s="148" t="n"/>
      <c r="M928" s="148" t="n"/>
      <c r="N928" s="148" t="n"/>
      <c r="O928" s="148" t="n"/>
      <c r="P928" s="148" t="n"/>
      <c r="Q928" s="148" t="n"/>
      <c r="R928" s="148" t="n"/>
      <c r="S928" s="148" t="n"/>
      <c r="T928" s="148" t="n"/>
      <c r="U928" s="149">
        <f>IF(AND('Master Stock'!D928&lt;&gt;"",'Master Stock'!H928="OCCUPIED",ISNUMBER('Master Stock'!J928),'Master Stock'!K928=""),SUMPRODUCT(--('Master Stock'!$D$2:$D$1000&lt;&gt;""),--('Master Stock'!$H$2:$H$1000="OCCUPIED"),--ISNUMBER('Master Stock'!$J$2:$J$1000),--('Master Stock'!$K$2:$K$1000=""),--('Master Stock'!$J$2:$J$1000&lt;'Master Stock'!J928))+COUNTIFS('Master Stock'!$J$2:J928,'Master Stock'!J928,'Master Stock'!$D$2:D928,"&lt;&gt;",'Master Stock'!$H$2:H928,"OCCUPIED",'Master Stock'!$K$2:K928,""),"")</f>
        <v/>
      </c>
      <c r="V928" s="149">
        <f>IF(AND('Master Stock'!D928&lt;&gt;"",'Master Stock'!H928="OCCUPIED",ISNUMBER('Master Stock'!L928),'Master Stock'!L928&lt;TODAY()-30),SUMPRODUCT(--('Master Stock'!$D$2:$D$1000&lt;&gt;""),--('Master Stock'!$H$2:$H$1000="OCCUPIED"),--ISNUMBER('Master Stock'!$L$2:$L$1000),--('Master Stock'!$L$2:$L$1000&lt;TODAY()-30),--('Master Stock'!$L$2:$L$1000&lt;'Master Stock'!L928))+COUNTIFS('Master Stock'!$L$2:L928,'Master Stock'!L928,'Master Stock'!$D$2:D928,"&lt;&gt;",'Master Stock'!$H$2:H928,"OCCUPIED"),"")</f>
        <v/>
      </c>
      <c r="W928" s="149" t="n"/>
      <c r="X928" s="149" t="n"/>
      <c r="Y928" s="149" t="n"/>
      <c r="Z928" s="149" t="n"/>
    </row>
    <row r="929" ht="15.75" customHeight="1" s="236">
      <c r="A929" s="148" t="n"/>
      <c r="B929" s="148" t="n"/>
      <c r="C929" s="124" t="n"/>
      <c r="D929" s="148" t="n"/>
      <c r="E929" s="148" t="n"/>
      <c r="F929" s="148" t="n"/>
      <c r="G929" s="124" t="n"/>
      <c r="H929" s="148" t="n"/>
      <c r="I929" s="148" t="n"/>
      <c r="J929" s="148" t="n"/>
      <c r="K929" s="148" t="n"/>
      <c r="L929" s="148" t="n"/>
      <c r="M929" s="148" t="n"/>
      <c r="N929" s="148" t="n"/>
      <c r="O929" s="148" t="n"/>
      <c r="P929" s="148" t="n"/>
      <c r="Q929" s="148" t="n"/>
      <c r="R929" s="148" t="n"/>
      <c r="S929" s="148" t="n"/>
      <c r="T929" s="148" t="n"/>
      <c r="U929" s="149">
        <f>IF(AND('Master Stock'!D929&lt;&gt;"",'Master Stock'!H929="OCCUPIED",ISNUMBER('Master Stock'!J929),'Master Stock'!K929=""),SUMPRODUCT(--('Master Stock'!$D$2:$D$1000&lt;&gt;""),--('Master Stock'!$H$2:$H$1000="OCCUPIED"),--ISNUMBER('Master Stock'!$J$2:$J$1000),--('Master Stock'!$K$2:$K$1000=""),--('Master Stock'!$J$2:$J$1000&lt;'Master Stock'!J929))+COUNTIFS('Master Stock'!$J$2:J929,'Master Stock'!J929,'Master Stock'!$D$2:D929,"&lt;&gt;",'Master Stock'!$H$2:H929,"OCCUPIED",'Master Stock'!$K$2:K929,""),"")</f>
        <v/>
      </c>
      <c r="V929" s="149">
        <f>IF(AND('Master Stock'!D929&lt;&gt;"",'Master Stock'!H929="OCCUPIED",ISNUMBER('Master Stock'!L929),'Master Stock'!L929&lt;TODAY()-30),SUMPRODUCT(--('Master Stock'!$D$2:$D$1000&lt;&gt;""),--('Master Stock'!$H$2:$H$1000="OCCUPIED"),--ISNUMBER('Master Stock'!$L$2:$L$1000),--('Master Stock'!$L$2:$L$1000&lt;TODAY()-30),--('Master Stock'!$L$2:$L$1000&lt;'Master Stock'!L929))+COUNTIFS('Master Stock'!$L$2:L929,'Master Stock'!L929,'Master Stock'!$D$2:D929,"&lt;&gt;",'Master Stock'!$H$2:H929,"OCCUPIED"),"")</f>
        <v/>
      </c>
      <c r="W929" s="149" t="n"/>
      <c r="X929" s="149" t="n"/>
      <c r="Y929" s="149" t="n"/>
      <c r="Z929" s="149" t="n"/>
    </row>
    <row r="930" ht="15.75" customHeight="1" s="236">
      <c r="A930" s="148" t="n"/>
      <c r="B930" s="148" t="n"/>
      <c r="C930" s="124" t="n"/>
      <c r="D930" s="148" t="n"/>
      <c r="E930" s="148" t="n"/>
      <c r="F930" s="148" t="n"/>
      <c r="G930" s="124" t="n"/>
      <c r="H930" s="148" t="n"/>
      <c r="I930" s="148" t="n"/>
      <c r="J930" s="148" t="n"/>
      <c r="K930" s="148" t="n"/>
      <c r="L930" s="148" t="n"/>
      <c r="M930" s="148" t="n"/>
      <c r="N930" s="148" t="n"/>
      <c r="O930" s="148" t="n"/>
      <c r="P930" s="148" t="n"/>
      <c r="Q930" s="148" t="n"/>
      <c r="R930" s="148" t="n"/>
      <c r="S930" s="148" t="n"/>
      <c r="T930" s="148" t="n"/>
      <c r="U930" s="149">
        <f>IF(AND('Master Stock'!D930&lt;&gt;"",'Master Stock'!H930="OCCUPIED",ISNUMBER('Master Stock'!J930),'Master Stock'!K930=""),SUMPRODUCT(--('Master Stock'!$D$2:$D$1000&lt;&gt;""),--('Master Stock'!$H$2:$H$1000="OCCUPIED"),--ISNUMBER('Master Stock'!$J$2:$J$1000),--('Master Stock'!$K$2:$K$1000=""),--('Master Stock'!$J$2:$J$1000&lt;'Master Stock'!J930))+COUNTIFS('Master Stock'!$J$2:J930,'Master Stock'!J930,'Master Stock'!$D$2:D930,"&lt;&gt;",'Master Stock'!$H$2:H930,"OCCUPIED",'Master Stock'!$K$2:K930,""),"")</f>
        <v/>
      </c>
      <c r="V930" s="149">
        <f>IF(AND('Master Stock'!D930&lt;&gt;"",'Master Stock'!H930="OCCUPIED",ISNUMBER('Master Stock'!L930),'Master Stock'!L930&lt;TODAY()-30),SUMPRODUCT(--('Master Stock'!$D$2:$D$1000&lt;&gt;""),--('Master Stock'!$H$2:$H$1000="OCCUPIED"),--ISNUMBER('Master Stock'!$L$2:$L$1000),--('Master Stock'!$L$2:$L$1000&lt;TODAY()-30),--('Master Stock'!$L$2:$L$1000&lt;'Master Stock'!L930))+COUNTIFS('Master Stock'!$L$2:L930,'Master Stock'!L930,'Master Stock'!$D$2:D930,"&lt;&gt;",'Master Stock'!$H$2:H930,"OCCUPIED"),"")</f>
        <v/>
      </c>
      <c r="W930" s="149" t="n"/>
      <c r="X930" s="149" t="n"/>
      <c r="Y930" s="149" t="n"/>
      <c r="Z930" s="149" t="n"/>
    </row>
    <row r="931" ht="15.75" customHeight="1" s="236">
      <c r="A931" s="148" t="n"/>
      <c r="B931" s="148" t="n"/>
      <c r="C931" s="124" t="n"/>
      <c r="D931" s="148" t="n"/>
      <c r="E931" s="148" t="n"/>
      <c r="F931" s="148" t="n"/>
      <c r="G931" s="124" t="n"/>
      <c r="H931" s="148" t="n"/>
      <c r="I931" s="148" t="n"/>
      <c r="J931" s="148" t="n"/>
      <c r="K931" s="148" t="n"/>
      <c r="L931" s="148" t="n"/>
      <c r="M931" s="148" t="n"/>
      <c r="N931" s="148" t="n"/>
      <c r="O931" s="148" t="n"/>
      <c r="P931" s="148" t="n"/>
      <c r="Q931" s="148" t="n"/>
      <c r="R931" s="148" t="n"/>
      <c r="S931" s="148" t="n"/>
      <c r="T931" s="148" t="n"/>
      <c r="U931" s="149">
        <f>IF(AND('Master Stock'!D931&lt;&gt;"",'Master Stock'!H931="OCCUPIED",ISNUMBER('Master Stock'!J931),'Master Stock'!K931=""),SUMPRODUCT(--('Master Stock'!$D$2:$D$1000&lt;&gt;""),--('Master Stock'!$H$2:$H$1000="OCCUPIED"),--ISNUMBER('Master Stock'!$J$2:$J$1000),--('Master Stock'!$K$2:$K$1000=""),--('Master Stock'!$J$2:$J$1000&lt;'Master Stock'!J931))+COUNTIFS('Master Stock'!$J$2:J931,'Master Stock'!J931,'Master Stock'!$D$2:D931,"&lt;&gt;",'Master Stock'!$H$2:H931,"OCCUPIED",'Master Stock'!$K$2:K931,""),"")</f>
        <v/>
      </c>
      <c r="V931" s="149">
        <f>IF(AND('Master Stock'!D931&lt;&gt;"",'Master Stock'!H931="OCCUPIED",ISNUMBER('Master Stock'!L931),'Master Stock'!L931&lt;TODAY()-30),SUMPRODUCT(--('Master Stock'!$D$2:$D$1000&lt;&gt;""),--('Master Stock'!$H$2:$H$1000="OCCUPIED"),--ISNUMBER('Master Stock'!$L$2:$L$1000),--('Master Stock'!$L$2:$L$1000&lt;TODAY()-30),--('Master Stock'!$L$2:$L$1000&lt;'Master Stock'!L931))+COUNTIFS('Master Stock'!$L$2:L931,'Master Stock'!L931,'Master Stock'!$D$2:D931,"&lt;&gt;",'Master Stock'!$H$2:H931,"OCCUPIED"),"")</f>
        <v/>
      </c>
      <c r="W931" s="149" t="n"/>
      <c r="X931" s="149" t="n"/>
      <c r="Y931" s="149" t="n"/>
      <c r="Z931" s="149" t="n"/>
    </row>
    <row r="932" ht="15.75" customHeight="1" s="236">
      <c r="A932" s="148" t="n"/>
      <c r="B932" s="148" t="n"/>
      <c r="C932" s="124" t="n"/>
      <c r="D932" s="148" t="n"/>
      <c r="E932" s="148" t="n"/>
      <c r="F932" s="148" t="n"/>
      <c r="G932" s="124" t="n"/>
      <c r="H932" s="148" t="n"/>
      <c r="I932" s="148" t="n"/>
      <c r="J932" s="148" t="n"/>
      <c r="K932" s="148" t="n"/>
      <c r="L932" s="148" t="n"/>
      <c r="M932" s="148" t="n"/>
      <c r="N932" s="148" t="n"/>
      <c r="O932" s="148" t="n"/>
      <c r="P932" s="148" t="n"/>
      <c r="Q932" s="148" t="n"/>
      <c r="R932" s="148" t="n"/>
      <c r="S932" s="148" t="n"/>
      <c r="T932" s="148" t="n"/>
      <c r="U932" s="149">
        <f>IF(AND('Master Stock'!D932&lt;&gt;"",'Master Stock'!H932="OCCUPIED",ISNUMBER('Master Stock'!J932),'Master Stock'!K932=""),SUMPRODUCT(--('Master Stock'!$D$2:$D$1000&lt;&gt;""),--('Master Stock'!$H$2:$H$1000="OCCUPIED"),--ISNUMBER('Master Stock'!$J$2:$J$1000),--('Master Stock'!$K$2:$K$1000=""),--('Master Stock'!$J$2:$J$1000&lt;'Master Stock'!J932))+COUNTIFS('Master Stock'!$J$2:J932,'Master Stock'!J932,'Master Stock'!$D$2:D932,"&lt;&gt;",'Master Stock'!$H$2:H932,"OCCUPIED",'Master Stock'!$K$2:K932,""),"")</f>
        <v/>
      </c>
      <c r="V932" s="149">
        <f>IF(AND('Master Stock'!D932&lt;&gt;"",'Master Stock'!H932="OCCUPIED",ISNUMBER('Master Stock'!L932),'Master Stock'!L932&lt;TODAY()-30),SUMPRODUCT(--('Master Stock'!$D$2:$D$1000&lt;&gt;""),--('Master Stock'!$H$2:$H$1000="OCCUPIED"),--ISNUMBER('Master Stock'!$L$2:$L$1000),--('Master Stock'!$L$2:$L$1000&lt;TODAY()-30),--('Master Stock'!$L$2:$L$1000&lt;'Master Stock'!L932))+COUNTIFS('Master Stock'!$L$2:L932,'Master Stock'!L932,'Master Stock'!$D$2:D932,"&lt;&gt;",'Master Stock'!$H$2:H932,"OCCUPIED"),"")</f>
        <v/>
      </c>
      <c r="W932" s="149" t="n"/>
      <c r="X932" s="149" t="n"/>
      <c r="Y932" s="149" t="n"/>
      <c r="Z932" s="149" t="n"/>
    </row>
    <row r="933" ht="15.75" customHeight="1" s="236">
      <c r="A933" s="148" t="n"/>
      <c r="B933" s="148" t="n"/>
      <c r="C933" s="124" t="n"/>
      <c r="D933" s="148" t="n"/>
      <c r="E933" s="148" t="n"/>
      <c r="F933" s="148" t="n"/>
      <c r="G933" s="124" t="n"/>
      <c r="H933" s="148" t="n"/>
      <c r="I933" s="148" t="n"/>
      <c r="J933" s="148" t="n"/>
      <c r="K933" s="148" t="n"/>
      <c r="L933" s="148" t="n"/>
      <c r="M933" s="148" t="n"/>
      <c r="N933" s="148" t="n"/>
      <c r="O933" s="148" t="n"/>
      <c r="P933" s="148" t="n"/>
      <c r="Q933" s="148" t="n"/>
      <c r="R933" s="148" t="n"/>
      <c r="S933" s="148" t="n"/>
      <c r="T933" s="148" t="n"/>
      <c r="U933" s="149">
        <f>IF(AND('Master Stock'!D933&lt;&gt;"",'Master Stock'!H933="OCCUPIED",ISNUMBER('Master Stock'!J933),'Master Stock'!K933=""),SUMPRODUCT(--('Master Stock'!$D$2:$D$1000&lt;&gt;""),--('Master Stock'!$H$2:$H$1000="OCCUPIED"),--ISNUMBER('Master Stock'!$J$2:$J$1000),--('Master Stock'!$K$2:$K$1000=""),--('Master Stock'!$J$2:$J$1000&lt;'Master Stock'!J933))+COUNTIFS('Master Stock'!$J$2:J933,'Master Stock'!J933,'Master Stock'!$D$2:D933,"&lt;&gt;",'Master Stock'!$H$2:H933,"OCCUPIED",'Master Stock'!$K$2:K933,""),"")</f>
        <v/>
      </c>
      <c r="V933" s="149">
        <f>IF(AND('Master Stock'!D933&lt;&gt;"",'Master Stock'!H933="OCCUPIED",ISNUMBER('Master Stock'!L933),'Master Stock'!L933&lt;TODAY()-30),SUMPRODUCT(--('Master Stock'!$D$2:$D$1000&lt;&gt;""),--('Master Stock'!$H$2:$H$1000="OCCUPIED"),--ISNUMBER('Master Stock'!$L$2:$L$1000),--('Master Stock'!$L$2:$L$1000&lt;TODAY()-30),--('Master Stock'!$L$2:$L$1000&lt;'Master Stock'!L933))+COUNTIFS('Master Stock'!$L$2:L933,'Master Stock'!L933,'Master Stock'!$D$2:D933,"&lt;&gt;",'Master Stock'!$H$2:H933,"OCCUPIED"),"")</f>
        <v/>
      </c>
      <c r="W933" s="149" t="n"/>
      <c r="X933" s="149" t="n"/>
      <c r="Y933" s="149" t="n"/>
      <c r="Z933" s="149" t="n"/>
    </row>
    <row r="934" ht="15.75" customHeight="1" s="236">
      <c r="A934" s="148" t="n"/>
      <c r="B934" s="148" t="n"/>
      <c r="C934" s="124" t="n"/>
      <c r="D934" s="148" t="n"/>
      <c r="E934" s="148" t="n"/>
      <c r="F934" s="148" t="n"/>
      <c r="G934" s="124" t="n"/>
      <c r="H934" s="148" t="n"/>
      <c r="I934" s="148" t="n"/>
      <c r="J934" s="148" t="n"/>
      <c r="K934" s="148" t="n"/>
      <c r="L934" s="148" t="n"/>
      <c r="M934" s="148" t="n"/>
      <c r="N934" s="148" t="n"/>
      <c r="O934" s="148" t="n"/>
      <c r="P934" s="148" t="n"/>
      <c r="Q934" s="148" t="n"/>
      <c r="R934" s="148" t="n"/>
      <c r="S934" s="148" t="n"/>
      <c r="T934" s="148" t="n"/>
      <c r="U934" s="149">
        <f>IF(AND('Master Stock'!D934&lt;&gt;"",'Master Stock'!H934="OCCUPIED",ISNUMBER('Master Stock'!J934),'Master Stock'!K934=""),SUMPRODUCT(--('Master Stock'!$D$2:$D$1000&lt;&gt;""),--('Master Stock'!$H$2:$H$1000="OCCUPIED"),--ISNUMBER('Master Stock'!$J$2:$J$1000),--('Master Stock'!$K$2:$K$1000=""),--('Master Stock'!$J$2:$J$1000&lt;'Master Stock'!J934))+COUNTIFS('Master Stock'!$J$2:J934,'Master Stock'!J934,'Master Stock'!$D$2:D934,"&lt;&gt;",'Master Stock'!$H$2:H934,"OCCUPIED",'Master Stock'!$K$2:K934,""),"")</f>
        <v/>
      </c>
      <c r="V934" s="149">
        <f>IF(AND('Master Stock'!D934&lt;&gt;"",'Master Stock'!H934="OCCUPIED",ISNUMBER('Master Stock'!L934),'Master Stock'!L934&lt;TODAY()-30),SUMPRODUCT(--('Master Stock'!$D$2:$D$1000&lt;&gt;""),--('Master Stock'!$H$2:$H$1000="OCCUPIED"),--ISNUMBER('Master Stock'!$L$2:$L$1000),--('Master Stock'!$L$2:$L$1000&lt;TODAY()-30),--('Master Stock'!$L$2:$L$1000&lt;'Master Stock'!L934))+COUNTIFS('Master Stock'!$L$2:L934,'Master Stock'!L934,'Master Stock'!$D$2:D934,"&lt;&gt;",'Master Stock'!$H$2:H934,"OCCUPIED"),"")</f>
        <v/>
      </c>
      <c r="W934" s="149" t="n"/>
      <c r="X934" s="149" t="n"/>
      <c r="Y934" s="149" t="n"/>
      <c r="Z934" s="149" t="n"/>
    </row>
    <row r="935" ht="15.75" customHeight="1" s="236">
      <c r="A935" s="148" t="n"/>
      <c r="B935" s="148" t="n"/>
      <c r="C935" s="124" t="n"/>
      <c r="D935" s="148" t="n"/>
      <c r="E935" s="148" t="n"/>
      <c r="F935" s="148" t="n"/>
      <c r="G935" s="124" t="n"/>
      <c r="H935" s="148" t="n"/>
      <c r="I935" s="148" t="n"/>
      <c r="J935" s="148" t="n"/>
      <c r="K935" s="148" t="n"/>
      <c r="L935" s="148" t="n"/>
      <c r="M935" s="148" t="n"/>
      <c r="N935" s="148" t="n"/>
      <c r="O935" s="148" t="n"/>
      <c r="P935" s="148" t="n"/>
      <c r="Q935" s="148" t="n"/>
      <c r="R935" s="148" t="n"/>
      <c r="S935" s="148" t="n"/>
      <c r="T935" s="148" t="n"/>
      <c r="U935" s="149">
        <f>IF(AND('Master Stock'!D935&lt;&gt;"",'Master Stock'!H935="OCCUPIED",ISNUMBER('Master Stock'!J935),'Master Stock'!K935=""),SUMPRODUCT(--('Master Stock'!$D$2:$D$1000&lt;&gt;""),--('Master Stock'!$H$2:$H$1000="OCCUPIED"),--ISNUMBER('Master Stock'!$J$2:$J$1000),--('Master Stock'!$K$2:$K$1000=""),--('Master Stock'!$J$2:$J$1000&lt;'Master Stock'!J935))+COUNTIFS('Master Stock'!$J$2:J935,'Master Stock'!J935,'Master Stock'!$D$2:D935,"&lt;&gt;",'Master Stock'!$H$2:H935,"OCCUPIED",'Master Stock'!$K$2:K935,""),"")</f>
        <v/>
      </c>
      <c r="V935" s="149">
        <f>IF(AND('Master Stock'!D935&lt;&gt;"",'Master Stock'!H935="OCCUPIED",ISNUMBER('Master Stock'!L935),'Master Stock'!L935&lt;TODAY()-30),SUMPRODUCT(--('Master Stock'!$D$2:$D$1000&lt;&gt;""),--('Master Stock'!$H$2:$H$1000="OCCUPIED"),--ISNUMBER('Master Stock'!$L$2:$L$1000),--('Master Stock'!$L$2:$L$1000&lt;TODAY()-30),--('Master Stock'!$L$2:$L$1000&lt;'Master Stock'!L935))+COUNTIFS('Master Stock'!$L$2:L935,'Master Stock'!L935,'Master Stock'!$D$2:D935,"&lt;&gt;",'Master Stock'!$H$2:H935,"OCCUPIED"),"")</f>
        <v/>
      </c>
      <c r="W935" s="149" t="n"/>
      <c r="X935" s="149" t="n"/>
      <c r="Y935" s="149" t="n"/>
      <c r="Z935" s="149" t="n"/>
    </row>
    <row r="936" ht="15.75" customHeight="1" s="236">
      <c r="A936" s="148" t="n"/>
      <c r="B936" s="148" t="n"/>
      <c r="C936" s="124" t="n"/>
      <c r="D936" s="148" t="n"/>
      <c r="E936" s="148" t="n"/>
      <c r="F936" s="148" t="n"/>
      <c r="G936" s="124" t="n"/>
      <c r="H936" s="148" t="n"/>
      <c r="I936" s="148" t="n"/>
      <c r="J936" s="148" t="n"/>
      <c r="K936" s="148" t="n"/>
      <c r="L936" s="148" t="n"/>
      <c r="M936" s="148" t="n"/>
      <c r="N936" s="148" t="n"/>
      <c r="O936" s="148" t="n"/>
      <c r="P936" s="148" t="n"/>
      <c r="Q936" s="148" t="n"/>
      <c r="R936" s="148" t="n"/>
      <c r="S936" s="148" t="n"/>
      <c r="T936" s="148" t="n"/>
      <c r="U936" s="149">
        <f>IF(AND('Master Stock'!D936&lt;&gt;"",'Master Stock'!H936="OCCUPIED",ISNUMBER('Master Stock'!J936),'Master Stock'!K936=""),SUMPRODUCT(--('Master Stock'!$D$2:$D$1000&lt;&gt;""),--('Master Stock'!$H$2:$H$1000="OCCUPIED"),--ISNUMBER('Master Stock'!$J$2:$J$1000),--('Master Stock'!$K$2:$K$1000=""),--('Master Stock'!$J$2:$J$1000&lt;'Master Stock'!J936))+COUNTIFS('Master Stock'!$J$2:J936,'Master Stock'!J936,'Master Stock'!$D$2:D936,"&lt;&gt;",'Master Stock'!$H$2:H936,"OCCUPIED",'Master Stock'!$K$2:K936,""),"")</f>
        <v/>
      </c>
      <c r="V936" s="149">
        <f>IF(AND('Master Stock'!D936&lt;&gt;"",'Master Stock'!H936="OCCUPIED",ISNUMBER('Master Stock'!L936),'Master Stock'!L936&lt;TODAY()-30),SUMPRODUCT(--('Master Stock'!$D$2:$D$1000&lt;&gt;""),--('Master Stock'!$H$2:$H$1000="OCCUPIED"),--ISNUMBER('Master Stock'!$L$2:$L$1000),--('Master Stock'!$L$2:$L$1000&lt;TODAY()-30),--('Master Stock'!$L$2:$L$1000&lt;'Master Stock'!L936))+COUNTIFS('Master Stock'!$L$2:L936,'Master Stock'!L936,'Master Stock'!$D$2:D936,"&lt;&gt;",'Master Stock'!$H$2:H936,"OCCUPIED"),"")</f>
        <v/>
      </c>
      <c r="W936" s="149" t="n"/>
      <c r="X936" s="149" t="n"/>
      <c r="Y936" s="149" t="n"/>
      <c r="Z936" s="149" t="n"/>
    </row>
    <row r="937" ht="15.75" customHeight="1" s="236">
      <c r="A937" s="148" t="n"/>
      <c r="B937" s="148" t="n"/>
      <c r="C937" s="124" t="n"/>
      <c r="D937" s="148" t="n"/>
      <c r="E937" s="148" t="n"/>
      <c r="F937" s="148" t="n"/>
      <c r="G937" s="124" t="n"/>
      <c r="H937" s="148" t="n"/>
      <c r="I937" s="148" t="n"/>
      <c r="J937" s="148" t="n"/>
      <c r="K937" s="148" t="n"/>
      <c r="L937" s="148" t="n"/>
      <c r="M937" s="148" t="n"/>
      <c r="N937" s="148" t="n"/>
      <c r="O937" s="148" t="n"/>
      <c r="P937" s="148" t="n"/>
      <c r="Q937" s="148" t="n"/>
      <c r="R937" s="148" t="n"/>
      <c r="S937" s="148" t="n"/>
      <c r="T937" s="148" t="n"/>
      <c r="U937" s="149">
        <f>IF(AND('Master Stock'!D937&lt;&gt;"",'Master Stock'!H937="OCCUPIED",ISNUMBER('Master Stock'!J937),'Master Stock'!K937=""),SUMPRODUCT(--('Master Stock'!$D$2:$D$1000&lt;&gt;""),--('Master Stock'!$H$2:$H$1000="OCCUPIED"),--ISNUMBER('Master Stock'!$J$2:$J$1000),--('Master Stock'!$K$2:$K$1000=""),--('Master Stock'!$J$2:$J$1000&lt;'Master Stock'!J937))+COUNTIFS('Master Stock'!$J$2:J937,'Master Stock'!J937,'Master Stock'!$D$2:D937,"&lt;&gt;",'Master Stock'!$H$2:H937,"OCCUPIED",'Master Stock'!$K$2:K937,""),"")</f>
        <v/>
      </c>
      <c r="V937" s="149">
        <f>IF(AND('Master Stock'!D937&lt;&gt;"",'Master Stock'!H937="OCCUPIED",ISNUMBER('Master Stock'!L937),'Master Stock'!L937&lt;TODAY()-30),SUMPRODUCT(--('Master Stock'!$D$2:$D$1000&lt;&gt;""),--('Master Stock'!$H$2:$H$1000="OCCUPIED"),--ISNUMBER('Master Stock'!$L$2:$L$1000),--('Master Stock'!$L$2:$L$1000&lt;TODAY()-30),--('Master Stock'!$L$2:$L$1000&lt;'Master Stock'!L937))+COUNTIFS('Master Stock'!$L$2:L937,'Master Stock'!L937,'Master Stock'!$D$2:D937,"&lt;&gt;",'Master Stock'!$H$2:H937,"OCCUPIED"),"")</f>
        <v/>
      </c>
      <c r="W937" s="149" t="n"/>
      <c r="X937" s="149" t="n"/>
      <c r="Y937" s="149" t="n"/>
      <c r="Z937" s="149" t="n"/>
    </row>
    <row r="938" ht="15.75" customHeight="1" s="236">
      <c r="A938" s="148" t="n"/>
      <c r="B938" s="148" t="n"/>
      <c r="C938" s="124" t="n"/>
      <c r="D938" s="148" t="n"/>
      <c r="E938" s="148" t="n"/>
      <c r="F938" s="148" t="n"/>
      <c r="G938" s="124" t="n"/>
      <c r="H938" s="148" t="n"/>
      <c r="I938" s="148" t="n"/>
      <c r="J938" s="148" t="n"/>
      <c r="K938" s="148" t="n"/>
      <c r="L938" s="148" t="n"/>
      <c r="M938" s="148" t="n"/>
      <c r="N938" s="148" t="n"/>
      <c r="O938" s="148" t="n"/>
      <c r="P938" s="148" t="n"/>
      <c r="Q938" s="148" t="n"/>
      <c r="R938" s="148" t="n"/>
      <c r="S938" s="148" t="n"/>
      <c r="T938" s="148" t="n"/>
      <c r="U938" s="149">
        <f>IF(AND('Master Stock'!D938&lt;&gt;"",'Master Stock'!H938="OCCUPIED",ISNUMBER('Master Stock'!J938),'Master Stock'!K938=""),SUMPRODUCT(--('Master Stock'!$D$2:$D$1000&lt;&gt;""),--('Master Stock'!$H$2:$H$1000="OCCUPIED"),--ISNUMBER('Master Stock'!$J$2:$J$1000),--('Master Stock'!$K$2:$K$1000=""),--('Master Stock'!$J$2:$J$1000&lt;'Master Stock'!J938))+COUNTIFS('Master Stock'!$J$2:J938,'Master Stock'!J938,'Master Stock'!$D$2:D938,"&lt;&gt;",'Master Stock'!$H$2:H938,"OCCUPIED",'Master Stock'!$K$2:K938,""),"")</f>
        <v/>
      </c>
      <c r="V938" s="149">
        <f>IF(AND('Master Stock'!D938&lt;&gt;"",'Master Stock'!H938="OCCUPIED",ISNUMBER('Master Stock'!L938),'Master Stock'!L938&lt;TODAY()-30),SUMPRODUCT(--('Master Stock'!$D$2:$D$1000&lt;&gt;""),--('Master Stock'!$H$2:$H$1000="OCCUPIED"),--ISNUMBER('Master Stock'!$L$2:$L$1000),--('Master Stock'!$L$2:$L$1000&lt;TODAY()-30),--('Master Stock'!$L$2:$L$1000&lt;'Master Stock'!L938))+COUNTIFS('Master Stock'!$L$2:L938,'Master Stock'!L938,'Master Stock'!$D$2:D938,"&lt;&gt;",'Master Stock'!$H$2:H938,"OCCUPIED"),"")</f>
        <v/>
      </c>
      <c r="W938" s="149" t="n"/>
      <c r="X938" s="149" t="n"/>
      <c r="Y938" s="149" t="n"/>
      <c r="Z938" s="149" t="n"/>
    </row>
    <row r="939" ht="15.75" customHeight="1" s="236">
      <c r="A939" s="148" t="n"/>
      <c r="B939" s="148" t="n"/>
      <c r="C939" s="124" t="n"/>
      <c r="D939" s="148" t="n"/>
      <c r="E939" s="148" t="n"/>
      <c r="F939" s="148" t="n"/>
      <c r="G939" s="124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9">
        <f>IF(AND('Master Stock'!D939&lt;&gt;"",'Master Stock'!H939="OCCUPIED",ISNUMBER('Master Stock'!J939),'Master Stock'!K939=""),SUMPRODUCT(--('Master Stock'!$D$2:$D$1000&lt;&gt;""),--('Master Stock'!$H$2:$H$1000="OCCUPIED"),--ISNUMBER('Master Stock'!$J$2:$J$1000),--('Master Stock'!$K$2:$K$1000=""),--('Master Stock'!$J$2:$J$1000&lt;'Master Stock'!J939))+COUNTIFS('Master Stock'!$J$2:J939,'Master Stock'!J939,'Master Stock'!$D$2:D939,"&lt;&gt;",'Master Stock'!$H$2:H939,"OCCUPIED",'Master Stock'!$K$2:K939,""),"")</f>
        <v/>
      </c>
      <c r="V939" s="149">
        <f>IF(AND('Master Stock'!D939&lt;&gt;"",'Master Stock'!H939="OCCUPIED",ISNUMBER('Master Stock'!L939),'Master Stock'!L939&lt;TODAY()-30),SUMPRODUCT(--('Master Stock'!$D$2:$D$1000&lt;&gt;""),--('Master Stock'!$H$2:$H$1000="OCCUPIED"),--ISNUMBER('Master Stock'!$L$2:$L$1000),--('Master Stock'!$L$2:$L$1000&lt;TODAY()-30),--('Master Stock'!$L$2:$L$1000&lt;'Master Stock'!L939))+COUNTIFS('Master Stock'!$L$2:L939,'Master Stock'!L939,'Master Stock'!$D$2:D939,"&lt;&gt;",'Master Stock'!$H$2:H939,"OCCUPIED"),"")</f>
        <v/>
      </c>
      <c r="W939" s="149" t="n"/>
      <c r="X939" s="149" t="n"/>
      <c r="Y939" s="149" t="n"/>
      <c r="Z939" s="149" t="n"/>
    </row>
    <row r="940" ht="15.75" customHeight="1" s="236">
      <c r="A940" s="148" t="n"/>
      <c r="B940" s="148" t="n"/>
      <c r="C940" s="124" t="n"/>
      <c r="D940" s="148" t="n"/>
      <c r="E940" s="148" t="n"/>
      <c r="F940" s="148" t="n"/>
      <c r="G940" s="124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9">
        <f>IF(AND('Master Stock'!D940&lt;&gt;"",'Master Stock'!H940="OCCUPIED",ISNUMBER('Master Stock'!J940),'Master Stock'!K940=""),SUMPRODUCT(--('Master Stock'!$D$2:$D$1000&lt;&gt;""),--('Master Stock'!$H$2:$H$1000="OCCUPIED"),--ISNUMBER('Master Stock'!$J$2:$J$1000),--('Master Stock'!$K$2:$K$1000=""),--('Master Stock'!$J$2:$J$1000&lt;'Master Stock'!J940))+COUNTIFS('Master Stock'!$J$2:J940,'Master Stock'!J940,'Master Stock'!$D$2:D940,"&lt;&gt;",'Master Stock'!$H$2:H940,"OCCUPIED",'Master Stock'!$K$2:K940,""),"")</f>
        <v/>
      </c>
      <c r="V940" s="149">
        <f>IF(AND('Master Stock'!D940&lt;&gt;"",'Master Stock'!H940="OCCUPIED",ISNUMBER('Master Stock'!L940),'Master Stock'!L940&lt;TODAY()-30),SUMPRODUCT(--('Master Stock'!$D$2:$D$1000&lt;&gt;""),--('Master Stock'!$H$2:$H$1000="OCCUPIED"),--ISNUMBER('Master Stock'!$L$2:$L$1000),--('Master Stock'!$L$2:$L$1000&lt;TODAY()-30),--('Master Stock'!$L$2:$L$1000&lt;'Master Stock'!L940))+COUNTIFS('Master Stock'!$L$2:L940,'Master Stock'!L940,'Master Stock'!$D$2:D940,"&lt;&gt;",'Master Stock'!$H$2:H940,"OCCUPIED"),"")</f>
        <v/>
      </c>
      <c r="W940" s="149" t="n"/>
      <c r="X940" s="149" t="n"/>
      <c r="Y940" s="149" t="n"/>
      <c r="Z940" s="149" t="n"/>
    </row>
    <row r="941" ht="15.75" customHeight="1" s="236">
      <c r="A941" s="148" t="n"/>
      <c r="B941" s="148" t="n"/>
      <c r="C941" s="124" t="n"/>
      <c r="D941" s="148" t="n"/>
      <c r="E941" s="148" t="n"/>
      <c r="F941" s="148" t="n"/>
      <c r="G941" s="124" t="n"/>
      <c r="H941" s="148" t="n"/>
      <c r="I941" s="148" t="n"/>
      <c r="J941" s="148" t="n"/>
      <c r="K941" s="148" t="n"/>
      <c r="L941" s="148" t="n"/>
      <c r="M941" s="148" t="n"/>
      <c r="N941" s="148" t="n"/>
      <c r="O941" s="148" t="n"/>
      <c r="P941" s="148" t="n"/>
      <c r="Q941" s="148" t="n"/>
      <c r="R941" s="148" t="n"/>
      <c r="S941" s="148" t="n"/>
      <c r="T941" s="148" t="n"/>
      <c r="U941" s="149">
        <f>IF(AND('Master Stock'!D941&lt;&gt;"",'Master Stock'!H941="OCCUPIED",ISNUMBER('Master Stock'!J941),'Master Stock'!K941=""),SUMPRODUCT(--('Master Stock'!$D$2:$D$1000&lt;&gt;""),--('Master Stock'!$H$2:$H$1000="OCCUPIED"),--ISNUMBER('Master Stock'!$J$2:$J$1000),--('Master Stock'!$K$2:$K$1000=""),--('Master Stock'!$J$2:$J$1000&lt;'Master Stock'!J941))+COUNTIFS('Master Stock'!$J$2:J941,'Master Stock'!J941,'Master Stock'!$D$2:D941,"&lt;&gt;",'Master Stock'!$H$2:H941,"OCCUPIED",'Master Stock'!$K$2:K941,""),"")</f>
        <v/>
      </c>
      <c r="V941" s="149">
        <f>IF(AND('Master Stock'!D941&lt;&gt;"",'Master Stock'!H941="OCCUPIED",ISNUMBER('Master Stock'!L941),'Master Stock'!L941&lt;TODAY()-30),SUMPRODUCT(--('Master Stock'!$D$2:$D$1000&lt;&gt;""),--('Master Stock'!$H$2:$H$1000="OCCUPIED"),--ISNUMBER('Master Stock'!$L$2:$L$1000),--('Master Stock'!$L$2:$L$1000&lt;TODAY()-30),--('Master Stock'!$L$2:$L$1000&lt;'Master Stock'!L941))+COUNTIFS('Master Stock'!$L$2:L941,'Master Stock'!L941,'Master Stock'!$D$2:D941,"&lt;&gt;",'Master Stock'!$H$2:H941,"OCCUPIED"),"")</f>
        <v/>
      </c>
      <c r="W941" s="149" t="n"/>
      <c r="X941" s="149" t="n"/>
      <c r="Y941" s="149" t="n"/>
      <c r="Z941" s="149" t="n"/>
    </row>
    <row r="942" ht="15.75" customHeight="1" s="236">
      <c r="A942" s="148" t="n"/>
      <c r="B942" s="148" t="n"/>
      <c r="C942" s="124" t="n"/>
      <c r="D942" s="148" t="n"/>
      <c r="E942" s="148" t="n"/>
      <c r="F942" s="148" t="n"/>
      <c r="G942" s="124" t="n"/>
      <c r="H942" s="148" t="n"/>
      <c r="I942" s="148" t="n"/>
      <c r="J942" s="148" t="n"/>
      <c r="K942" s="148" t="n"/>
      <c r="L942" s="148" t="n"/>
      <c r="M942" s="148" t="n"/>
      <c r="N942" s="148" t="n"/>
      <c r="O942" s="148" t="n"/>
      <c r="P942" s="148" t="n"/>
      <c r="Q942" s="148" t="n"/>
      <c r="R942" s="148" t="n"/>
      <c r="S942" s="148" t="n"/>
      <c r="T942" s="148" t="n"/>
      <c r="U942" s="149">
        <f>IF(AND('Master Stock'!D942&lt;&gt;"",'Master Stock'!H942="OCCUPIED",ISNUMBER('Master Stock'!J942),'Master Stock'!K942=""),SUMPRODUCT(--('Master Stock'!$D$2:$D$1000&lt;&gt;""),--('Master Stock'!$H$2:$H$1000="OCCUPIED"),--ISNUMBER('Master Stock'!$J$2:$J$1000),--('Master Stock'!$K$2:$K$1000=""),--('Master Stock'!$J$2:$J$1000&lt;'Master Stock'!J942))+COUNTIFS('Master Stock'!$J$2:J942,'Master Stock'!J942,'Master Stock'!$D$2:D942,"&lt;&gt;",'Master Stock'!$H$2:H942,"OCCUPIED",'Master Stock'!$K$2:K942,""),"")</f>
        <v/>
      </c>
      <c r="V942" s="149">
        <f>IF(AND('Master Stock'!D942&lt;&gt;"",'Master Stock'!H942="OCCUPIED",ISNUMBER('Master Stock'!L942),'Master Stock'!L942&lt;TODAY()-30),SUMPRODUCT(--('Master Stock'!$D$2:$D$1000&lt;&gt;""),--('Master Stock'!$H$2:$H$1000="OCCUPIED"),--ISNUMBER('Master Stock'!$L$2:$L$1000),--('Master Stock'!$L$2:$L$1000&lt;TODAY()-30),--('Master Stock'!$L$2:$L$1000&lt;'Master Stock'!L942))+COUNTIFS('Master Stock'!$L$2:L942,'Master Stock'!L942,'Master Stock'!$D$2:D942,"&lt;&gt;",'Master Stock'!$H$2:H942,"OCCUPIED"),"")</f>
        <v/>
      </c>
      <c r="W942" s="149" t="n"/>
      <c r="X942" s="149" t="n"/>
      <c r="Y942" s="149" t="n"/>
      <c r="Z942" s="149" t="n"/>
    </row>
    <row r="943" ht="15.75" customHeight="1" s="236">
      <c r="A943" s="148" t="n"/>
      <c r="B943" s="148" t="n"/>
      <c r="C943" s="124" t="n"/>
      <c r="D943" s="148" t="n"/>
      <c r="E943" s="148" t="n"/>
      <c r="F943" s="148" t="n"/>
      <c r="G943" s="124" t="n"/>
      <c r="H943" s="148" t="n"/>
      <c r="I943" s="148" t="n"/>
      <c r="J943" s="148" t="n"/>
      <c r="K943" s="148" t="n"/>
      <c r="L943" s="148" t="n"/>
      <c r="M943" s="148" t="n"/>
      <c r="N943" s="148" t="n"/>
      <c r="O943" s="148" t="n"/>
      <c r="P943" s="148" t="n"/>
      <c r="Q943" s="148" t="n"/>
      <c r="R943" s="148" t="n"/>
      <c r="S943" s="148" t="n"/>
      <c r="T943" s="148" t="n"/>
      <c r="U943" s="149">
        <f>IF(AND('Master Stock'!D943&lt;&gt;"",'Master Stock'!H943="OCCUPIED",ISNUMBER('Master Stock'!J943),'Master Stock'!K943=""),SUMPRODUCT(--('Master Stock'!$D$2:$D$1000&lt;&gt;""),--('Master Stock'!$H$2:$H$1000="OCCUPIED"),--ISNUMBER('Master Stock'!$J$2:$J$1000),--('Master Stock'!$K$2:$K$1000=""),--('Master Stock'!$J$2:$J$1000&lt;'Master Stock'!J943))+COUNTIFS('Master Stock'!$J$2:J943,'Master Stock'!J943,'Master Stock'!$D$2:D943,"&lt;&gt;",'Master Stock'!$H$2:H943,"OCCUPIED",'Master Stock'!$K$2:K943,""),"")</f>
        <v/>
      </c>
      <c r="V943" s="149">
        <f>IF(AND('Master Stock'!D943&lt;&gt;"",'Master Stock'!H943="OCCUPIED",ISNUMBER('Master Stock'!L943),'Master Stock'!L943&lt;TODAY()-30),SUMPRODUCT(--('Master Stock'!$D$2:$D$1000&lt;&gt;""),--('Master Stock'!$H$2:$H$1000="OCCUPIED"),--ISNUMBER('Master Stock'!$L$2:$L$1000),--('Master Stock'!$L$2:$L$1000&lt;TODAY()-30),--('Master Stock'!$L$2:$L$1000&lt;'Master Stock'!L943))+COUNTIFS('Master Stock'!$L$2:L943,'Master Stock'!L943,'Master Stock'!$D$2:D943,"&lt;&gt;",'Master Stock'!$H$2:H943,"OCCUPIED"),"")</f>
        <v/>
      </c>
      <c r="W943" s="149" t="n"/>
      <c r="X943" s="149" t="n"/>
      <c r="Y943" s="149" t="n"/>
      <c r="Z943" s="149" t="n"/>
    </row>
    <row r="944" ht="15.75" customHeight="1" s="236">
      <c r="A944" s="148" t="n"/>
      <c r="B944" s="148" t="n"/>
      <c r="C944" s="124" t="n"/>
      <c r="D944" s="148" t="n"/>
      <c r="E944" s="148" t="n"/>
      <c r="F944" s="148" t="n"/>
      <c r="G944" s="124" t="n"/>
      <c r="H944" s="148" t="n"/>
      <c r="I944" s="148" t="n"/>
      <c r="J944" s="148" t="n"/>
      <c r="K944" s="148" t="n"/>
      <c r="L944" s="148" t="n"/>
      <c r="M944" s="148" t="n"/>
      <c r="N944" s="148" t="n"/>
      <c r="O944" s="148" t="n"/>
      <c r="P944" s="148" t="n"/>
      <c r="Q944" s="148" t="n"/>
      <c r="R944" s="148" t="n"/>
      <c r="S944" s="148" t="n"/>
      <c r="T944" s="148" t="n"/>
      <c r="U944" s="149">
        <f>IF(AND('Master Stock'!D944&lt;&gt;"",'Master Stock'!H944="OCCUPIED",ISNUMBER('Master Stock'!J944),'Master Stock'!K944=""),SUMPRODUCT(--('Master Stock'!$D$2:$D$1000&lt;&gt;""),--('Master Stock'!$H$2:$H$1000="OCCUPIED"),--ISNUMBER('Master Stock'!$J$2:$J$1000),--('Master Stock'!$K$2:$K$1000=""),--('Master Stock'!$J$2:$J$1000&lt;'Master Stock'!J944))+COUNTIFS('Master Stock'!$J$2:J944,'Master Stock'!J944,'Master Stock'!$D$2:D944,"&lt;&gt;",'Master Stock'!$H$2:H944,"OCCUPIED",'Master Stock'!$K$2:K944,""),"")</f>
        <v/>
      </c>
      <c r="V944" s="149">
        <f>IF(AND('Master Stock'!D944&lt;&gt;"",'Master Stock'!H944="OCCUPIED",ISNUMBER('Master Stock'!L944),'Master Stock'!L944&lt;TODAY()-30),SUMPRODUCT(--('Master Stock'!$D$2:$D$1000&lt;&gt;""),--('Master Stock'!$H$2:$H$1000="OCCUPIED"),--ISNUMBER('Master Stock'!$L$2:$L$1000),--('Master Stock'!$L$2:$L$1000&lt;TODAY()-30),--('Master Stock'!$L$2:$L$1000&lt;'Master Stock'!L944))+COUNTIFS('Master Stock'!$L$2:L944,'Master Stock'!L944,'Master Stock'!$D$2:D944,"&lt;&gt;",'Master Stock'!$H$2:H944,"OCCUPIED"),"")</f>
        <v/>
      </c>
      <c r="W944" s="149" t="n"/>
      <c r="X944" s="149" t="n"/>
      <c r="Y944" s="149" t="n"/>
      <c r="Z944" s="149" t="n"/>
    </row>
    <row r="945" ht="15.75" customHeight="1" s="236">
      <c r="A945" s="148" t="n"/>
      <c r="B945" s="148" t="n"/>
      <c r="C945" s="124" t="n"/>
      <c r="D945" s="148" t="n"/>
      <c r="E945" s="148" t="n"/>
      <c r="F945" s="148" t="n"/>
      <c r="G945" s="124" t="n"/>
      <c r="H945" s="148" t="n"/>
      <c r="I945" s="148" t="n"/>
      <c r="J945" s="148" t="n"/>
      <c r="K945" s="148" t="n"/>
      <c r="L945" s="148" t="n"/>
      <c r="M945" s="148" t="n"/>
      <c r="N945" s="148" t="n"/>
      <c r="O945" s="148" t="n"/>
      <c r="P945" s="148" t="n"/>
      <c r="Q945" s="148" t="n"/>
      <c r="R945" s="148" t="n"/>
      <c r="S945" s="148" t="n"/>
      <c r="T945" s="148" t="n"/>
      <c r="U945" s="149">
        <f>IF(AND('Master Stock'!D945&lt;&gt;"",'Master Stock'!H945="OCCUPIED",ISNUMBER('Master Stock'!J945),'Master Stock'!K945=""),SUMPRODUCT(--('Master Stock'!$D$2:$D$1000&lt;&gt;""),--('Master Stock'!$H$2:$H$1000="OCCUPIED"),--ISNUMBER('Master Stock'!$J$2:$J$1000),--('Master Stock'!$K$2:$K$1000=""),--('Master Stock'!$J$2:$J$1000&lt;'Master Stock'!J945))+COUNTIFS('Master Stock'!$J$2:J945,'Master Stock'!J945,'Master Stock'!$D$2:D945,"&lt;&gt;",'Master Stock'!$H$2:H945,"OCCUPIED",'Master Stock'!$K$2:K945,""),"")</f>
        <v/>
      </c>
      <c r="V945" s="149">
        <f>IF(AND('Master Stock'!D945&lt;&gt;"",'Master Stock'!H945="OCCUPIED",ISNUMBER('Master Stock'!L945),'Master Stock'!L945&lt;TODAY()-30),SUMPRODUCT(--('Master Stock'!$D$2:$D$1000&lt;&gt;""),--('Master Stock'!$H$2:$H$1000="OCCUPIED"),--ISNUMBER('Master Stock'!$L$2:$L$1000),--('Master Stock'!$L$2:$L$1000&lt;TODAY()-30),--('Master Stock'!$L$2:$L$1000&lt;'Master Stock'!L945))+COUNTIFS('Master Stock'!$L$2:L945,'Master Stock'!L945,'Master Stock'!$D$2:D945,"&lt;&gt;",'Master Stock'!$H$2:H945,"OCCUPIED"),"")</f>
        <v/>
      </c>
      <c r="W945" s="149" t="n"/>
      <c r="X945" s="149" t="n"/>
      <c r="Y945" s="149" t="n"/>
      <c r="Z945" s="149" t="n"/>
    </row>
    <row r="946" ht="15.75" customHeight="1" s="236">
      <c r="A946" s="148" t="n"/>
      <c r="B946" s="148" t="n"/>
      <c r="C946" s="124" t="n"/>
      <c r="D946" s="148" t="n"/>
      <c r="E946" s="148" t="n"/>
      <c r="F946" s="148" t="n"/>
      <c r="G946" s="124" t="n"/>
      <c r="H946" s="148" t="n"/>
      <c r="I946" s="148" t="n"/>
      <c r="J946" s="148" t="n"/>
      <c r="K946" s="148" t="n"/>
      <c r="L946" s="148" t="n"/>
      <c r="M946" s="148" t="n"/>
      <c r="N946" s="148" t="n"/>
      <c r="O946" s="148" t="n"/>
      <c r="P946" s="148" t="n"/>
      <c r="Q946" s="148" t="n"/>
      <c r="R946" s="148" t="n"/>
      <c r="S946" s="148" t="n"/>
      <c r="T946" s="148" t="n"/>
      <c r="U946" s="149">
        <f>IF(AND('Master Stock'!D946&lt;&gt;"",'Master Stock'!H946="OCCUPIED",ISNUMBER('Master Stock'!J946),'Master Stock'!K946=""),SUMPRODUCT(--('Master Stock'!$D$2:$D$1000&lt;&gt;""),--('Master Stock'!$H$2:$H$1000="OCCUPIED"),--ISNUMBER('Master Stock'!$J$2:$J$1000),--('Master Stock'!$K$2:$K$1000=""),--('Master Stock'!$J$2:$J$1000&lt;'Master Stock'!J946))+COUNTIFS('Master Stock'!$J$2:J946,'Master Stock'!J946,'Master Stock'!$D$2:D946,"&lt;&gt;",'Master Stock'!$H$2:H946,"OCCUPIED",'Master Stock'!$K$2:K946,""),"")</f>
        <v/>
      </c>
      <c r="V946" s="149">
        <f>IF(AND('Master Stock'!D946&lt;&gt;"",'Master Stock'!H946="OCCUPIED",ISNUMBER('Master Stock'!L946),'Master Stock'!L946&lt;TODAY()-30),SUMPRODUCT(--('Master Stock'!$D$2:$D$1000&lt;&gt;""),--('Master Stock'!$H$2:$H$1000="OCCUPIED"),--ISNUMBER('Master Stock'!$L$2:$L$1000),--('Master Stock'!$L$2:$L$1000&lt;TODAY()-30),--('Master Stock'!$L$2:$L$1000&lt;'Master Stock'!L946))+COUNTIFS('Master Stock'!$L$2:L946,'Master Stock'!L946,'Master Stock'!$D$2:D946,"&lt;&gt;",'Master Stock'!$H$2:H946,"OCCUPIED"),"")</f>
        <v/>
      </c>
      <c r="W946" s="149" t="n"/>
      <c r="X946" s="149" t="n"/>
      <c r="Y946" s="149" t="n"/>
      <c r="Z946" s="149" t="n"/>
    </row>
    <row r="947" ht="15.75" customHeight="1" s="236">
      <c r="A947" s="148" t="n"/>
      <c r="B947" s="148" t="n"/>
      <c r="C947" s="124" t="n"/>
      <c r="D947" s="148" t="n"/>
      <c r="E947" s="148" t="n"/>
      <c r="F947" s="148" t="n"/>
      <c r="G947" s="124" t="n"/>
      <c r="H947" s="148" t="n"/>
      <c r="I947" s="148" t="n"/>
      <c r="J947" s="148" t="n"/>
      <c r="K947" s="148" t="n"/>
      <c r="L947" s="148" t="n"/>
      <c r="M947" s="148" t="n"/>
      <c r="N947" s="148" t="n"/>
      <c r="O947" s="148" t="n"/>
      <c r="P947" s="148" t="n"/>
      <c r="Q947" s="148" t="n"/>
      <c r="R947" s="148" t="n"/>
      <c r="S947" s="148" t="n"/>
      <c r="T947" s="148" t="n"/>
      <c r="U947" s="149">
        <f>IF(AND('Master Stock'!D947&lt;&gt;"",'Master Stock'!H947="OCCUPIED",ISNUMBER('Master Stock'!J947),'Master Stock'!K947=""),SUMPRODUCT(--('Master Stock'!$D$2:$D$1000&lt;&gt;""),--('Master Stock'!$H$2:$H$1000="OCCUPIED"),--ISNUMBER('Master Stock'!$J$2:$J$1000),--('Master Stock'!$K$2:$K$1000=""),--('Master Stock'!$J$2:$J$1000&lt;'Master Stock'!J947))+COUNTIFS('Master Stock'!$J$2:J947,'Master Stock'!J947,'Master Stock'!$D$2:D947,"&lt;&gt;",'Master Stock'!$H$2:H947,"OCCUPIED",'Master Stock'!$K$2:K947,""),"")</f>
        <v/>
      </c>
      <c r="V947" s="149">
        <f>IF(AND('Master Stock'!D947&lt;&gt;"",'Master Stock'!H947="OCCUPIED",ISNUMBER('Master Stock'!L947),'Master Stock'!L947&lt;TODAY()-30),SUMPRODUCT(--('Master Stock'!$D$2:$D$1000&lt;&gt;""),--('Master Stock'!$H$2:$H$1000="OCCUPIED"),--ISNUMBER('Master Stock'!$L$2:$L$1000),--('Master Stock'!$L$2:$L$1000&lt;TODAY()-30),--('Master Stock'!$L$2:$L$1000&lt;'Master Stock'!L947))+COUNTIFS('Master Stock'!$L$2:L947,'Master Stock'!L947,'Master Stock'!$D$2:D947,"&lt;&gt;",'Master Stock'!$H$2:H947,"OCCUPIED"),"")</f>
        <v/>
      </c>
      <c r="W947" s="149" t="n"/>
      <c r="X947" s="149" t="n"/>
      <c r="Y947" s="149" t="n"/>
      <c r="Z947" s="149" t="n"/>
    </row>
    <row r="948" ht="15.75" customHeight="1" s="236">
      <c r="A948" s="148" t="n"/>
      <c r="B948" s="148" t="n"/>
      <c r="C948" s="124" t="n"/>
      <c r="D948" s="148" t="n"/>
      <c r="E948" s="148" t="n"/>
      <c r="F948" s="148" t="n"/>
      <c r="G948" s="124" t="n"/>
      <c r="H948" s="148" t="n"/>
      <c r="I948" s="148" t="n"/>
      <c r="J948" s="148" t="n"/>
      <c r="K948" s="148" t="n"/>
      <c r="L948" s="148" t="n"/>
      <c r="M948" s="148" t="n"/>
      <c r="N948" s="148" t="n"/>
      <c r="O948" s="148" t="n"/>
      <c r="P948" s="148" t="n"/>
      <c r="Q948" s="148" t="n"/>
      <c r="R948" s="148" t="n"/>
      <c r="S948" s="148" t="n"/>
      <c r="T948" s="148" t="n"/>
      <c r="U948" s="149">
        <f>IF(AND('Master Stock'!D948&lt;&gt;"",'Master Stock'!H948="OCCUPIED",ISNUMBER('Master Stock'!J948),'Master Stock'!K948=""),SUMPRODUCT(--('Master Stock'!$D$2:$D$1000&lt;&gt;""),--('Master Stock'!$H$2:$H$1000="OCCUPIED"),--ISNUMBER('Master Stock'!$J$2:$J$1000),--('Master Stock'!$K$2:$K$1000=""),--('Master Stock'!$J$2:$J$1000&lt;'Master Stock'!J948))+COUNTIFS('Master Stock'!$J$2:J948,'Master Stock'!J948,'Master Stock'!$D$2:D948,"&lt;&gt;",'Master Stock'!$H$2:H948,"OCCUPIED",'Master Stock'!$K$2:K948,""),"")</f>
        <v/>
      </c>
      <c r="V948" s="149">
        <f>IF(AND('Master Stock'!D948&lt;&gt;"",'Master Stock'!H948="OCCUPIED",ISNUMBER('Master Stock'!L948),'Master Stock'!L948&lt;TODAY()-30),SUMPRODUCT(--('Master Stock'!$D$2:$D$1000&lt;&gt;""),--('Master Stock'!$H$2:$H$1000="OCCUPIED"),--ISNUMBER('Master Stock'!$L$2:$L$1000),--('Master Stock'!$L$2:$L$1000&lt;TODAY()-30),--('Master Stock'!$L$2:$L$1000&lt;'Master Stock'!L948))+COUNTIFS('Master Stock'!$L$2:L948,'Master Stock'!L948,'Master Stock'!$D$2:D948,"&lt;&gt;",'Master Stock'!$H$2:H948,"OCCUPIED"),"")</f>
        <v/>
      </c>
      <c r="W948" s="149" t="n"/>
      <c r="X948" s="149" t="n"/>
      <c r="Y948" s="149" t="n"/>
      <c r="Z948" s="149" t="n"/>
    </row>
    <row r="949" ht="15.75" customHeight="1" s="236">
      <c r="A949" s="148" t="n"/>
      <c r="B949" s="148" t="n"/>
      <c r="C949" s="124" t="n"/>
      <c r="D949" s="148" t="n"/>
      <c r="E949" s="148" t="n"/>
      <c r="F949" s="148" t="n"/>
      <c r="G949" s="124" t="n"/>
      <c r="H949" s="148" t="n"/>
      <c r="I949" s="148" t="n"/>
      <c r="J949" s="148" t="n"/>
      <c r="K949" s="148" t="n"/>
      <c r="L949" s="148" t="n"/>
      <c r="M949" s="148" t="n"/>
      <c r="N949" s="148" t="n"/>
      <c r="O949" s="148" t="n"/>
      <c r="P949" s="148" t="n"/>
      <c r="Q949" s="148" t="n"/>
      <c r="R949" s="148" t="n"/>
      <c r="S949" s="148" t="n"/>
      <c r="T949" s="148" t="n"/>
      <c r="U949" s="149">
        <f>IF(AND('Master Stock'!D949&lt;&gt;"",'Master Stock'!H949="OCCUPIED",ISNUMBER('Master Stock'!J949),'Master Stock'!K949=""),SUMPRODUCT(--('Master Stock'!$D$2:$D$1000&lt;&gt;""),--('Master Stock'!$H$2:$H$1000="OCCUPIED"),--ISNUMBER('Master Stock'!$J$2:$J$1000),--('Master Stock'!$K$2:$K$1000=""),--('Master Stock'!$J$2:$J$1000&lt;'Master Stock'!J949))+COUNTIFS('Master Stock'!$J$2:J949,'Master Stock'!J949,'Master Stock'!$D$2:D949,"&lt;&gt;",'Master Stock'!$H$2:H949,"OCCUPIED",'Master Stock'!$K$2:K949,""),"")</f>
        <v/>
      </c>
      <c r="V949" s="149">
        <f>IF(AND('Master Stock'!D949&lt;&gt;"",'Master Stock'!H949="OCCUPIED",ISNUMBER('Master Stock'!L949),'Master Stock'!L949&lt;TODAY()-30),SUMPRODUCT(--('Master Stock'!$D$2:$D$1000&lt;&gt;""),--('Master Stock'!$H$2:$H$1000="OCCUPIED"),--ISNUMBER('Master Stock'!$L$2:$L$1000),--('Master Stock'!$L$2:$L$1000&lt;TODAY()-30),--('Master Stock'!$L$2:$L$1000&lt;'Master Stock'!L949))+COUNTIFS('Master Stock'!$L$2:L949,'Master Stock'!L949,'Master Stock'!$D$2:D949,"&lt;&gt;",'Master Stock'!$H$2:H949,"OCCUPIED"),"")</f>
        <v/>
      </c>
      <c r="W949" s="149" t="n"/>
      <c r="X949" s="149" t="n"/>
      <c r="Y949" s="149" t="n"/>
      <c r="Z949" s="149" t="n"/>
    </row>
    <row r="950" ht="15.75" customHeight="1" s="236">
      <c r="A950" s="148" t="n"/>
      <c r="B950" s="148" t="n"/>
      <c r="C950" s="124" t="n"/>
      <c r="D950" s="148" t="n"/>
      <c r="E950" s="148" t="n"/>
      <c r="F950" s="148" t="n"/>
      <c r="G950" s="124" t="n"/>
      <c r="H950" s="148" t="n"/>
      <c r="I950" s="148" t="n"/>
      <c r="J950" s="148" t="n"/>
      <c r="K950" s="148" t="n"/>
      <c r="L950" s="148" t="n"/>
      <c r="M950" s="148" t="n"/>
      <c r="N950" s="148" t="n"/>
      <c r="O950" s="148" t="n"/>
      <c r="P950" s="148" t="n"/>
      <c r="Q950" s="148" t="n"/>
      <c r="R950" s="148" t="n"/>
      <c r="S950" s="148" t="n"/>
      <c r="T950" s="148" t="n"/>
      <c r="U950" s="149">
        <f>IF(AND('Master Stock'!D950&lt;&gt;"",'Master Stock'!H950="OCCUPIED",ISNUMBER('Master Stock'!J950),'Master Stock'!K950=""),SUMPRODUCT(--('Master Stock'!$D$2:$D$1000&lt;&gt;""),--('Master Stock'!$H$2:$H$1000="OCCUPIED"),--ISNUMBER('Master Stock'!$J$2:$J$1000),--('Master Stock'!$K$2:$K$1000=""),--('Master Stock'!$J$2:$J$1000&lt;'Master Stock'!J950))+COUNTIFS('Master Stock'!$J$2:J950,'Master Stock'!J950,'Master Stock'!$D$2:D950,"&lt;&gt;",'Master Stock'!$H$2:H950,"OCCUPIED",'Master Stock'!$K$2:K950,""),"")</f>
        <v/>
      </c>
      <c r="V950" s="149">
        <f>IF(AND('Master Stock'!D950&lt;&gt;"",'Master Stock'!H950="OCCUPIED",ISNUMBER('Master Stock'!L950),'Master Stock'!L950&lt;TODAY()-30),SUMPRODUCT(--('Master Stock'!$D$2:$D$1000&lt;&gt;""),--('Master Stock'!$H$2:$H$1000="OCCUPIED"),--ISNUMBER('Master Stock'!$L$2:$L$1000),--('Master Stock'!$L$2:$L$1000&lt;TODAY()-30),--('Master Stock'!$L$2:$L$1000&lt;'Master Stock'!L950))+COUNTIFS('Master Stock'!$L$2:L950,'Master Stock'!L950,'Master Stock'!$D$2:D950,"&lt;&gt;",'Master Stock'!$H$2:H950,"OCCUPIED"),"")</f>
        <v/>
      </c>
      <c r="W950" s="149" t="n"/>
      <c r="X950" s="149" t="n"/>
      <c r="Y950" s="149" t="n"/>
      <c r="Z950" s="149" t="n"/>
    </row>
    <row r="951" ht="15.75" customHeight="1" s="236">
      <c r="A951" s="148" t="n"/>
      <c r="B951" s="148" t="n"/>
      <c r="C951" s="124" t="n"/>
      <c r="D951" s="148" t="n"/>
      <c r="E951" s="148" t="n"/>
      <c r="F951" s="148" t="n"/>
      <c r="G951" s="124" t="n"/>
      <c r="H951" s="148" t="n"/>
      <c r="I951" s="148" t="n"/>
      <c r="J951" s="148" t="n"/>
      <c r="K951" s="148" t="n"/>
      <c r="L951" s="148" t="n"/>
      <c r="M951" s="148" t="n"/>
      <c r="N951" s="148" t="n"/>
      <c r="O951" s="148" t="n"/>
      <c r="P951" s="148" t="n"/>
      <c r="Q951" s="148" t="n"/>
      <c r="R951" s="148" t="n"/>
      <c r="S951" s="148" t="n"/>
      <c r="T951" s="148" t="n"/>
      <c r="U951" s="149">
        <f>IF(AND('Master Stock'!D951&lt;&gt;"",'Master Stock'!H951="OCCUPIED",ISNUMBER('Master Stock'!J951),'Master Stock'!K951=""),SUMPRODUCT(--('Master Stock'!$D$2:$D$1000&lt;&gt;""),--('Master Stock'!$H$2:$H$1000="OCCUPIED"),--ISNUMBER('Master Stock'!$J$2:$J$1000),--('Master Stock'!$K$2:$K$1000=""),--('Master Stock'!$J$2:$J$1000&lt;'Master Stock'!J951))+COUNTIFS('Master Stock'!$J$2:J951,'Master Stock'!J951,'Master Stock'!$D$2:D951,"&lt;&gt;",'Master Stock'!$H$2:H951,"OCCUPIED",'Master Stock'!$K$2:K951,""),"")</f>
        <v/>
      </c>
      <c r="V951" s="149">
        <f>IF(AND('Master Stock'!D951&lt;&gt;"",'Master Stock'!H951="OCCUPIED",ISNUMBER('Master Stock'!L951),'Master Stock'!L951&lt;TODAY()-30),SUMPRODUCT(--('Master Stock'!$D$2:$D$1000&lt;&gt;""),--('Master Stock'!$H$2:$H$1000="OCCUPIED"),--ISNUMBER('Master Stock'!$L$2:$L$1000),--('Master Stock'!$L$2:$L$1000&lt;TODAY()-30),--('Master Stock'!$L$2:$L$1000&lt;'Master Stock'!L951))+COUNTIFS('Master Stock'!$L$2:L951,'Master Stock'!L951,'Master Stock'!$D$2:D951,"&lt;&gt;",'Master Stock'!$H$2:H951,"OCCUPIED"),"")</f>
        <v/>
      </c>
      <c r="W951" s="149" t="n"/>
      <c r="X951" s="149" t="n"/>
      <c r="Y951" s="149" t="n"/>
      <c r="Z951" s="149" t="n"/>
    </row>
    <row r="952" ht="15.75" customHeight="1" s="236">
      <c r="A952" s="148" t="n"/>
      <c r="B952" s="148" t="n"/>
      <c r="C952" s="124" t="n"/>
      <c r="D952" s="148" t="n"/>
      <c r="E952" s="148" t="n"/>
      <c r="F952" s="148" t="n"/>
      <c r="G952" s="124" t="n"/>
      <c r="H952" s="148" t="n"/>
      <c r="I952" s="148" t="n"/>
      <c r="J952" s="148" t="n"/>
      <c r="K952" s="148" t="n"/>
      <c r="L952" s="148" t="n"/>
      <c r="M952" s="148" t="n"/>
      <c r="N952" s="148" t="n"/>
      <c r="O952" s="148" t="n"/>
      <c r="P952" s="148" t="n"/>
      <c r="Q952" s="148" t="n"/>
      <c r="R952" s="148" t="n"/>
      <c r="S952" s="148" t="n"/>
      <c r="T952" s="148" t="n"/>
      <c r="U952" s="149">
        <f>IF(AND('Master Stock'!D952&lt;&gt;"",'Master Stock'!H952="OCCUPIED",ISNUMBER('Master Stock'!J952),'Master Stock'!K952=""),SUMPRODUCT(--('Master Stock'!$D$2:$D$1000&lt;&gt;""),--('Master Stock'!$H$2:$H$1000="OCCUPIED"),--ISNUMBER('Master Stock'!$J$2:$J$1000),--('Master Stock'!$K$2:$K$1000=""),--('Master Stock'!$J$2:$J$1000&lt;'Master Stock'!J952))+COUNTIFS('Master Stock'!$J$2:J952,'Master Stock'!J952,'Master Stock'!$D$2:D952,"&lt;&gt;",'Master Stock'!$H$2:H952,"OCCUPIED",'Master Stock'!$K$2:K952,""),"")</f>
        <v/>
      </c>
      <c r="V952" s="149">
        <f>IF(AND('Master Stock'!D952&lt;&gt;"",'Master Stock'!H952="OCCUPIED",ISNUMBER('Master Stock'!L952),'Master Stock'!L952&lt;TODAY()-30),SUMPRODUCT(--('Master Stock'!$D$2:$D$1000&lt;&gt;""),--('Master Stock'!$H$2:$H$1000="OCCUPIED"),--ISNUMBER('Master Stock'!$L$2:$L$1000),--('Master Stock'!$L$2:$L$1000&lt;TODAY()-30),--('Master Stock'!$L$2:$L$1000&lt;'Master Stock'!L952))+COUNTIFS('Master Stock'!$L$2:L952,'Master Stock'!L952,'Master Stock'!$D$2:D952,"&lt;&gt;",'Master Stock'!$H$2:H952,"OCCUPIED"),"")</f>
        <v/>
      </c>
      <c r="W952" s="149" t="n"/>
      <c r="X952" s="149" t="n"/>
      <c r="Y952" s="149" t="n"/>
      <c r="Z952" s="149" t="n"/>
    </row>
    <row r="953" ht="15.75" customHeight="1" s="236">
      <c r="A953" s="148" t="n"/>
      <c r="B953" s="148" t="n"/>
      <c r="C953" s="124" t="n"/>
      <c r="D953" s="148" t="n"/>
      <c r="E953" s="148" t="n"/>
      <c r="F953" s="148" t="n"/>
      <c r="G953" s="124" t="n"/>
      <c r="H953" s="148" t="n"/>
      <c r="I953" s="148" t="n"/>
      <c r="J953" s="148" t="n"/>
      <c r="K953" s="148" t="n"/>
      <c r="L953" s="148" t="n"/>
      <c r="M953" s="148" t="n"/>
      <c r="N953" s="148" t="n"/>
      <c r="O953" s="148" t="n"/>
      <c r="P953" s="148" t="n"/>
      <c r="Q953" s="148" t="n"/>
      <c r="R953" s="148" t="n"/>
      <c r="S953" s="148" t="n"/>
      <c r="T953" s="148" t="n"/>
      <c r="U953" s="149">
        <f>IF(AND('Master Stock'!D953&lt;&gt;"",'Master Stock'!H953="OCCUPIED",ISNUMBER('Master Stock'!J953),'Master Stock'!K953=""),SUMPRODUCT(--('Master Stock'!$D$2:$D$1000&lt;&gt;""),--('Master Stock'!$H$2:$H$1000="OCCUPIED"),--ISNUMBER('Master Stock'!$J$2:$J$1000),--('Master Stock'!$K$2:$K$1000=""),--('Master Stock'!$J$2:$J$1000&lt;'Master Stock'!J953))+COUNTIFS('Master Stock'!$J$2:J953,'Master Stock'!J953,'Master Stock'!$D$2:D953,"&lt;&gt;",'Master Stock'!$H$2:H953,"OCCUPIED",'Master Stock'!$K$2:K953,""),"")</f>
        <v/>
      </c>
      <c r="V953" s="149">
        <f>IF(AND('Master Stock'!D953&lt;&gt;"",'Master Stock'!H953="OCCUPIED",ISNUMBER('Master Stock'!L953),'Master Stock'!L953&lt;TODAY()-30),SUMPRODUCT(--('Master Stock'!$D$2:$D$1000&lt;&gt;""),--('Master Stock'!$H$2:$H$1000="OCCUPIED"),--ISNUMBER('Master Stock'!$L$2:$L$1000),--('Master Stock'!$L$2:$L$1000&lt;TODAY()-30),--('Master Stock'!$L$2:$L$1000&lt;'Master Stock'!L953))+COUNTIFS('Master Stock'!$L$2:L953,'Master Stock'!L953,'Master Stock'!$D$2:D953,"&lt;&gt;",'Master Stock'!$H$2:H953,"OCCUPIED"),"")</f>
        <v/>
      </c>
      <c r="W953" s="149" t="n"/>
      <c r="X953" s="149" t="n"/>
      <c r="Y953" s="149" t="n"/>
      <c r="Z953" s="149" t="n"/>
    </row>
    <row r="954" ht="15.75" customHeight="1" s="236">
      <c r="A954" s="148" t="n"/>
      <c r="B954" s="148" t="n"/>
      <c r="C954" s="124" t="n"/>
      <c r="D954" s="148" t="n"/>
      <c r="E954" s="148" t="n"/>
      <c r="F954" s="148" t="n"/>
      <c r="G954" s="124" t="n"/>
      <c r="H954" s="148" t="n"/>
      <c r="I954" s="148" t="n"/>
      <c r="J954" s="148" t="n"/>
      <c r="K954" s="148" t="n"/>
      <c r="L954" s="148" t="n"/>
      <c r="M954" s="148" t="n"/>
      <c r="N954" s="148" t="n"/>
      <c r="O954" s="148" t="n"/>
      <c r="P954" s="148" t="n"/>
      <c r="Q954" s="148" t="n"/>
      <c r="R954" s="148" t="n"/>
      <c r="S954" s="148" t="n"/>
      <c r="T954" s="148" t="n"/>
      <c r="U954" s="149">
        <f>IF(AND('Master Stock'!D954&lt;&gt;"",'Master Stock'!H954="OCCUPIED",ISNUMBER('Master Stock'!J954),'Master Stock'!K954=""),SUMPRODUCT(--('Master Stock'!$D$2:$D$1000&lt;&gt;""),--('Master Stock'!$H$2:$H$1000="OCCUPIED"),--ISNUMBER('Master Stock'!$J$2:$J$1000),--('Master Stock'!$K$2:$K$1000=""),--('Master Stock'!$J$2:$J$1000&lt;'Master Stock'!J954))+COUNTIFS('Master Stock'!$J$2:J954,'Master Stock'!J954,'Master Stock'!$D$2:D954,"&lt;&gt;",'Master Stock'!$H$2:H954,"OCCUPIED",'Master Stock'!$K$2:K954,""),"")</f>
        <v/>
      </c>
      <c r="V954" s="149">
        <f>IF(AND('Master Stock'!D954&lt;&gt;"",'Master Stock'!H954="OCCUPIED",ISNUMBER('Master Stock'!L954),'Master Stock'!L954&lt;TODAY()-30),SUMPRODUCT(--('Master Stock'!$D$2:$D$1000&lt;&gt;""),--('Master Stock'!$H$2:$H$1000="OCCUPIED"),--ISNUMBER('Master Stock'!$L$2:$L$1000),--('Master Stock'!$L$2:$L$1000&lt;TODAY()-30),--('Master Stock'!$L$2:$L$1000&lt;'Master Stock'!L954))+COUNTIFS('Master Stock'!$L$2:L954,'Master Stock'!L954,'Master Stock'!$D$2:D954,"&lt;&gt;",'Master Stock'!$H$2:H954,"OCCUPIED"),"")</f>
        <v/>
      </c>
      <c r="W954" s="149" t="n"/>
      <c r="X954" s="149" t="n"/>
      <c r="Y954" s="149" t="n"/>
      <c r="Z954" s="149" t="n"/>
    </row>
    <row r="955" ht="15.75" customHeight="1" s="236">
      <c r="A955" s="148" t="n"/>
      <c r="B955" s="148" t="n"/>
      <c r="C955" s="124" t="n"/>
      <c r="D955" s="148" t="n"/>
      <c r="E955" s="148" t="n"/>
      <c r="F955" s="148" t="n"/>
      <c r="G955" s="124" t="n"/>
      <c r="H955" s="148" t="n"/>
      <c r="I955" s="148" t="n"/>
      <c r="J955" s="148" t="n"/>
      <c r="K955" s="148" t="n"/>
      <c r="L955" s="148" t="n"/>
      <c r="M955" s="148" t="n"/>
      <c r="N955" s="148" t="n"/>
      <c r="O955" s="148" t="n"/>
      <c r="P955" s="148" t="n"/>
      <c r="Q955" s="148" t="n"/>
      <c r="R955" s="148" t="n"/>
      <c r="S955" s="148" t="n"/>
      <c r="T955" s="148" t="n"/>
      <c r="U955" s="149">
        <f>IF(AND('Master Stock'!D955&lt;&gt;"",'Master Stock'!H955="OCCUPIED",ISNUMBER('Master Stock'!J955),'Master Stock'!K955=""),SUMPRODUCT(--('Master Stock'!$D$2:$D$1000&lt;&gt;""),--('Master Stock'!$H$2:$H$1000="OCCUPIED"),--ISNUMBER('Master Stock'!$J$2:$J$1000),--('Master Stock'!$K$2:$K$1000=""),--('Master Stock'!$J$2:$J$1000&lt;'Master Stock'!J955))+COUNTIFS('Master Stock'!$J$2:J955,'Master Stock'!J955,'Master Stock'!$D$2:D955,"&lt;&gt;",'Master Stock'!$H$2:H955,"OCCUPIED",'Master Stock'!$K$2:K955,""),"")</f>
        <v/>
      </c>
      <c r="V955" s="149">
        <f>IF(AND('Master Stock'!D955&lt;&gt;"",'Master Stock'!H955="OCCUPIED",ISNUMBER('Master Stock'!L955),'Master Stock'!L955&lt;TODAY()-30),SUMPRODUCT(--('Master Stock'!$D$2:$D$1000&lt;&gt;""),--('Master Stock'!$H$2:$H$1000="OCCUPIED"),--ISNUMBER('Master Stock'!$L$2:$L$1000),--('Master Stock'!$L$2:$L$1000&lt;TODAY()-30),--('Master Stock'!$L$2:$L$1000&lt;'Master Stock'!L955))+COUNTIFS('Master Stock'!$L$2:L955,'Master Stock'!L955,'Master Stock'!$D$2:D955,"&lt;&gt;",'Master Stock'!$H$2:H955,"OCCUPIED"),"")</f>
        <v/>
      </c>
      <c r="W955" s="149" t="n"/>
      <c r="X955" s="149" t="n"/>
      <c r="Y955" s="149" t="n"/>
      <c r="Z955" s="149" t="n"/>
    </row>
    <row r="956" ht="15.75" customHeight="1" s="236">
      <c r="A956" s="148" t="n"/>
      <c r="B956" s="148" t="n"/>
      <c r="C956" s="124" t="n"/>
      <c r="D956" s="148" t="n"/>
      <c r="E956" s="148" t="n"/>
      <c r="F956" s="148" t="n"/>
      <c r="G956" s="124" t="n"/>
      <c r="H956" s="148" t="n"/>
      <c r="I956" s="148" t="n"/>
      <c r="J956" s="148" t="n"/>
      <c r="K956" s="148" t="n"/>
      <c r="L956" s="148" t="n"/>
      <c r="M956" s="148" t="n"/>
      <c r="N956" s="148" t="n"/>
      <c r="O956" s="148" t="n"/>
      <c r="P956" s="148" t="n"/>
      <c r="Q956" s="148" t="n"/>
      <c r="R956" s="148" t="n"/>
      <c r="S956" s="148" t="n"/>
      <c r="T956" s="148" t="n"/>
      <c r="U956" s="149">
        <f>IF(AND('Master Stock'!D956&lt;&gt;"",'Master Stock'!H956="OCCUPIED",ISNUMBER('Master Stock'!J956),'Master Stock'!K956=""),SUMPRODUCT(--('Master Stock'!$D$2:$D$1000&lt;&gt;""),--('Master Stock'!$H$2:$H$1000="OCCUPIED"),--ISNUMBER('Master Stock'!$J$2:$J$1000),--('Master Stock'!$K$2:$K$1000=""),--('Master Stock'!$J$2:$J$1000&lt;'Master Stock'!J956))+COUNTIFS('Master Stock'!$J$2:J956,'Master Stock'!J956,'Master Stock'!$D$2:D956,"&lt;&gt;",'Master Stock'!$H$2:H956,"OCCUPIED",'Master Stock'!$K$2:K956,""),"")</f>
        <v/>
      </c>
      <c r="V956" s="149">
        <f>IF(AND('Master Stock'!D956&lt;&gt;"",'Master Stock'!H956="OCCUPIED",ISNUMBER('Master Stock'!L956),'Master Stock'!L956&lt;TODAY()-30),SUMPRODUCT(--('Master Stock'!$D$2:$D$1000&lt;&gt;""),--('Master Stock'!$H$2:$H$1000="OCCUPIED"),--ISNUMBER('Master Stock'!$L$2:$L$1000),--('Master Stock'!$L$2:$L$1000&lt;TODAY()-30),--('Master Stock'!$L$2:$L$1000&lt;'Master Stock'!L956))+COUNTIFS('Master Stock'!$L$2:L956,'Master Stock'!L956,'Master Stock'!$D$2:D956,"&lt;&gt;",'Master Stock'!$H$2:H956,"OCCUPIED"),"")</f>
        <v/>
      </c>
      <c r="W956" s="149" t="n"/>
      <c r="X956" s="149" t="n"/>
      <c r="Y956" s="149" t="n"/>
      <c r="Z956" s="149" t="n"/>
    </row>
    <row r="957" ht="15.75" customHeight="1" s="236">
      <c r="A957" s="148" t="n"/>
      <c r="B957" s="148" t="n"/>
      <c r="C957" s="124" t="n"/>
      <c r="D957" s="148" t="n"/>
      <c r="E957" s="148" t="n"/>
      <c r="F957" s="148" t="n"/>
      <c r="G957" s="124" t="n"/>
      <c r="H957" s="148" t="n"/>
      <c r="I957" s="148" t="n"/>
      <c r="J957" s="148" t="n"/>
      <c r="K957" s="148" t="n"/>
      <c r="L957" s="148" t="n"/>
      <c r="M957" s="148" t="n"/>
      <c r="N957" s="148" t="n"/>
      <c r="O957" s="148" t="n"/>
      <c r="P957" s="148" t="n"/>
      <c r="Q957" s="148" t="n"/>
      <c r="R957" s="148" t="n"/>
      <c r="S957" s="148" t="n"/>
      <c r="T957" s="148" t="n"/>
      <c r="U957" s="149">
        <f>IF(AND('Master Stock'!D957&lt;&gt;"",'Master Stock'!H957="OCCUPIED",ISNUMBER('Master Stock'!J957),'Master Stock'!K957=""),SUMPRODUCT(--('Master Stock'!$D$2:$D$1000&lt;&gt;""),--('Master Stock'!$H$2:$H$1000="OCCUPIED"),--ISNUMBER('Master Stock'!$J$2:$J$1000),--('Master Stock'!$K$2:$K$1000=""),--('Master Stock'!$J$2:$J$1000&lt;'Master Stock'!J957))+COUNTIFS('Master Stock'!$J$2:J957,'Master Stock'!J957,'Master Stock'!$D$2:D957,"&lt;&gt;",'Master Stock'!$H$2:H957,"OCCUPIED",'Master Stock'!$K$2:K957,""),"")</f>
        <v/>
      </c>
      <c r="V957" s="149">
        <f>IF(AND('Master Stock'!D957&lt;&gt;"",'Master Stock'!H957="OCCUPIED",ISNUMBER('Master Stock'!L957),'Master Stock'!L957&lt;TODAY()-30),SUMPRODUCT(--('Master Stock'!$D$2:$D$1000&lt;&gt;""),--('Master Stock'!$H$2:$H$1000="OCCUPIED"),--ISNUMBER('Master Stock'!$L$2:$L$1000),--('Master Stock'!$L$2:$L$1000&lt;TODAY()-30),--('Master Stock'!$L$2:$L$1000&lt;'Master Stock'!L957))+COUNTIFS('Master Stock'!$L$2:L957,'Master Stock'!L957,'Master Stock'!$D$2:D957,"&lt;&gt;",'Master Stock'!$H$2:H957,"OCCUPIED"),"")</f>
        <v/>
      </c>
      <c r="W957" s="149" t="n"/>
      <c r="X957" s="149" t="n"/>
      <c r="Y957" s="149" t="n"/>
      <c r="Z957" s="149" t="n"/>
    </row>
    <row r="958" ht="15.75" customHeight="1" s="236">
      <c r="A958" s="148" t="n"/>
      <c r="B958" s="148" t="n"/>
      <c r="C958" s="124" t="n"/>
      <c r="D958" s="148" t="n"/>
      <c r="E958" s="148" t="n"/>
      <c r="F958" s="148" t="n"/>
      <c r="G958" s="124" t="n"/>
      <c r="H958" s="148" t="n"/>
      <c r="I958" s="148" t="n"/>
      <c r="J958" s="148" t="n"/>
      <c r="K958" s="148" t="n"/>
      <c r="L958" s="148" t="n"/>
      <c r="M958" s="148" t="n"/>
      <c r="N958" s="148" t="n"/>
      <c r="O958" s="148" t="n"/>
      <c r="P958" s="148" t="n"/>
      <c r="Q958" s="148" t="n"/>
      <c r="R958" s="148" t="n"/>
      <c r="S958" s="148" t="n"/>
      <c r="T958" s="148" t="n"/>
      <c r="U958" s="149">
        <f>IF(AND('Master Stock'!D958&lt;&gt;"",'Master Stock'!H958="OCCUPIED",ISNUMBER('Master Stock'!J958),'Master Stock'!K958=""),SUMPRODUCT(--('Master Stock'!$D$2:$D$1000&lt;&gt;""),--('Master Stock'!$H$2:$H$1000="OCCUPIED"),--ISNUMBER('Master Stock'!$J$2:$J$1000),--('Master Stock'!$K$2:$K$1000=""),--('Master Stock'!$J$2:$J$1000&lt;'Master Stock'!J958))+COUNTIFS('Master Stock'!$J$2:J958,'Master Stock'!J958,'Master Stock'!$D$2:D958,"&lt;&gt;",'Master Stock'!$H$2:H958,"OCCUPIED",'Master Stock'!$K$2:K958,""),"")</f>
        <v/>
      </c>
      <c r="V958" s="149">
        <f>IF(AND('Master Stock'!D958&lt;&gt;"",'Master Stock'!H958="OCCUPIED",ISNUMBER('Master Stock'!L958),'Master Stock'!L958&lt;TODAY()-30),SUMPRODUCT(--('Master Stock'!$D$2:$D$1000&lt;&gt;""),--('Master Stock'!$H$2:$H$1000="OCCUPIED"),--ISNUMBER('Master Stock'!$L$2:$L$1000),--('Master Stock'!$L$2:$L$1000&lt;TODAY()-30),--('Master Stock'!$L$2:$L$1000&lt;'Master Stock'!L958))+COUNTIFS('Master Stock'!$L$2:L958,'Master Stock'!L958,'Master Stock'!$D$2:D958,"&lt;&gt;",'Master Stock'!$H$2:H958,"OCCUPIED"),"")</f>
        <v/>
      </c>
      <c r="W958" s="149" t="n"/>
      <c r="X958" s="149" t="n"/>
      <c r="Y958" s="149" t="n"/>
      <c r="Z958" s="149" t="n"/>
    </row>
    <row r="959" ht="15.75" customHeight="1" s="236">
      <c r="A959" s="148" t="n"/>
      <c r="B959" s="148" t="n"/>
      <c r="C959" s="124" t="n"/>
      <c r="D959" s="148" t="n"/>
      <c r="E959" s="148" t="n"/>
      <c r="F959" s="148" t="n"/>
      <c r="G959" s="124" t="n"/>
      <c r="H959" s="148" t="n"/>
      <c r="I959" s="148" t="n"/>
      <c r="J959" s="148" t="n"/>
      <c r="K959" s="148" t="n"/>
      <c r="L959" s="148" t="n"/>
      <c r="M959" s="148" t="n"/>
      <c r="N959" s="148" t="n"/>
      <c r="O959" s="148" t="n"/>
      <c r="P959" s="148" t="n"/>
      <c r="Q959" s="148" t="n"/>
      <c r="R959" s="148" t="n"/>
      <c r="S959" s="148" t="n"/>
      <c r="T959" s="148" t="n"/>
      <c r="U959" s="149">
        <f>IF(AND('Master Stock'!D959&lt;&gt;"",'Master Stock'!H959="OCCUPIED",ISNUMBER('Master Stock'!J959),'Master Stock'!K959=""),SUMPRODUCT(--('Master Stock'!$D$2:$D$1000&lt;&gt;""),--('Master Stock'!$H$2:$H$1000="OCCUPIED"),--ISNUMBER('Master Stock'!$J$2:$J$1000),--('Master Stock'!$K$2:$K$1000=""),--('Master Stock'!$J$2:$J$1000&lt;'Master Stock'!J959))+COUNTIFS('Master Stock'!$J$2:J959,'Master Stock'!J959,'Master Stock'!$D$2:D959,"&lt;&gt;",'Master Stock'!$H$2:H959,"OCCUPIED",'Master Stock'!$K$2:K959,""),"")</f>
        <v/>
      </c>
      <c r="V959" s="149">
        <f>IF(AND('Master Stock'!D959&lt;&gt;"",'Master Stock'!H959="OCCUPIED",ISNUMBER('Master Stock'!L959),'Master Stock'!L959&lt;TODAY()-30),SUMPRODUCT(--('Master Stock'!$D$2:$D$1000&lt;&gt;""),--('Master Stock'!$H$2:$H$1000="OCCUPIED"),--ISNUMBER('Master Stock'!$L$2:$L$1000),--('Master Stock'!$L$2:$L$1000&lt;TODAY()-30),--('Master Stock'!$L$2:$L$1000&lt;'Master Stock'!L959))+COUNTIFS('Master Stock'!$L$2:L959,'Master Stock'!L959,'Master Stock'!$D$2:D959,"&lt;&gt;",'Master Stock'!$H$2:H959,"OCCUPIED"),"")</f>
        <v/>
      </c>
      <c r="W959" s="149" t="n"/>
      <c r="X959" s="149" t="n"/>
      <c r="Y959" s="149" t="n"/>
      <c r="Z959" s="149" t="n"/>
    </row>
    <row r="960" ht="15.75" customHeight="1" s="236">
      <c r="A960" s="148" t="n"/>
      <c r="B960" s="148" t="n"/>
      <c r="C960" s="124" t="n"/>
      <c r="D960" s="148" t="n"/>
      <c r="E960" s="148" t="n"/>
      <c r="F960" s="148" t="n"/>
      <c r="G960" s="124" t="n"/>
      <c r="H960" s="148" t="n"/>
      <c r="I960" s="148" t="n"/>
      <c r="J960" s="148" t="n"/>
      <c r="K960" s="148" t="n"/>
      <c r="L960" s="148" t="n"/>
      <c r="M960" s="148" t="n"/>
      <c r="N960" s="148" t="n"/>
      <c r="O960" s="148" t="n"/>
      <c r="P960" s="148" t="n"/>
      <c r="Q960" s="148" t="n"/>
      <c r="R960" s="148" t="n"/>
      <c r="S960" s="148" t="n"/>
      <c r="T960" s="148" t="n"/>
      <c r="U960" s="149">
        <f>IF(AND('Master Stock'!D960&lt;&gt;"",'Master Stock'!H960="OCCUPIED",ISNUMBER('Master Stock'!J960),'Master Stock'!K960=""),SUMPRODUCT(--('Master Stock'!$D$2:$D$1000&lt;&gt;""),--('Master Stock'!$H$2:$H$1000="OCCUPIED"),--ISNUMBER('Master Stock'!$J$2:$J$1000),--('Master Stock'!$K$2:$K$1000=""),--('Master Stock'!$J$2:$J$1000&lt;'Master Stock'!J960))+COUNTIFS('Master Stock'!$J$2:J960,'Master Stock'!J960,'Master Stock'!$D$2:D960,"&lt;&gt;",'Master Stock'!$H$2:H960,"OCCUPIED",'Master Stock'!$K$2:K960,""),"")</f>
        <v/>
      </c>
      <c r="V960" s="149">
        <f>IF(AND('Master Stock'!D960&lt;&gt;"",'Master Stock'!H960="OCCUPIED",ISNUMBER('Master Stock'!L960),'Master Stock'!L960&lt;TODAY()-30),SUMPRODUCT(--('Master Stock'!$D$2:$D$1000&lt;&gt;""),--('Master Stock'!$H$2:$H$1000="OCCUPIED"),--ISNUMBER('Master Stock'!$L$2:$L$1000),--('Master Stock'!$L$2:$L$1000&lt;TODAY()-30),--('Master Stock'!$L$2:$L$1000&lt;'Master Stock'!L960))+COUNTIFS('Master Stock'!$L$2:L960,'Master Stock'!L960,'Master Stock'!$D$2:D960,"&lt;&gt;",'Master Stock'!$H$2:H960,"OCCUPIED"),"")</f>
        <v/>
      </c>
      <c r="W960" s="149" t="n"/>
      <c r="X960" s="149" t="n"/>
      <c r="Y960" s="149" t="n"/>
      <c r="Z960" s="149" t="n"/>
    </row>
    <row r="961" ht="15.75" customHeight="1" s="236">
      <c r="A961" s="148" t="n"/>
      <c r="B961" s="148" t="n"/>
      <c r="C961" s="124" t="n"/>
      <c r="D961" s="148" t="n"/>
      <c r="E961" s="148" t="n"/>
      <c r="F961" s="148" t="n"/>
      <c r="G961" s="124" t="n"/>
      <c r="H961" s="148" t="n"/>
      <c r="I961" s="148" t="n"/>
      <c r="J961" s="148" t="n"/>
      <c r="K961" s="148" t="n"/>
      <c r="L961" s="148" t="n"/>
      <c r="M961" s="148" t="n"/>
      <c r="N961" s="148" t="n"/>
      <c r="O961" s="148" t="n"/>
      <c r="P961" s="148" t="n"/>
      <c r="Q961" s="148" t="n"/>
      <c r="R961" s="148" t="n"/>
      <c r="S961" s="148" t="n"/>
      <c r="T961" s="148" t="n"/>
      <c r="U961" s="149">
        <f>IF(AND('Master Stock'!D961&lt;&gt;"",'Master Stock'!H961="OCCUPIED",ISNUMBER('Master Stock'!J961),'Master Stock'!K961=""),SUMPRODUCT(--('Master Stock'!$D$2:$D$1000&lt;&gt;""),--('Master Stock'!$H$2:$H$1000="OCCUPIED"),--ISNUMBER('Master Stock'!$J$2:$J$1000),--('Master Stock'!$K$2:$K$1000=""),--('Master Stock'!$J$2:$J$1000&lt;'Master Stock'!J961))+COUNTIFS('Master Stock'!$J$2:J961,'Master Stock'!J961,'Master Stock'!$D$2:D961,"&lt;&gt;",'Master Stock'!$H$2:H961,"OCCUPIED",'Master Stock'!$K$2:K961,""),"")</f>
        <v/>
      </c>
      <c r="V961" s="149">
        <f>IF(AND('Master Stock'!D961&lt;&gt;"",'Master Stock'!H961="OCCUPIED",ISNUMBER('Master Stock'!L961),'Master Stock'!L961&lt;TODAY()-30),SUMPRODUCT(--('Master Stock'!$D$2:$D$1000&lt;&gt;""),--('Master Stock'!$H$2:$H$1000="OCCUPIED"),--ISNUMBER('Master Stock'!$L$2:$L$1000),--('Master Stock'!$L$2:$L$1000&lt;TODAY()-30),--('Master Stock'!$L$2:$L$1000&lt;'Master Stock'!L961))+COUNTIFS('Master Stock'!$L$2:L961,'Master Stock'!L961,'Master Stock'!$D$2:D961,"&lt;&gt;",'Master Stock'!$H$2:H961,"OCCUPIED"),"")</f>
        <v/>
      </c>
      <c r="W961" s="149" t="n"/>
      <c r="X961" s="149" t="n"/>
      <c r="Y961" s="149" t="n"/>
      <c r="Z961" s="149" t="n"/>
    </row>
    <row r="962" ht="15.75" customHeight="1" s="236">
      <c r="A962" s="148" t="n"/>
      <c r="B962" s="148" t="n"/>
      <c r="C962" s="124" t="n"/>
      <c r="D962" s="148" t="n"/>
      <c r="E962" s="148" t="n"/>
      <c r="F962" s="148" t="n"/>
      <c r="G962" s="124" t="n"/>
      <c r="H962" s="148" t="n"/>
      <c r="I962" s="148" t="n"/>
      <c r="J962" s="148" t="n"/>
      <c r="K962" s="148" t="n"/>
      <c r="L962" s="148" t="n"/>
      <c r="M962" s="148" t="n"/>
      <c r="N962" s="148" t="n"/>
      <c r="O962" s="148" t="n"/>
      <c r="P962" s="148" t="n"/>
      <c r="Q962" s="148" t="n"/>
      <c r="R962" s="148" t="n"/>
      <c r="S962" s="148" t="n"/>
      <c r="T962" s="148" t="n"/>
      <c r="U962" s="149">
        <f>IF(AND('Master Stock'!D962&lt;&gt;"",'Master Stock'!H962="OCCUPIED",ISNUMBER('Master Stock'!J962),'Master Stock'!K962=""),SUMPRODUCT(--('Master Stock'!$D$2:$D$1000&lt;&gt;""),--('Master Stock'!$H$2:$H$1000="OCCUPIED"),--ISNUMBER('Master Stock'!$J$2:$J$1000),--('Master Stock'!$K$2:$K$1000=""),--('Master Stock'!$J$2:$J$1000&lt;'Master Stock'!J962))+COUNTIFS('Master Stock'!$J$2:J962,'Master Stock'!J962,'Master Stock'!$D$2:D962,"&lt;&gt;",'Master Stock'!$H$2:H962,"OCCUPIED",'Master Stock'!$K$2:K962,""),"")</f>
        <v/>
      </c>
      <c r="V962" s="149">
        <f>IF(AND('Master Stock'!D962&lt;&gt;"",'Master Stock'!H962="OCCUPIED",ISNUMBER('Master Stock'!L962),'Master Stock'!L962&lt;TODAY()-30),SUMPRODUCT(--('Master Stock'!$D$2:$D$1000&lt;&gt;""),--('Master Stock'!$H$2:$H$1000="OCCUPIED"),--ISNUMBER('Master Stock'!$L$2:$L$1000),--('Master Stock'!$L$2:$L$1000&lt;TODAY()-30),--('Master Stock'!$L$2:$L$1000&lt;'Master Stock'!L962))+COUNTIFS('Master Stock'!$L$2:L962,'Master Stock'!L962,'Master Stock'!$D$2:D962,"&lt;&gt;",'Master Stock'!$H$2:H962,"OCCUPIED"),"")</f>
        <v/>
      </c>
      <c r="W962" s="149" t="n"/>
      <c r="X962" s="149" t="n"/>
      <c r="Y962" s="149" t="n"/>
      <c r="Z962" s="149" t="n"/>
    </row>
    <row r="963" ht="15.75" customHeight="1" s="236">
      <c r="A963" s="148" t="n"/>
      <c r="B963" s="148" t="n"/>
      <c r="C963" s="124" t="n"/>
      <c r="D963" s="148" t="n"/>
      <c r="E963" s="148" t="n"/>
      <c r="F963" s="148" t="n"/>
      <c r="G963" s="124" t="n"/>
      <c r="H963" s="148" t="n"/>
      <c r="I963" s="148" t="n"/>
      <c r="J963" s="148" t="n"/>
      <c r="K963" s="148" t="n"/>
      <c r="L963" s="148" t="n"/>
      <c r="M963" s="148" t="n"/>
      <c r="N963" s="148" t="n"/>
      <c r="O963" s="148" t="n"/>
      <c r="P963" s="148" t="n"/>
      <c r="Q963" s="148" t="n"/>
      <c r="R963" s="148" t="n"/>
      <c r="S963" s="148" t="n"/>
      <c r="T963" s="148" t="n"/>
      <c r="U963" s="149">
        <f>IF(AND('Master Stock'!D963&lt;&gt;"",'Master Stock'!H963="OCCUPIED",ISNUMBER('Master Stock'!J963),'Master Stock'!K963=""),SUMPRODUCT(--('Master Stock'!$D$2:$D$1000&lt;&gt;""),--('Master Stock'!$H$2:$H$1000="OCCUPIED"),--ISNUMBER('Master Stock'!$J$2:$J$1000),--('Master Stock'!$K$2:$K$1000=""),--('Master Stock'!$J$2:$J$1000&lt;'Master Stock'!J963))+COUNTIFS('Master Stock'!$J$2:J963,'Master Stock'!J963,'Master Stock'!$D$2:D963,"&lt;&gt;",'Master Stock'!$H$2:H963,"OCCUPIED",'Master Stock'!$K$2:K963,""),"")</f>
        <v/>
      </c>
      <c r="V963" s="149">
        <f>IF(AND('Master Stock'!D963&lt;&gt;"",'Master Stock'!H963="OCCUPIED",ISNUMBER('Master Stock'!L963),'Master Stock'!L963&lt;TODAY()-30),SUMPRODUCT(--('Master Stock'!$D$2:$D$1000&lt;&gt;""),--('Master Stock'!$H$2:$H$1000="OCCUPIED"),--ISNUMBER('Master Stock'!$L$2:$L$1000),--('Master Stock'!$L$2:$L$1000&lt;TODAY()-30),--('Master Stock'!$L$2:$L$1000&lt;'Master Stock'!L963))+COUNTIFS('Master Stock'!$L$2:L963,'Master Stock'!L963,'Master Stock'!$D$2:D963,"&lt;&gt;",'Master Stock'!$H$2:H963,"OCCUPIED"),"")</f>
        <v/>
      </c>
      <c r="W963" s="149" t="n"/>
      <c r="X963" s="149" t="n"/>
      <c r="Y963" s="149" t="n"/>
      <c r="Z963" s="149" t="n"/>
    </row>
    <row r="964" ht="15.75" customHeight="1" s="236">
      <c r="A964" s="148" t="n"/>
      <c r="B964" s="148" t="n"/>
      <c r="C964" s="124" t="n"/>
      <c r="D964" s="148" t="n"/>
      <c r="E964" s="148" t="n"/>
      <c r="F964" s="148" t="n"/>
      <c r="G964" s="124" t="n"/>
      <c r="H964" s="148" t="n"/>
      <c r="I964" s="148" t="n"/>
      <c r="J964" s="148" t="n"/>
      <c r="K964" s="148" t="n"/>
      <c r="L964" s="148" t="n"/>
      <c r="M964" s="148" t="n"/>
      <c r="N964" s="148" t="n"/>
      <c r="O964" s="148" t="n"/>
      <c r="P964" s="148" t="n"/>
      <c r="Q964" s="148" t="n"/>
      <c r="R964" s="148" t="n"/>
      <c r="S964" s="148" t="n"/>
      <c r="T964" s="148" t="n"/>
      <c r="U964" s="149">
        <f>IF(AND('Master Stock'!D964&lt;&gt;"",'Master Stock'!H964="OCCUPIED",ISNUMBER('Master Stock'!J964),'Master Stock'!K964=""),SUMPRODUCT(--('Master Stock'!$D$2:$D$1000&lt;&gt;""),--('Master Stock'!$H$2:$H$1000="OCCUPIED"),--ISNUMBER('Master Stock'!$J$2:$J$1000),--('Master Stock'!$K$2:$K$1000=""),--('Master Stock'!$J$2:$J$1000&lt;'Master Stock'!J964))+COUNTIFS('Master Stock'!$J$2:J964,'Master Stock'!J964,'Master Stock'!$D$2:D964,"&lt;&gt;",'Master Stock'!$H$2:H964,"OCCUPIED",'Master Stock'!$K$2:K964,""),"")</f>
        <v/>
      </c>
      <c r="V964" s="149">
        <f>IF(AND('Master Stock'!D964&lt;&gt;"",'Master Stock'!H964="OCCUPIED",ISNUMBER('Master Stock'!L964),'Master Stock'!L964&lt;TODAY()-30),SUMPRODUCT(--('Master Stock'!$D$2:$D$1000&lt;&gt;""),--('Master Stock'!$H$2:$H$1000="OCCUPIED"),--ISNUMBER('Master Stock'!$L$2:$L$1000),--('Master Stock'!$L$2:$L$1000&lt;TODAY()-30),--('Master Stock'!$L$2:$L$1000&lt;'Master Stock'!L964))+COUNTIFS('Master Stock'!$L$2:L964,'Master Stock'!L964,'Master Stock'!$D$2:D964,"&lt;&gt;",'Master Stock'!$H$2:H964,"OCCUPIED"),"")</f>
        <v/>
      </c>
      <c r="W964" s="149" t="n"/>
      <c r="X964" s="149" t="n"/>
      <c r="Y964" s="149" t="n"/>
      <c r="Z964" s="149" t="n"/>
    </row>
    <row r="965" ht="15.75" customHeight="1" s="236">
      <c r="A965" s="148" t="n"/>
      <c r="B965" s="148" t="n"/>
      <c r="C965" s="124" t="n"/>
      <c r="D965" s="148" t="n"/>
      <c r="E965" s="148" t="n"/>
      <c r="F965" s="148" t="n"/>
      <c r="G965" s="124" t="n"/>
      <c r="H965" s="148" t="n"/>
      <c r="I965" s="148" t="n"/>
      <c r="J965" s="148" t="n"/>
      <c r="K965" s="148" t="n"/>
      <c r="L965" s="148" t="n"/>
      <c r="M965" s="148" t="n"/>
      <c r="N965" s="148" t="n"/>
      <c r="O965" s="148" t="n"/>
      <c r="P965" s="148" t="n"/>
      <c r="Q965" s="148" t="n"/>
      <c r="R965" s="148" t="n"/>
      <c r="S965" s="148" t="n"/>
      <c r="T965" s="148" t="n"/>
      <c r="U965" s="149">
        <f>IF(AND('Master Stock'!D965&lt;&gt;"",'Master Stock'!H965="OCCUPIED",ISNUMBER('Master Stock'!J965),'Master Stock'!K965=""),SUMPRODUCT(--('Master Stock'!$D$2:$D$1000&lt;&gt;""),--('Master Stock'!$H$2:$H$1000="OCCUPIED"),--ISNUMBER('Master Stock'!$J$2:$J$1000),--('Master Stock'!$K$2:$K$1000=""),--('Master Stock'!$J$2:$J$1000&lt;'Master Stock'!J965))+COUNTIFS('Master Stock'!$J$2:J965,'Master Stock'!J965,'Master Stock'!$D$2:D965,"&lt;&gt;",'Master Stock'!$H$2:H965,"OCCUPIED",'Master Stock'!$K$2:K965,""),"")</f>
        <v/>
      </c>
      <c r="V965" s="149">
        <f>IF(AND('Master Stock'!D965&lt;&gt;"",'Master Stock'!H965="OCCUPIED",ISNUMBER('Master Stock'!L965),'Master Stock'!L965&lt;TODAY()-30),SUMPRODUCT(--('Master Stock'!$D$2:$D$1000&lt;&gt;""),--('Master Stock'!$H$2:$H$1000="OCCUPIED"),--ISNUMBER('Master Stock'!$L$2:$L$1000),--('Master Stock'!$L$2:$L$1000&lt;TODAY()-30),--('Master Stock'!$L$2:$L$1000&lt;'Master Stock'!L965))+COUNTIFS('Master Stock'!$L$2:L965,'Master Stock'!L965,'Master Stock'!$D$2:D965,"&lt;&gt;",'Master Stock'!$H$2:H965,"OCCUPIED"),"")</f>
        <v/>
      </c>
      <c r="W965" s="149" t="n"/>
      <c r="X965" s="149" t="n"/>
      <c r="Y965" s="149" t="n"/>
      <c r="Z965" s="149" t="n"/>
    </row>
    <row r="966" ht="15.75" customHeight="1" s="236">
      <c r="A966" s="148" t="n"/>
      <c r="B966" s="148" t="n"/>
      <c r="C966" s="124" t="n"/>
      <c r="D966" s="148" t="n"/>
      <c r="E966" s="148" t="n"/>
      <c r="F966" s="148" t="n"/>
      <c r="G966" s="124" t="n"/>
      <c r="H966" s="148" t="n"/>
      <c r="I966" s="148" t="n"/>
      <c r="J966" s="148" t="n"/>
      <c r="K966" s="148" t="n"/>
      <c r="L966" s="148" t="n"/>
      <c r="M966" s="148" t="n"/>
      <c r="N966" s="148" t="n"/>
      <c r="O966" s="148" t="n"/>
      <c r="P966" s="148" t="n"/>
      <c r="Q966" s="148" t="n"/>
      <c r="R966" s="148" t="n"/>
      <c r="S966" s="148" t="n"/>
      <c r="T966" s="148" t="n"/>
      <c r="U966" s="149">
        <f>IF(AND('Master Stock'!D966&lt;&gt;"",'Master Stock'!H966="OCCUPIED",ISNUMBER('Master Stock'!J966),'Master Stock'!K966=""),SUMPRODUCT(--('Master Stock'!$D$2:$D$1000&lt;&gt;""),--('Master Stock'!$H$2:$H$1000="OCCUPIED"),--ISNUMBER('Master Stock'!$J$2:$J$1000),--('Master Stock'!$K$2:$K$1000=""),--('Master Stock'!$J$2:$J$1000&lt;'Master Stock'!J966))+COUNTIFS('Master Stock'!$J$2:J966,'Master Stock'!J966,'Master Stock'!$D$2:D966,"&lt;&gt;",'Master Stock'!$H$2:H966,"OCCUPIED",'Master Stock'!$K$2:K966,""),"")</f>
        <v/>
      </c>
      <c r="V966" s="149">
        <f>IF(AND('Master Stock'!D966&lt;&gt;"",'Master Stock'!H966="OCCUPIED",ISNUMBER('Master Stock'!L966),'Master Stock'!L966&lt;TODAY()-30),SUMPRODUCT(--('Master Stock'!$D$2:$D$1000&lt;&gt;""),--('Master Stock'!$H$2:$H$1000="OCCUPIED"),--ISNUMBER('Master Stock'!$L$2:$L$1000),--('Master Stock'!$L$2:$L$1000&lt;TODAY()-30),--('Master Stock'!$L$2:$L$1000&lt;'Master Stock'!L966))+COUNTIFS('Master Stock'!$L$2:L966,'Master Stock'!L966,'Master Stock'!$D$2:D966,"&lt;&gt;",'Master Stock'!$H$2:H966,"OCCUPIED"),"")</f>
        <v/>
      </c>
      <c r="W966" s="149" t="n"/>
      <c r="X966" s="149" t="n"/>
      <c r="Y966" s="149" t="n"/>
      <c r="Z966" s="149" t="n"/>
    </row>
    <row r="967" ht="15.75" customHeight="1" s="236">
      <c r="A967" s="148" t="n"/>
      <c r="B967" s="148" t="n"/>
      <c r="C967" s="124" t="n"/>
      <c r="D967" s="148" t="n"/>
      <c r="E967" s="148" t="n"/>
      <c r="F967" s="148" t="n"/>
      <c r="G967" s="124" t="n"/>
      <c r="H967" s="148" t="n"/>
      <c r="I967" s="148" t="n"/>
      <c r="J967" s="148" t="n"/>
      <c r="K967" s="148" t="n"/>
      <c r="L967" s="148" t="n"/>
      <c r="M967" s="148" t="n"/>
      <c r="N967" s="148" t="n"/>
      <c r="O967" s="148" t="n"/>
      <c r="P967" s="148" t="n"/>
      <c r="Q967" s="148" t="n"/>
      <c r="R967" s="148" t="n"/>
      <c r="S967" s="148" t="n"/>
      <c r="T967" s="148" t="n"/>
      <c r="U967" s="149">
        <f>IF(AND('Master Stock'!D967&lt;&gt;"",'Master Stock'!H967="OCCUPIED",ISNUMBER('Master Stock'!J967),'Master Stock'!K967=""),SUMPRODUCT(--('Master Stock'!$D$2:$D$1000&lt;&gt;""),--('Master Stock'!$H$2:$H$1000="OCCUPIED"),--ISNUMBER('Master Stock'!$J$2:$J$1000),--('Master Stock'!$K$2:$K$1000=""),--('Master Stock'!$J$2:$J$1000&lt;'Master Stock'!J967))+COUNTIFS('Master Stock'!$J$2:J967,'Master Stock'!J967,'Master Stock'!$D$2:D967,"&lt;&gt;",'Master Stock'!$H$2:H967,"OCCUPIED",'Master Stock'!$K$2:K967,""),"")</f>
        <v/>
      </c>
      <c r="V967" s="149">
        <f>IF(AND('Master Stock'!D967&lt;&gt;"",'Master Stock'!H967="OCCUPIED",ISNUMBER('Master Stock'!L967),'Master Stock'!L967&lt;TODAY()-30),SUMPRODUCT(--('Master Stock'!$D$2:$D$1000&lt;&gt;""),--('Master Stock'!$H$2:$H$1000="OCCUPIED"),--ISNUMBER('Master Stock'!$L$2:$L$1000),--('Master Stock'!$L$2:$L$1000&lt;TODAY()-30),--('Master Stock'!$L$2:$L$1000&lt;'Master Stock'!L967))+COUNTIFS('Master Stock'!$L$2:L967,'Master Stock'!L967,'Master Stock'!$D$2:D967,"&lt;&gt;",'Master Stock'!$H$2:H967,"OCCUPIED"),"")</f>
        <v/>
      </c>
      <c r="W967" s="149" t="n"/>
      <c r="X967" s="149" t="n"/>
      <c r="Y967" s="149" t="n"/>
      <c r="Z967" s="149" t="n"/>
    </row>
    <row r="968" ht="15.75" customHeight="1" s="236">
      <c r="A968" s="148" t="n"/>
      <c r="B968" s="148" t="n"/>
      <c r="C968" s="124" t="n"/>
      <c r="D968" s="148" t="n"/>
      <c r="E968" s="148" t="n"/>
      <c r="F968" s="148" t="n"/>
      <c r="G968" s="124" t="n"/>
      <c r="H968" s="148" t="n"/>
      <c r="I968" s="148" t="n"/>
      <c r="J968" s="148" t="n"/>
      <c r="K968" s="148" t="n"/>
      <c r="L968" s="148" t="n"/>
      <c r="M968" s="148" t="n"/>
      <c r="N968" s="148" t="n"/>
      <c r="O968" s="148" t="n"/>
      <c r="P968" s="148" t="n"/>
      <c r="Q968" s="148" t="n"/>
      <c r="R968" s="148" t="n"/>
      <c r="S968" s="148" t="n"/>
      <c r="T968" s="148" t="n"/>
      <c r="U968" s="149">
        <f>IF(AND('Master Stock'!D968&lt;&gt;"",'Master Stock'!H968="OCCUPIED",ISNUMBER('Master Stock'!J968),'Master Stock'!K968=""),SUMPRODUCT(--('Master Stock'!$D$2:$D$1000&lt;&gt;""),--('Master Stock'!$H$2:$H$1000="OCCUPIED"),--ISNUMBER('Master Stock'!$J$2:$J$1000),--('Master Stock'!$K$2:$K$1000=""),--('Master Stock'!$J$2:$J$1000&lt;'Master Stock'!J968))+COUNTIFS('Master Stock'!$J$2:J968,'Master Stock'!J968,'Master Stock'!$D$2:D968,"&lt;&gt;",'Master Stock'!$H$2:H968,"OCCUPIED",'Master Stock'!$K$2:K968,""),"")</f>
        <v/>
      </c>
      <c r="V968" s="149">
        <f>IF(AND('Master Stock'!D968&lt;&gt;"",'Master Stock'!H968="OCCUPIED",ISNUMBER('Master Stock'!L968),'Master Stock'!L968&lt;TODAY()-30),SUMPRODUCT(--('Master Stock'!$D$2:$D$1000&lt;&gt;""),--('Master Stock'!$H$2:$H$1000="OCCUPIED"),--ISNUMBER('Master Stock'!$L$2:$L$1000),--('Master Stock'!$L$2:$L$1000&lt;TODAY()-30),--('Master Stock'!$L$2:$L$1000&lt;'Master Stock'!L968))+COUNTIFS('Master Stock'!$L$2:L968,'Master Stock'!L968,'Master Stock'!$D$2:D968,"&lt;&gt;",'Master Stock'!$H$2:H968,"OCCUPIED"),"")</f>
        <v/>
      </c>
      <c r="W968" s="149" t="n"/>
      <c r="X968" s="149" t="n"/>
      <c r="Y968" s="149" t="n"/>
      <c r="Z968" s="149" t="n"/>
    </row>
    <row r="969" ht="15.75" customHeight="1" s="236">
      <c r="A969" s="148" t="n"/>
      <c r="B969" s="148" t="n"/>
      <c r="C969" s="124" t="n"/>
      <c r="D969" s="148" t="n"/>
      <c r="E969" s="148" t="n"/>
      <c r="F969" s="148" t="n"/>
      <c r="G969" s="124" t="n"/>
      <c r="H969" s="148" t="n"/>
      <c r="I969" s="148" t="n"/>
      <c r="J969" s="148" t="n"/>
      <c r="K969" s="148" t="n"/>
      <c r="L969" s="148" t="n"/>
      <c r="M969" s="148" t="n"/>
      <c r="N969" s="148" t="n"/>
      <c r="O969" s="148" t="n"/>
      <c r="P969" s="148" t="n"/>
      <c r="Q969" s="148" t="n"/>
      <c r="R969" s="148" t="n"/>
      <c r="S969" s="148" t="n"/>
      <c r="T969" s="148" t="n"/>
      <c r="U969" s="149">
        <f>IF(AND('Master Stock'!D969&lt;&gt;"",'Master Stock'!H969="OCCUPIED",ISNUMBER('Master Stock'!J969),'Master Stock'!K969=""),SUMPRODUCT(--('Master Stock'!$D$2:$D$1000&lt;&gt;""),--('Master Stock'!$H$2:$H$1000="OCCUPIED"),--ISNUMBER('Master Stock'!$J$2:$J$1000),--('Master Stock'!$K$2:$K$1000=""),--('Master Stock'!$J$2:$J$1000&lt;'Master Stock'!J969))+COUNTIFS('Master Stock'!$J$2:J969,'Master Stock'!J969,'Master Stock'!$D$2:D969,"&lt;&gt;",'Master Stock'!$H$2:H969,"OCCUPIED",'Master Stock'!$K$2:K969,""),"")</f>
        <v/>
      </c>
      <c r="V969" s="149">
        <f>IF(AND('Master Stock'!D969&lt;&gt;"",'Master Stock'!H969="OCCUPIED",ISNUMBER('Master Stock'!L969),'Master Stock'!L969&lt;TODAY()-30),SUMPRODUCT(--('Master Stock'!$D$2:$D$1000&lt;&gt;""),--('Master Stock'!$H$2:$H$1000="OCCUPIED"),--ISNUMBER('Master Stock'!$L$2:$L$1000),--('Master Stock'!$L$2:$L$1000&lt;TODAY()-30),--('Master Stock'!$L$2:$L$1000&lt;'Master Stock'!L969))+COUNTIFS('Master Stock'!$L$2:L969,'Master Stock'!L969,'Master Stock'!$D$2:D969,"&lt;&gt;",'Master Stock'!$H$2:H969,"OCCUPIED"),"")</f>
        <v/>
      </c>
      <c r="W969" s="149" t="n"/>
      <c r="X969" s="149" t="n"/>
      <c r="Y969" s="149" t="n"/>
      <c r="Z969" s="149" t="n"/>
    </row>
    <row r="970" ht="15.75" customHeight="1" s="236">
      <c r="A970" s="148" t="n"/>
      <c r="B970" s="148" t="n"/>
      <c r="C970" s="124" t="n"/>
      <c r="D970" s="148" t="n"/>
      <c r="E970" s="148" t="n"/>
      <c r="F970" s="148" t="n"/>
      <c r="G970" s="124" t="n"/>
      <c r="H970" s="148" t="n"/>
      <c r="I970" s="148" t="n"/>
      <c r="J970" s="148" t="n"/>
      <c r="K970" s="148" t="n"/>
      <c r="L970" s="148" t="n"/>
      <c r="M970" s="148" t="n"/>
      <c r="N970" s="148" t="n"/>
      <c r="O970" s="148" t="n"/>
      <c r="P970" s="148" t="n"/>
      <c r="Q970" s="148" t="n"/>
      <c r="R970" s="148" t="n"/>
      <c r="S970" s="148" t="n"/>
      <c r="T970" s="148" t="n"/>
      <c r="U970" s="149">
        <f>IF(AND('Master Stock'!D970&lt;&gt;"",'Master Stock'!H970="OCCUPIED",ISNUMBER('Master Stock'!J970),'Master Stock'!K970=""),SUMPRODUCT(--('Master Stock'!$D$2:$D$1000&lt;&gt;""),--('Master Stock'!$H$2:$H$1000="OCCUPIED"),--ISNUMBER('Master Stock'!$J$2:$J$1000),--('Master Stock'!$K$2:$K$1000=""),--('Master Stock'!$J$2:$J$1000&lt;'Master Stock'!J970))+COUNTIFS('Master Stock'!$J$2:J970,'Master Stock'!J970,'Master Stock'!$D$2:D970,"&lt;&gt;",'Master Stock'!$H$2:H970,"OCCUPIED",'Master Stock'!$K$2:K970,""),"")</f>
        <v/>
      </c>
      <c r="V970" s="149">
        <f>IF(AND('Master Stock'!D970&lt;&gt;"",'Master Stock'!H970="OCCUPIED",ISNUMBER('Master Stock'!L970),'Master Stock'!L970&lt;TODAY()-30),SUMPRODUCT(--('Master Stock'!$D$2:$D$1000&lt;&gt;""),--('Master Stock'!$H$2:$H$1000="OCCUPIED"),--ISNUMBER('Master Stock'!$L$2:$L$1000),--('Master Stock'!$L$2:$L$1000&lt;TODAY()-30),--('Master Stock'!$L$2:$L$1000&lt;'Master Stock'!L970))+COUNTIFS('Master Stock'!$L$2:L970,'Master Stock'!L970,'Master Stock'!$D$2:D970,"&lt;&gt;",'Master Stock'!$H$2:H970,"OCCUPIED"),"")</f>
        <v/>
      </c>
      <c r="W970" s="149" t="n"/>
      <c r="X970" s="149" t="n"/>
      <c r="Y970" s="149" t="n"/>
      <c r="Z970" s="149" t="n"/>
    </row>
    <row r="971" ht="15.75" customHeight="1" s="236">
      <c r="A971" s="148" t="n"/>
      <c r="B971" s="148" t="n"/>
      <c r="C971" s="124" t="n"/>
      <c r="D971" s="148" t="n"/>
      <c r="E971" s="148" t="n"/>
      <c r="F971" s="148" t="n"/>
      <c r="G971" s="124" t="n"/>
      <c r="H971" s="148" t="n"/>
      <c r="I971" s="148" t="n"/>
      <c r="J971" s="148" t="n"/>
      <c r="K971" s="148" t="n"/>
      <c r="L971" s="148" t="n"/>
      <c r="M971" s="148" t="n"/>
      <c r="N971" s="148" t="n"/>
      <c r="O971" s="148" t="n"/>
      <c r="P971" s="148" t="n"/>
      <c r="Q971" s="148" t="n"/>
      <c r="R971" s="148" t="n"/>
      <c r="S971" s="148" t="n"/>
      <c r="T971" s="148" t="n"/>
      <c r="U971" s="149">
        <f>IF(AND('Master Stock'!D971&lt;&gt;"",'Master Stock'!H971="OCCUPIED",ISNUMBER('Master Stock'!J971),'Master Stock'!K971=""),SUMPRODUCT(--('Master Stock'!$D$2:$D$1000&lt;&gt;""),--('Master Stock'!$H$2:$H$1000="OCCUPIED"),--ISNUMBER('Master Stock'!$J$2:$J$1000),--('Master Stock'!$K$2:$K$1000=""),--('Master Stock'!$J$2:$J$1000&lt;'Master Stock'!J971))+COUNTIFS('Master Stock'!$J$2:J971,'Master Stock'!J971,'Master Stock'!$D$2:D971,"&lt;&gt;",'Master Stock'!$H$2:H971,"OCCUPIED",'Master Stock'!$K$2:K971,""),"")</f>
        <v/>
      </c>
      <c r="V971" s="149">
        <f>IF(AND('Master Stock'!D971&lt;&gt;"",'Master Stock'!H971="OCCUPIED",ISNUMBER('Master Stock'!L971),'Master Stock'!L971&lt;TODAY()-30),SUMPRODUCT(--('Master Stock'!$D$2:$D$1000&lt;&gt;""),--('Master Stock'!$H$2:$H$1000="OCCUPIED"),--ISNUMBER('Master Stock'!$L$2:$L$1000),--('Master Stock'!$L$2:$L$1000&lt;TODAY()-30),--('Master Stock'!$L$2:$L$1000&lt;'Master Stock'!L971))+COUNTIFS('Master Stock'!$L$2:L971,'Master Stock'!L971,'Master Stock'!$D$2:D971,"&lt;&gt;",'Master Stock'!$H$2:H971,"OCCUPIED"),"")</f>
        <v/>
      </c>
      <c r="W971" s="149" t="n"/>
      <c r="X971" s="149" t="n"/>
      <c r="Y971" s="149" t="n"/>
      <c r="Z971" s="149" t="n"/>
    </row>
    <row r="972" ht="15.75" customHeight="1" s="236">
      <c r="A972" s="148" t="n"/>
      <c r="B972" s="148" t="n"/>
      <c r="C972" s="124" t="n"/>
      <c r="D972" s="148" t="n"/>
      <c r="E972" s="148" t="n"/>
      <c r="F972" s="148" t="n"/>
      <c r="G972" s="124" t="n"/>
      <c r="H972" s="148" t="n"/>
      <c r="I972" s="148" t="n"/>
      <c r="J972" s="148" t="n"/>
      <c r="K972" s="148" t="n"/>
      <c r="L972" s="148" t="n"/>
      <c r="M972" s="148" t="n"/>
      <c r="N972" s="148" t="n"/>
      <c r="O972" s="148" t="n"/>
      <c r="P972" s="148" t="n"/>
      <c r="Q972" s="148" t="n"/>
      <c r="R972" s="148" t="n"/>
      <c r="S972" s="148" t="n"/>
      <c r="T972" s="148" t="n"/>
      <c r="U972" s="149">
        <f>IF(AND('Master Stock'!D972&lt;&gt;"",'Master Stock'!H972="OCCUPIED",ISNUMBER('Master Stock'!J972),'Master Stock'!K972=""),SUMPRODUCT(--('Master Stock'!$D$2:$D$1000&lt;&gt;""),--('Master Stock'!$H$2:$H$1000="OCCUPIED"),--ISNUMBER('Master Stock'!$J$2:$J$1000),--('Master Stock'!$K$2:$K$1000=""),--('Master Stock'!$J$2:$J$1000&lt;'Master Stock'!J972))+COUNTIFS('Master Stock'!$J$2:J972,'Master Stock'!J972,'Master Stock'!$D$2:D972,"&lt;&gt;",'Master Stock'!$H$2:H972,"OCCUPIED",'Master Stock'!$K$2:K972,""),"")</f>
        <v/>
      </c>
      <c r="V972" s="149">
        <f>IF(AND('Master Stock'!D972&lt;&gt;"",'Master Stock'!H972="OCCUPIED",ISNUMBER('Master Stock'!L972),'Master Stock'!L972&lt;TODAY()-30),SUMPRODUCT(--('Master Stock'!$D$2:$D$1000&lt;&gt;""),--('Master Stock'!$H$2:$H$1000="OCCUPIED"),--ISNUMBER('Master Stock'!$L$2:$L$1000),--('Master Stock'!$L$2:$L$1000&lt;TODAY()-30),--('Master Stock'!$L$2:$L$1000&lt;'Master Stock'!L972))+COUNTIFS('Master Stock'!$L$2:L972,'Master Stock'!L972,'Master Stock'!$D$2:D972,"&lt;&gt;",'Master Stock'!$H$2:H972,"OCCUPIED"),"")</f>
        <v/>
      </c>
      <c r="W972" s="149" t="n"/>
      <c r="X972" s="149" t="n"/>
      <c r="Y972" s="149" t="n"/>
      <c r="Z972" s="149" t="n"/>
    </row>
    <row r="973" ht="15.75" customHeight="1" s="236">
      <c r="A973" s="148" t="n"/>
      <c r="B973" s="148" t="n"/>
      <c r="C973" s="124" t="n"/>
      <c r="D973" s="148" t="n"/>
      <c r="E973" s="148" t="n"/>
      <c r="F973" s="148" t="n"/>
      <c r="G973" s="124" t="n"/>
      <c r="H973" s="148" t="n"/>
      <c r="I973" s="148" t="n"/>
      <c r="J973" s="148" t="n"/>
      <c r="K973" s="148" t="n"/>
      <c r="L973" s="148" t="n"/>
      <c r="M973" s="148" t="n"/>
      <c r="N973" s="148" t="n"/>
      <c r="O973" s="148" t="n"/>
      <c r="P973" s="148" t="n"/>
      <c r="Q973" s="148" t="n"/>
      <c r="R973" s="148" t="n"/>
      <c r="S973" s="148" t="n"/>
      <c r="T973" s="148" t="n"/>
      <c r="U973" s="149">
        <f>IF(AND('Master Stock'!D973&lt;&gt;"",'Master Stock'!H973="OCCUPIED",ISNUMBER('Master Stock'!J973),'Master Stock'!K973=""),SUMPRODUCT(--('Master Stock'!$D$2:$D$1000&lt;&gt;""),--('Master Stock'!$H$2:$H$1000="OCCUPIED"),--ISNUMBER('Master Stock'!$J$2:$J$1000),--('Master Stock'!$K$2:$K$1000=""),--('Master Stock'!$J$2:$J$1000&lt;'Master Stock'!J973))+COUNTIFS('Master Stock'!$J$2:J973,'Master Stock'!J973,'Master Stock'!$D$2:D973,"&lt;&gt;",'Master Stock'!$H$2:H973,"OCCUPIED",'Master Stock'!$K$2:K973,""),"")</f>
        <v/>
      </c>
      <c r="V973" s="149">
        <f>IF(AND('Master Stock'!D973&lt;&gt;"",'Master Stock'!H973="OCCUPIED",ISNUMBER('Master Stock'!L973),'Master Stock'!L973&lt;TODAY()-30),SUMPRODUCT(--('Master Stock'!$D$2:$D$1000&lt;&gt;""),--('Master Stock'!$H$2:$H$1000="OCCUPIED"),--ISNUMBER('Master Stock'!$L$2:$L$1000),--('Master Stock'!$L$2:$L$1000&lt;TODAY()-30),--('Master Stock'!$L$2:$L$1000&lt;'Master Stock'!L973))+COUNTIFS('Master Stock'!$L$2:L973,'Master Stock'!L973,'Master Stock'!$D$2:D973,"&lt;&gt;",'Master Stock'!$H$2:H973,"OCCUPIED"),"")</f>
        <v/>
      </c>
      <c r="W973" s="149" t="n"/>
      <c r="X973" s="149" t="n"/>
      <c r="Y973" s="149" t="n"/>
      <c r="Z973" s="149" t="n"/>
    </row>
    <row r="974" ht="15.75" customHeight="1" s="236">
      <c r="A974" s="148" t="n"/>
      <c r="B974" s="148" t="n"/>
      <c r="C974" s="124" t="n"/>
      <c r="D974" s="148" t="n"/>
      <c r="E974" s="148" t="n"/>
      <c r="F974" s="148" t="n"/>
      <c r="G974" s="124" t="n"/>
      <c r="H974" s="148" t="n"/>
      <c r="I974" s="148" t="n"/>
      <c r="J974" s="148" t="n"/>
      <c r="K974" s="148" t="n"/>
      <c r="L974" s="148" t="n"/>
      <c r="M974" s="148" t="n"/>
      <c r="N974" s="148" t="n"/>
      <c r="O974" s="148" t="n"/>
      <c r="P974" s="148" t="n"/>
      <c r="Q974" s="148" t="n"/>
      <c r="R974" s="148" t="n"/>
      <c r="S974" s="148" t="n"/>
      <c r="T974" s="148" t="n"/>
      <c r="U974" s="149">
        <f>IF(AND('Master Stock'!D974&lt;&gt;"",'Master Stock'!H974="OCCUPIED",ISNUMBER('Master Stock'!J974),'Master Stock'!K974=""),SUMPRODUCT(--('Master Stock'!$D$2:$D$1000&lt;&gt;""),--('Master Stock'!$H$2:$H$1000="OCCUPIED"),--ISNUMBER('Master Stock'!$J$2:$J$1000),--('Master Stock'!$K$2:$K$1000=""),--('Master Stock'!$J$2:$J$1000&lt;'Master Stock'!J974))+COUNTIFS('Master Stock'!$J$2:J974,'Master Stock'!J974,'Master Stock'!$D$2:D974,"&lt;&gt;",'Master Stock'!$H$2:H974,"OCCUPIED",'Master Stock'!$K$2:K974,""),"")</f>
        <v/>
      </c>
      <c r="V974" s="149">
        <f>IF(AND('Master Stock'!D974&lt;&gt;"",'Master Stock'!H974="OCCUPIED",ISNUMBER('Master Stock'!L974),'Master Stock'!L974&lt;TODAY()-30),SUMPRODUCT(--('Master Stock'!$D$2:$D$1000&lt;&gt;""),--('Master Stock'!$H$2:$H$1000="OCCUPIED"),--ISNUMBER('Master Stock'!$L$2:$L$1000),--('Master Stock'!$L$2:$L$1000&lt;TODAY()-30),--('Master Stock'!$L$2:$L$1000&lt;'Master Stock'!L974))+COUNTIFS('Master Stock'!$L$2:L974,'Master Stock'!L974,'Master Stock'!$D$2:D974,"&lt;&gt;",'Master Stock'!$H$2:H974,"OCCUPIED"),"")</f>
        <v/>
      </c>
      <c r="W974" s="149" t="n"/>
      <c r="X974" s="149" t="n"/>
      <c r="Y974" s="149" t="n"/>
      <c r="Z974" s="149" t="n"/>
    </row>
    <row r="975" ht="15.75" customHeight="1" s="236">
      <c r="A975" s="148" t="n"/>
      <c r="B975" s="148" t="n"/>
      <c r="C975" s="124" t="n"/>
      <c r="D975" s="148" t="n"/>
      <c r="E975" s="148" t="n"/>
      <c r="F975" s="148" t="n"/>
      <c r="G975" s="124" t="n"/>
      <c r="H975" s="148" t="n"/>
      <c r="I975" s="148" t="n"/>
      <c r="J975" s="148" t="n"/>
      <c r="K975" s="148" t="n"/>
      <c r="L975" s="148" t="n"/>
      <c r="M975" s="148" t="n"/>
      <c r="N975" s="148" t="n"/>
      <c r="O975" s="148" t="n"/>
      <c r="P975" s="148" t="n"/>
      <c r="Q975" s="148" t="n"/>
      <c r="R975" s="148" t="n"/>
      <c r="S975" s="148" t="n"/>
      <c r="T975" s="148" t="n"/>
      <c r="U975" s="149">
        <f>IF(AND('Master Stock'!D975&lt;&gt;"",'Master Stock'!H975="OCCUPIED",ISNUMBER('Master Stock'!J975),'Master Stock'!K975=""),SUMPRODUCT(--('Master Stock'!$D$2:$D$1000&lt;&gt;""),--('Master Stock'!$H$2:$H$1000="OCCUPIED"),--ISNUMBER('Master Stock'!$J$2:$J$1000),--('Master Stock'!$K$2:$K$1000=""),--('Master Stock'!$J$2:$J$1000&lt;'Master Stock'!J975))+COUNTIFS('Master Stock'!$J$2:J975,'Master Stock'!J975,'Master Stock'!$D$2:D975,"&lt;&gt;",'Master Stock'!$H$2:H975,"OCCUPIED",'Master Stock'!$K$2:K975,""),"")</f>
        <v/>
      </c>
      <c r="V975" s="149">
        <f>IF(AND('Master Stock'!D975&lt;&gt;"",'Master Stock'!H975="OCCUPIED",ISNUMBER('Master Stock'!L975),'Master Stock'!L975&lt;TODAY()-30),SUMPRODUCT(--('Master Stock'!$D$2:$D$1000&lt;&gt;""),--('Master Stock'!$H$2:$H$1000="OCCUPIED"),--ISNUMBER('Master Stock'!$L$2:$L$1000),--('Master Stock'!$L$2:$L$1000&lt;TODAY()-30),--('Master Stock'!$L$2:$L$1000&lt;'Master Stock'!L975))+COUNTIFS('Master Stock'!$L$2:L975,'Master Stock'!L975,'Master Stock'!$D$2:D975,"&lt;&gt;",'Master Stock'!$H$2:H975,"OCCUPIED"),"")</f>
        <v/>
      </c>
      <c r="W975" s="149" t="n"/>
      <c r="X975" s="149" t="n"/>
      <c r="Y975" s="149" t="n"/>
      <c r="Z975" s="149" t="n"/>
    </row>
    <row r="976" ht="15.75" customHeight="1" s="236">
      <c r="A976" s="148" t="n"/>
      <c r="B976" s="148" t="n"/>
      <c r="C976" s="124" t="n"/>
      <c r="D976" s="148" t="n"/>
      <c r="E976" s="148" t="n"/>
      <c r="F976" s="148" t="n"/>
      <c r="G976" s="124" t="n"/>
      <c r="H976" s="148" t="n"/>
      <c r="I976" s="148" t="n"/>
      <c r="J976" s="148" t="n"/>
      <c r="K976" s="148" t="n"/>
      <c r="L976" s="148" t="n"/>
      <c r="M976" s="148" t="n"/>
      <c r="N976" s="148" t="n"/>
      <c r="O976" s="148" t="n"/>
      <c r="P976" s="148" t="n"/>
      <c r="Q976" s="148" t="n"/>
      <c r="R976" s="148" t="n"/>
      <c r="S976" s="148" t="n"/>
      <c r="T976" s="148" t="n"/>
      <c r="U976" s="149">
        <f>IF(AND('Master Stock'!D976&lt;&gt;"",'Master Stock'!H976="OCCUPIED",ISNUMBER('Master Stock'!J976),'Master Stock'!K976=""),SUMPRODUCT(--('Master Stock'!$D$2:$D$1000&lt;&gt;""),--('Master Stock'!$H$2:$H$1000="OCCUPIED"),--ISNUMBER('Master Stock'!$J$2:$J$1000),--('Master Stock'!$K$2:$K$1000=""),--('Master Stock'!$J$2:$J$1000&lt;'Master Stock'!J976))+COUNTIFS('Master Stock'!$J$2:J976,'Master Stock'!J976,'Master Stock'!$D$2:D976,"&lt;&gt;",'Master Stock'!$H$2:H976,"OCCUPIED",'Master Stock'!$K$2:K976,""),"")</f>
        <v/>
      </c>
      <c r="V976" s="149">
        <f>IF(AND('Master Stock'!D976&lt;&gt;"",'Master Stock'!H976="OCCUPIED",ISNUMBER('Master Stock'!L976),'Master Stock'!L976&lt;TODAY()-30),SUMPRODUCT(--('Master Stock'!$D$2:$D$1000&lt;&gt;""),--('Master Stock'!$H$2:$H$1000="OCCUPIED"),--ISNUMBER('Master Stock'!$L$2:$L$1000),--('Master Stock'!$L$2:$L$1000&lt;TODAY()-30),--('Master Stock'!$L$2:$L$1000&lt;'Master Stock'!L976))+COUNTIFS('Master Stock'!$L$2:L976,'Master Stock'!L976,'Master Stock'!$D$2:D976,"&lt;&gt;",'Master Stock'!$H$2:H976,"OCCUPIED"),"")</f>
        <v/>
      </c>
      <c r="W976" s="149" t="n"/>
      <c r="X976" s="149" t="n"/>
      <c r="Y976" s="149" t="n"/>
      <c r="Z976" s="149" t="n"/>
    </row>
    <row r="977" ht="15.75" customHeight="1" s="236">
      <c r="A977" s="148" t="n"/>
      <c r="B977" s="148" t="n"/>
      <c r="C977" s="124" t="n"/>
      <c r="D977" s="148" t="n"/>
      <c r="E977" s="148" t="n"/>
      <c r="F977" s="148" t="n"/>
      <c r="G977" s="124" t="n"/>
      <c r="H977" s="148" t="n"/>
      <c r="I977" s="148" t="n"/>
      <c r="J977" s="148" t="n"/>
      <c r="K977" s="148" t="n"/>
      <c r="L977" s="148" t="n"/>
      <c r="M977" s="148" t="n"/>
      <c r="N977" s="148" t="n"/>
      <c r="O977" s="148" t="n"/>
      <c r="P977" s="148" t="n"/>
      <c r="Q977" s="148" t="n"/>
      <c r="R977" s="148" t="n"/>
      <c r="S977" s="148" t="n"/>
      <c r="T977" s="148" t="n"/>
      <c r="U977" s="149">
        <f>IF(AND('Master Stock'!D977&lt;&gt;"",'Master Stock'!H977="OCCUPIED",ISNUMBER('Master Stock'!J977),'Master Stock'!K977=""),SUMPRODUCT(--('Master Stock'!$D$2:$D$1000&lt;&gt;""),--('Master Stock'!$H$2:$H$1000="OCCUPIED"),--ISNUMBER('Master Stock'!$J$2:$J$1000),--('Master Stock'!$K$2:$K$1000=""),--('Master Stock'!$J$2:$J$1000&lt;'Master Stock'!J977))+COUNTIFS('Master Stock'!$J$2:J977,'Master Stock'!J977,'Master Stock'!$D$2:D977,"&lt;&gt;",'Master Stock'!$H$2:H977,"OCCUPIED",'Master Stock'!$K$2:K977,""),"")</f>
        <v/>
      </c>
      <c r="V977" s="149">
        <f>IF(AND('Master Stock'!D977&lt;&gt;"",'Master Stock'!H977="OCCUPIED",ISNUMBER('Master Stock'!L977),'Master Stock'!L977&lt;TODAY()-30),SUMPRODUCT(--('Master Stock'!$D$2:$D$1000&lt;&gt;""),--('Master Stock'!$H$2:$H$1000="OCCUPIED"),--ISNUMBER('Master Stock'!$L$2:$L$1000),--('Master Stock'!$L$2:$L$1000&lt;TODAY()-30),--('Master Stock'!$L$2:$L$1000&lt;'Master Stock'!L977))+COUNTIFS('Master Stock'!$L$2:L977,'Master Stock'!L977,'Master Stock'!$D$2:D977,"&lt;&gt;",'Master Stock'!$H$2:H977,"OCCUPIED"),"")</f>
        <v/>
      </c>
      <c r="W977" s="149" t="n"/>
      <c r="X977" s="149" t="n"/>
      <c r="Y977" s="149" t="n"/>
      <c r="Z977" s="149" t="n"/>
    </row>
    <row r="978" ht="15.75" customHeight="1" s="236">
      <c r="A978" s="148" t="n"/>
      <c r="B978" s="148" t="n"/>
      <c r="C978" s="124" t="n"/>
      <c r="D978" s="148" t="n"/>
      <c r="E978" s="148" t="n"/>
      <c r="F978" s="148" t="n"/>
      <c r="G978" s="124" t="n"/>
      <c r="H978" s="148" t="n"/>
      <c r="I978" s="148" t="n"/>
      <c r="J978" s="148" t="n"/>
      <c r="K978" s="148" t="n"/>
      <c r="L978" s="148" t="n"/>
      <c r="M978" s="148" t="n"/>
      <c r="N978" s="148" t="n"/>
      <c r="O978" s="148" t="n"/>
      <c r="P978" s="148" t="n"/>
      <c r="Q978" s="148" t="n"/>
      <c r="R978" s="148" t="n"/>
      <c r="S978" s="148" t="n"/>
      <c r="T978" s="148" t="n"/>
      <c r="U978" s="149">
        <f>IF(AND('Master Stock'!D978&lt;&gt;"",'Master Stock'!H978="OCCUPIED",ISNUMBER('Master Stock'!J978),'Master Stock'!K978=""),SUMPRODUCT(--('Master Stock'!$D$2:$D$1000&lt;&gt;""),--('Master Stock'!$H$2:$H$1000="OCCUPIED"),--ISNUMBER('Master Stock'!$J$2:$J$1000),--('Master Stock'!$K$2:$K$1000=""),--('Master Stock'!$J$2:$J$1000&lt;'Master Stock'!J978))+COUNTIFS('Master Stock'!$J$2:J978,'Master Stock'!J978,'Master Stock'!$D$2:D978,"&lt;&gt;",'Master Stock'!$H$2:H978,"OCCUPIED",'Master Stock'!$K$2:K978,""),"")</f>
        <v/>
      </c>
      <c r="V978" s="149">
        <f>IF(AND('Master Stock'!D978&lt;&gt;"",'Master Stock'!H978="OCCUPIED",ISNUMBER('Master Stock'!L978),'Master Stock'!L978&lt;TODAY()-30),SUMPRODUCT(--('Master Stock'!$D$2:$D$1000&lt;&gt;""),--('Master Stock'!$H$2:$H$1000="OCCUPIED"),--ISNUMBER('Master Stock'!$L$2:$L$1000),--('Master Stock'!$L$2:$L$1000&lt;TODAY()-30),--('Master Stock'!$L$2:$L$1000&lt;'Master Stock'!L978))+COUNTIFS('Master Stock'!$L$2:L978,'Master Stock'!L978,'Master Stock'!$D$2:D978,"&lt;&gt;",'Master Stock'!$H$2:H978,"OCCUPIED"),"")</f>
        <v/>
      </c>
      <c r="W978" s="149" t="n"/>
      <c r="X978" s="149" t="n"/>
      <c r="Y978" s="149" t="n"/>
      <c r="Z978" s="149" t="n"/>
    </row>
    <row r="979" ht="15.75" customHeight="1" s="236">
      <c r="A979" s="148" t="n"/>
      <c r="B979" s="148" t="n"/>
      <c r="C979" s="124" t="n"/>
      <c r="D979" s="148" t="n"/>
      <c r="E979" s="148" t="n"/>
      <c r="F979" s="148" t="n"/>
      <c r="G979" s="124" t="n"/>
      <c r="H979" s="148" t="n"/>
      <c r="I979" s="148" t="n"/>
      <c r="J979" s="148" t="n"/>
      <c r="K979" s="148" t="n"/>
      <c r="L979" s="148" t="n"/>
      <c r="M979" s="148" t="n"/>
      <c r="N979" s="148" t="n"/>
      <c r="O979" s="148" t="n"/>
      <c r="P979" s="148" t="n"/>
      <c r="Q979" s="148" t="n"/>
      <c r="R979" s="148" t="n"/>
      <c r="S979" s="148" t="n"/>
      <c r="T979" s="148" t="n"/>
      <c r="U979" s="149">
        <f>IF(AND('Master Stock'!D979&lt;&gt;"",'Master Stock'!H979="OCCUPIED",ISNUMBER('Master Stock'!J979),'Master Stock'!K979=""),SUMPRODUCT(--('Master Stock'!$D$2:$D$1000&lt;&gt;""),--('Master Stock'!$H$2:$H$1000="OCCUPIED"),--ISNUMBER('Master Stock'!$J$2:$J$1000),--('Master Stock'!$K$2:$K$1000=""),--('Master Stock'!$J$2:$J$1000&lt;'Master Stock'!J979))+COUNTIFS('Master Stock'!$J$2:J979,'Master Stock'!J979,'Master Stock'!$D$2:D979,"&lt;&gt;",'Master Stock'!$H$2:H979,"OCCUPIED",'Master Stock'!$K$2:K979,""),"")</f>
        <v/>
      </c>
      <c r="V979" s="149">
        <f>IF(AND('Master Stock'!D979&lt;&gt;"",'Master Stock'!H979="OCCUPIED",ISNUMBER('Master Stock'!L979),'Master Stock'!L979&lt;TODAY()-30),SUMPRODUCT(--('Master Stock'!$D$2:$D$1000&lt;&gt;""),--('Master Stock'!$H$2:$H$1000="OCCUPIED"),--ISNUMBER('Master Stock'!$L$2:$L$1000),--('Master Stock'!$L$2:$L$1000&lt;TODAY()-30),--('Master Stock'!$L$2:$L$1000&lt;'Master Stock'!L979))+COUNTIFS('Master Stock'!$L$2:L979,'Master Stock'!L979,'Master Stock'!$D$2:D979,"&lt;&gt;",'Master Stock'!$H$2:H979,"OCCUPIED"),"")</f>
        <v/>
      </c>
      <c r="W979" s="149" t="n"/>
      <c r="X979" s="149" t="n"/>
      <c r="Y979" s="149" t="n"/>
      <c r="Z979" s="149" t="n"/>
    </row>
    <row r="980" ht="15.75" customHeight="1" s="236">
      <c r="A980" s="148" t="n"/>
      <c r="B980" s="148" t="n"/>
      <c r="C980" s="124" t="n"/>
      <c r="D980" s="148" t="n"/>
      <c r="E980" s="148" t="n"/>
      <c r="F980" s="148" t="n"/>
      <c r="G980" s="124" t="n"/>
      <c r="H980" s="148" t="n"/>
      <c r="I980" s="148" t="n"/>
      <c r="J980" s="148" t="n"/>
      <c r="K980" s="148" t="n"/>
      <c r="L980" s="148" t="n"/>
      <c r="M980" s="148" t="n"/>
      <c r="N980" s="148" t="n"/>
      <c r="O980" s="148" t="n"/>
      <c r="P980" s="148" t="n"/>
      <c r="Q980" s="148" t="n"/>
      <c r="R980" s="148" t="n"/>
      <c r="S980" s="148" t="n"/>
      <c r="T980" s="148" t="n"/>
      <c r="U980" s="149">
        <f>IF(AND('Master Stock'!D980&lt;&gt;"",'Master Stock'!H980="OCCUPIED",ISNUMBER('Master Stock'!J980),'Master Stock'!K980=""),SUMPRODUCT(--('Master Stock'!$D$2:$D$1000&lt;&gt;""),--('Master Stock'!$H$2:$H$1000="OCCUPIED"),--ISNUMBER('Master Stock'!$J$2:$J$1000),--('Master Stock'!$K$2:$K$1000=""),--('Master Stock'!$J$2:$J$1000&lt;'Master Stock'!J980))+COUNTIFS('Master Stock'!$J$2:J980,'Master Stock'!J980,'Master Stock'!$D$2:D980,"&lt;&gt;",'Master Stock'!$H$2:H980,"OCCUPIED",'Master Stock'!$K$2:K980,""),"")</f>
        <v/>
      </c>
      <c r="V980" s="149">
        <f>IF(AND('Master Stock'!D980&lt;&gt;"",'Master Stock'!H980="OCCUPIED",ISNUMBER('Master Stock'!L980),'Master Stock'!L980&lt;TODAY()-30),SUMPRODUCT(--('Master Stock'!$D$2:$D$1000&lt;&gt;""),--('Master Stock'!$H$2:$H$1000="OCCUPIED"),--ISNUMBER('Master Stock'!$L$2:$L$1000),--('Master Stock'!$L$2:$L$1000&lt;TODAY()-30),--('Master Stock'!$L$2:$L$1000&lt;'Master Stock'!L980))+COUNTIFS('Master Stock'!$L$2:L980,'Master Stock'!L980,'Master Stock'!$D$2:D980,"&lt;&gt;",'Master Stock'!$H$2:H980,"OCCUPIED"),"")</f>
        <v/>
      </c>
      <c r="W980" s="149" t="n"/>
      <c r="X980" s="149" t="n"/>
      <c r="Y980" s="149" t="n"/>
      <c r="Z980" s="149" t="n"/>
    </row>
    <row r="981" ht="15.75" customHeight="1" s="236">
      <c r="A981" s="148" t="n"/>
      <c r="B981" s="148" t="n"/>
      <c r="C981" s="124" t="n"/>
      <c r="D981" s="148" t="n"/>
      <c r="E981" s="148" t="n"/>
      <c r="F981" s="148" t="n"/>
      <c r="G981" s="124" t="n"/>
      <c r="H981" s="148" t="n"/>
      <c r="I981" s="148" t="n"/>
      <c r="J981" s="148" t="n"/>
      <c r="K981" s="148" t="n"/>
      <c r="L981" s="148" t="n"/>
      <c r="M981" s="148" t="n"/>
      <c r="N981" s="148" t="n"/>
      <c r="O981" s="148" t="n"/>
      <c r="P981" s="148" t="n"/>
      <c r="Q981" s="148" t="n"/>
      <c r="R981" s="148" t="n"/>
      <c r="S981" s="148" t="n"/>
      <c r="T981" s="148" t="n"/>
      <c r="U981" s="149">
        <f>IF(AND('Master Stock'!D981&lt;&gt;"",'Master Stock'!H981="OCCUPIED",ISNUMBER('Master Stock'!J981),'Master Stock'!K981=""),SUMPRODUCT(--('Master Stock'!$D$2:$D$1000&lt;&gt;""),--('Master Stock'!$H$2:$H$1000="OCCUPIED"),--ISNUMBER('Master Stock'!$J$2:$J$1000),--('Master Stock'!$K$2:$K$1000=""),--('Master Stock'!$J$2:$J$1000&lt;'Master Stock'!J981))+COUNTIFS('Master Stock'!$J$2:J981,'Master Stock'!J981,'Master Stock'!$D$2:D981,"&lt;&gt;",'Master Stock'!$H$2:H981,"OCCUPIED",'Master Stock'!$K$2:K981,""),"")</f>
        <v/>
      </c>
      <c r="V981" s="149">
        <f>IF(AND('Master Stock'!D981&lt;&gt;"",'Master Stock'!H981="OCCUPIED",ISNUMBER('Master Stock'!L981),'Master Stock'!L981&lt;TODAY()-30),SUMPRODUCT(--('Master Stock'!$D$2:$D$1000&lt;&gt;""),--('Master Stock'!$H$2:$H$1000="OCCUPIED"),--ISNUMBER('Master Stock'!$L$2:$L$1000),--('Master Stock'!$L$2:$L$1000&lt;TODAY()-30),--('Master Stock'!$L$2:$L$1000&lt;'Master Stock'!L981))+COUNTIFS('Master Stock'!$L$2:L981,'Master Stock'!L981,'Master Stock'!$D$2:D981,"&lt;&gt;",'Master Stock'!$H$2:H981,"OCCUPIED"),"")</f>
        <v/>
      </c>
      <c r="W981" s="149" t="n"/>
      <c r="X981" s="149" t="n"/>
      <c r="Y981" s="149" t="n"/>
      <c r="Z981" s="149" t="n"/>
    </row>
    <row r="982" ht="15.75" customHeight="1" s="236">
      <c r="A982" s="148" t="n"/>
      <c r="B982" s="148" t="n"/>
      <c r="C982" s="124" t="n"/>
      <c r="D982" s="148" t="n"/>
      <c r="E982" s="148" t="n"/>
      <c r="F982" s="148" t="n"/>
      <c r="G982" s="124" t="n"/>
      <c r="H982" s="148" t="n"/>
      <c r="I982" s="148" t="n"/>
      <c r="J982" s="148" t="n"/>
      <c r="K982" s="148" t="n"/>
      <c r="L982" s="148" t="n"/>
      <c r="M982" s="148" t="n"/>
      <c r="N982" s="148" t="n"/>
      <c r="O982" s="148" t="n"/>
      <c r="P982" s="148" t="n"/>
      <c r="Q982" s="148" t="n"/>
      <c r="R982" s="148" t="n"/>
      <c r="S982" s="148" t="n"/>
      <c r="T982" s="148" t="n"/>
      <c r="U982" s="149">
        <f>IF(AND('Master Stock'!D982&lt;&gt;"",'Master Stock'!H982="OCCUPIED",ISNUMBER('Master Stock'!J982),'Master Stock'!K982=""),SUMPRODUCT(--('Master Stock'!$D$2:$D$1000&lt;&gt;""),--('Master Stock'!$H$2:$H$1000="OCCUPIED"),--ISNUMBER('Master Stock'!$J$2:$J$1000),--('Master Stock'!$K$2:$K$1000=""),--('Master Stock'!$J$2:$J$1000&lt;'Master Stock'!J982))+COUNTIFS('Master Stock'!$J$2:J982,'Master Stock'!J982,'Master Stock'!$D$2:D982,"&lt;&gt;",'Master Stock'!$H$2:H982,"OCCUPIED",'Master Stock'!$K$2:K982,""),"")</f>
        <v/>
      </c>
      <c r="V982" s="149">
        <f>IF(AND('Master Stock'!D982&lt;&gt;"",'Master Stock'!H982="OCCUPIED",ISNUMBER('Master Stock'!L982),'Master Stock'!L982&lt;TODAY()-30),SUMPRODUCT(--('Master Stock'!$D$2:$D$1000&lt;&gt;""),--('Master Stock'!$H$2:$H$1000="OCCUPIED"),--ISNUMBER('Master Stock'!$L$2:$L$1000),--('Master Stock'!$L$2:$L$1000&lt;TODAY()-30),--('Master Stock'!$L$2:$L$1000&lt;'Master Stock'!L982))+COUNTIFS('Master Stock'!$L$2:L982,'Master Stock'!L982,'Master Stock'!$D$2:D982,"&lt;&gt;",'Master Stock'!$H$2:H982,"OCCUPIED"),"")</f>
        <v/>
      </c>
      <c r="W982" s="149" t="n"/>
      <c r="X982" s="149" t="n"/>
      <c r="Y982" s="149" t="n"/>
      <c r="Z982" s="149" t="n"/>
    </row>
    <row r="983" ht="15.75" customHeight="1" s="236">
      <c r="A983" s="148" t="n"/>
      <c r="B983" s="148" t="n"/>
      <c r="C983" s="124" t="n"/>
      <c r="D983" s="148" t="n"/>
      <c r="E983" s="148" t="n"/>
      <c r="F983" s="148" t="n"/>
      <c r="G983" s="124" t="n"/>
      <c r="H983" s="148" t="n"/>
      <c r="I983" s="148" t="n"/>
      <c r="J983" s="148" t="n"/>
      <c r="K983" s="148" t="n"/>
      <c r="L983" s="148" t="n"/>
      <c r="M983" s="148" t="n"/>
      <c r="N983" s="148" t="n"/>
      <c r="O983" s="148" t="n"/>
      <c r="P983" s="148" t="n"/>
      <c r="Q983" s="148" t="n"/>
      <c r="R983" s="148" t="n"/>
      <c r="S983" s="148" t="n"/>
      <c r="T983" s="148" t="n"/>
      <c r="U983" s="149">
        <f>IF(AND('Master Stock'!D983&lt;&gt;"",'Master Stock'!H983="OCCUPIED",ISNUMBER('Master Stock'!J983),'Master Stock'!K983=""),SUMPRODUCT(--('Master Stock'!$D$2:$D$1000&lt;&gt;""),--('Master Stock'!$H$2:$H$1000="OCCUPIED"),--ISNUMBER('Master Stock'!$J$2:$J$1000),--('Master Stock'!$K$2:$K$1000=""),--('Master Stock'!$J$2:$J$1000&lt;'Master Stock'!J983))+COUNTIFS('Master Stock'!$J$2:J983,'Master Stock'!J983,'Master Stock'!$D$2:D983,"&lt;&gt;",'Master Stock'!$H$2:H983,"OCCUPIED",'Master Stock'!$K$2:K983,""),"")</f>
        <v/>
      </c>
      <c r="V983" s="149">
        <f>IF(AND('Master Stock'!D983&lt;&gt;"",'Master Stock'!H983="OCCUPIED",ISNUMBER('Master Stock'!L983),'Master Stock'!L983&lt;TODAY()-30),SUMPRODUCT(--('Master Stock'!$D$2:$D$1000&lt;&gt;""),--('Master Stock'!$H$2:$H$1000="OCCUPIED"),--ISNUMBER('Master Stock'!$L$2:$L$1000),--('Master Stock'!$L$2:$L$1000&lt;TODAY()-30),--('Master Stock'!$L$2:$L$1000&lt;'Master Stock'!L983))+COUNTIFS('Master Stock'!$L$2:L983,'Master Stock'!L983,'Master Stock'!$D$2:D983,"&lt;&gt;",'Master Stock'!$H$2:H983,"OCCUPIED"),"")</f>
        <v/>
      </c>
      <c r="W983" s="149" t="n"/>
      <c r="X983" s="149" t="n"/>
      <c r="Y983" s="149" t="n"/>
      <c r="Z983" s="149" t="n"/>
    </row>
    <row r="984" ht="15.75" customHeight="1" s="236">
      <c r="A984" s="148" t="n"/>
      <c r="B984" s="148" t="n"/>
      <c r="C984" s="124" t="n"/>
      <c r="D984" s="148" t="n"/>
      <c r="E984" s="148" t="n"/>
      <c r="F984" s="148" t="n"/>
      <c r="G984" s="124" t="n"/>
      <c r="H984" s="148" t="n"/>
      <c r="I984" s="148" t="n"/>
      <c r="J984" s="148" t="n"/>
      <c r="K984" s="148" t="n"/>
      <c r="L984" s="148" t="n"/>
      <c r="M984" s="148" t="n"/>
      <c r="N984" s="148" t="n"/>
      <c r="O984" s="148" t="n"/>
      <c r="P984" s="148" t="n"/>
      <c r="Q984" s="148" t="n"/>
      <c r="R984" s="148" t="n"/>
      <c r="S984" s="148" t="n"/>
      <c r="T984" s="148" t="n"/>
      <c r="U984" s="149">
        <f>IF(AND('Master Stock'!D984&lt;&gt;"",'Master Stock'!H984="OCCUPIED",ISNUMBER('Master Stock'!J984),'Master Stock'!K984=""),SUMPRODUCT(--('Master Stock'!$D$2:$D$1000&lt;&gt;""),--('Master Stock'!$H$2:$H$1000="OCCUPIED"),--ISNUMBER('Master Stock'!$J$2:$J$1000),--('Master Stock'!$K$2:$K$1000=""),--('Master Stock'!$J$2:$J$1000&lt;'Master Stock'!J984))+COUNTIFS('Master Stock'!$J$2:J984,'Master Stock'!J984,'Master Stock'!$D$2:D984,"&lt;&gt;",'Master Stock'!$H$2:H984,"OCCUPIED",'Master Stock'!$K$2:K984,""),"")</f>
        <v/>
      </c>
      <c r="V984" s="149">
        <f>IF(AND('Master Stock'!D984&lt;&gt;"",'Master Stock'!H984="OCCUPIED",ISNUMBER('Master Stock'!L984),'Master Stock'!L984&lt;TODAY()-30),SUMPRODUCT(--('Master Stock'!$D$2:$D$1000&lt;&gt;""),--('Master Stock'!$H$2:$H$1000="OCCUPIED"),--ISNUMBER('Master Stock'!$L$2:$L$1000),--('Master Stock'!$L$2:$L$1000&lt;TODAY()-30),--('Master Stock'!$L$2:$L$1000&lt;'Master Stock'!L984))+COUNTIFS('Master Stock'!$L$2:L984,'Master Stock'!L984,'Master Stock'!$D$2:D984,"&lt;&gt;",'Master Stock'!$H$2:H984,"OCCUPIED"),"")</f>
        <v/>
      </c>
      <c r="W984" s="149" t="n"/>
      <c r="X984" s="149" t="n"/>
      <c r="Y984" s="149" t="n"/>
      <c r="Z984" s="149" t="n"/>
    </row>
    <row r="985" ht="15.75" customHeight="1" s="236">
      <c r="A985" s="148" t="n"/>
      <c r="B985" s="148" t="n"/>
      <c r="C985" s="124" t="n"/>
      <c r="D985" s="148" t="n"/>
      <c r="E985" s="148" t="n"/>
      <c r="F985" s="148" t="n"/>
      <c r="G985" s="124" t="n"/>
      <c r="H985" s="148" t="n"/>
      <c r="I985" s="148" t="n"/>
      <c r="J985" s="148" t="n"/>
      <c r="K985" s="148" t="n"/>
      <c r="L985" s="148" t="n"/>
      <c r="M985" s="148" t="n"/>
      <c r="N985" s="148" t="n"/>
      <c r="O985" s="148" t="n"/>
      <c r="P985" s="148" t="n"/>
      <c r="Q985" s="148" t="n"/>
      <c r="R985" s="148" t="n"/>
      <c r="S985" s="148" t="n"/>
      <c r="T985" s="148" t="n"/>
      <c r="U985" s="149">
        <f>IF(AND('Master Stock'!D985&lt;&gt;"",'Master Stock'!H985="OCCUPIED",ISNUMBER('Master Stock'!J985),'Master Stock'!K985=""),SUMPRODUCT(--('Master Stock'!$D$2:$D$1000&lt;&gt;""),--('Master Stock'!$H$2:$H$1000="OCCUPIED"),--ISNUMBER('Master Stock'!$J$2:$J$1000),--('Master Stock'!$K$2:$K$1000=""),--('Master Stock'!$J$2:$J$1000&lt;'Master Stock'!J985))+COUNTIFS('Master Stock'!$J$2:J985,'Master Stock'!J985,'Master Stock'!$D$2:D985,"&lt;&gt;",'Master Stock'!$H$2:H985,"OCCUPIED",'Master Stock'!$K$2:K985,""),"")</f>
        <v/>
      </c>
      <c r="V985" s="149">
        <f>IF(AND('Master Stock'!D985&lt;&gt;"",'Master Stock'!H985="OCCUPIED",ISNUMBER('Master Stock'!L985),'Master Stock'!L985&lt;TODAY()-30),SUMPRODUCT(--('Master Stock'!$D$2:$D$1000&lt;&gt;""),--('Master Stock'!$H$2:$H$1000="OCCUPIED"),--ISNUMBER('Master Stock'!$L$2:$L$1000),--('Master Stock'!$L$2:$L$1000&lt;TODAY()-30),--('Master Stock'!$L$2:$L$1000&lt;'Master Stock'!L985))+COUNTIFS('Master Stock'!$L$2:L985,'Master Stock'!L985,'Master Stock'!$D$2:D985,"&lt;&gt;",'Master Stock'!$H$2:H985,"OCCUPIED"),"")</f>
        <v/>
      </c>
      <c r="W985" s="149" t="n"/>
      <c r="X985" s="149" t="n"/>
      <c r="Y985" s="149" t="n"/>
      <c r="Z985" s="149" t="n"/>
    </row>
    <row r="986" ht="15.75" customHeight="1" s="236">
      <c r="A986" s="148" t="n"/>
      <c r="B986" s="148" t="n"/>
      <c r="C986" s="124" t="n"/>
      <c r="D986" s="148" t="n"/>
      <c r="E986" s="148" t="n"/>
      <c r="F986" s="148" t="n"/>
      <c r="G986" s="124" t="n"/>
      <c r="H986" s="148" t="n"/>
      <c r="I986" s="148" t="n"/>
      <c r="J986" s="148" t="n"/>
      <c r="K986" s="148" t="n"/>
      <c r="L986" s="148" t="n"/>
      <c r="M986" s="148" t="n"/>
      <c r="N986" s="148" t="n"/>
      <c r="O986" s="148" t="n"/>
      <c r="P986" s="148" t="n"/>
      <c r="Q986" s="148" t="n"/>
      <c r="R986" s="148" t="n"/>
      <c r="S986" s="148" t="n"/>
      <c r="T986" s="148" t="n"/>
      <c r="U986" s="149">
        <f>IF(AND('Master Stock'!D986&lt;&gt;"",'Master Stock'!H986="OCCUPIED",ISNUMBER('Master Stock'!J986),'Master Stock'!K986=""),SUMPRODUCT(--('Master Stock'!$D$2:$D$1000&lt;&gt;""),--('Master Stock'!$H$2:$H$1000="OCCUPIED"),--ISNUMBER('Master Stock'!$J$2:$J$1000),--('Master Stock'!$K$2:$K$1000=""),--('Master Stock'!$J$2:$J$1000&lt;'Master Stock'!J986))+COUNTIFS('Master Stock'!$J$2:J986,'Master Stock'!J986,'Master Stock'!$D$2:D986,"&lt;&gt;",'Master Stock'!$H$2:H986,"OCCUPIED",'Master Stock'!$K$2:K986,""),"")</f>
        <v/>
      </c>
      <c r="V986" s="149">
        <f>IF(AND('Master Stock'!D986&lt;&gt;"",'Master Stock'!H986="OCCUPIED",ISNUMBER('Master Stock'!L986),'Master Stock'!L986&lt;TODAY()-30),SUMPRODUCT(--('Master Stock'!$D$2:$D$1000&lt;&gt;""),--('Master Stock'!$H$2:$H$1000="OCCUPIED"),--ISNUMBER('Master Stock'!$L$2:$L$1000),--('Master Stock'!$L$2:$L$1000&lt;TODAY()-30),--('Master Stock'!$L$2:$L$1000&lt;'Master Stock'!L986))+COUNTIFS('Master Stock'!$L$2:L986,'Master Stock'!L986,'Master Stock'!$D$2:D986,"&lt;&gt;",'Master Stock'!$H$2:H986,"OCCUPIED"),"")</f>
        <v/>
      </c>
      <c r="W986" s="149" t="n"/>
      <c r="X986" s="149" t="n"/>
      <c r="Y986" s="149" t="n"/>
      <c r="Z986" s="149" t="n"/>
    </row>
    <row r="987" ht="15.75" customHeight="1" s="236">
      <c r="A987" s="148" t="n"/>
      <c r="B987" s="148" t="n"/>
      <c r="C987" s="124" t="n"/>
      <c r="D987" s="148" t="n"/>
      <c r="E987" s="148" t="n"/>
      <c r="F987" s="148" t="n"/>
      <c r="G987" s="124" t="n"/>
      <c r="H987" s="148" t="n"/>
      <c r="I987" s="148" t="n"/>
      <c r="J987" s="148" t="n"/>
      <c r="K987" s="148" t="n"/>
      <c r="L987" s="148" t="n"/>
      <c r="M987" s="148" t="n"/>
      <c r="N987" s="148" t="n"/>
      <c r="O987" s="148" t="n"/>
      <c r="P987" s="148" t="n"/>
      <c r="Q987" s="148" t="n"/>
      <c r="R987" s="148" t="n"/>
      <c r="S987" s="148" t="n"/>
      <c r="T987" s="148" t="n"/>
      <c r="U987" s="149">
        <f>IF(AND('Master Stock'!D987&lt;&gt;"",'Master Stock'!H987="OCCUPIED",ISNUMBER('Master Stock'!J987),'Master Stock'!K987=""),SUMPRODUCT(--('Master Stock'!$D$2:$D$1000&lt;&gt;""),--('Master Stock'!$H$2:$H$1000="OCCUPIED"),--ISNUMBER('Master Stock'!$J$2:$J$1000),--('Master Stock'!$K$2:$K$1000=""),--('Master Stock'!$J$2:$J$1000&lt;'Master Stock'!J987))+COUNTIFS('Master Stock'!$J$2:J987,'Master Stock'!J987,'Master Stock'!$D$2:D987,"&lt;&gt;",'Master Stock'!$H$2:H987,"OCCUPIED",'Master Stock'!$K$2:K987,""),"")</f>
        <v/>
      </c>
      <c r="V987" s="149">
        <f>IF(AND('Master Stock'!D987&lt;&gt;"",'Master Stock'!H987="OCCUPIED",ISNUMBER('Master Stock'!L987),'Master Stock'!L987&lt;TODAY()-30),SUMPRODUCT(--('Master Stock'!$D$2:$D$1000&lt;&gt;""),--('Master Stock'!$H$2:$H$1000="OCCUPIED"),--ISNUMBER('Master Stock'!$L$2:$L$1000),--('Master Stock'!$L$2:$L$1000&lt;TODAY()-30),--('Master Stock'!$L$2:$L$1000&lt;'Master Stock'!L987))+COUNTIFS('Master Stock'!$L$2:L987,'Master Stock'!L987,'Master Stock'!$D$2:D987,"&lt;&gt;",'Master Stock'!$H$2:H987,"OCCUPIED"),"")</f>
        <v/>
      </c>
      <c r="W987" s="149" t="n"/>
      <c r="X987" s="149" t="n"/>
      <c r="Y987" s="149" t="n"/>
      <c r="Z987" s="149" t="n"/>
    </row>
    <row r="988" ht="15.75" customHeight="1" s="236">
      <c r="A988" s="148" t="n"/>
      <c r="B988" s="148" t="n"/>
      <c r="C988" s="124" t="n"/>
      <c r="D988" s="148" t="n"/>
      <c r="E988" s="148" t="n"/>
      <c r="F988" s="148" t="n"/>
      <c r="G988" s="124" t="n"/>
      <c r="H988" s="148" t="n"/>
      <c r="I988" s="148" t="n"/>
      <c r="J988" s="148" t="n"/>
      <c r="K988" s="148" t="n"/>
      <c r="L988" s="148" t="n"/>
      <c r="M988" s="148" t="n"/>
      <c r="N988" s="148" t="n"/>
      <c r="O988" s="148" t="n"/>
      <c r="P988" s="148" t="n"/>
      <c r="Q988" s="148" t="n"/>
      <c r="R988" s="148" t="n"/>
      <c r="S988" s="148" t="n"/>
      <c r="T988" s="148" t="n"/>
      <c r="U988" s="149">
        <f>IF(AND('Master Stock'!D988&lt;&gt;"",'Master Stock'!H988="OCCUPIED",ISNUMBER('Master Stock'!J988),'Master Stock'!K988=""),SUMPRODUCT(--('Master Stock'!$D$2:$D$1000&lt;&gt;""),--('Master Stock'!$H$2:$H$1000="OCCUPIED"),--ISNUMBER('Master Stock'!$J$2:$J$1000),--('Master Stock'!$K$2:$K$1000=""),--('Master Stock'!$J$2:$J$1000&lt;'Master Stock'!J988))+COUNTIFS('Master Stock'!$J$2:J988,'Master Stock'!J988,'Master Stock'!$D$2:D988,"&lt;&gt;",'Master Stock'!$H$2:H988,"OCCUPIED",'Master Stock'!$K$2:K988,""),"")</f>
        <v/>
      </c>
      <c r="V988" s="149">
        <f>IF(AND('Master Stock'!D988&lt;&gt;"",'Master Stock'!H988="OCCUPIED",ISNUMBER('Master Stock'!L988),'Master Stock'!L988&lt;TODAY()-30),SUMPRODUCT(--('Master Stock'!$D$2:$D$1000&lt;&gt;""),--('Master Stock'!$H$2:$H$1000="OCCUPIED"),--ISNUMBER('Master Stock'!$L$2:$L$1000),--('Master Stock'!$L$2:$L$1000&lt;TODAY()-30),--('Master Stock'!$L$2:$L$1000&lt;'Master Stock'!L988))+COUNTIFS('Master Stock'!$L$2:L988,'Master Stock'!L988,'Master Stock'!$D$2:D988,"&lt;&gt;",'Master Stock'!$H$2:H988,"OCCUPIED"),"")</f>
        <v/>
      </c>
      <c r="W988" s="149" t="n"/>
      <c r="X988" s="149" t="n"/>
      <c r="Y988" s="149" t="n"/>
      <c r="Z988" s="149" t="n"/>
    </row>
    <row r="989" ht="15.75" customHeight="1" s="236">
      <c r="A989" s="148" t="n"/>
      <c r="B989" s="148" t="n"/>
      <c r="C989" s="124" t="n"/>
      <c r="D989" s="148" t="n"/>
      <c r="E989" s="148" t="n"/>
      <c r="F989" s="148" t="n"/>
      <c r="G989" s="124" t="n"/>
      <c r="H989" s="148" t="n"/>
      <c r="I989" s="148" t="n"/>
      <c r="J989" s="148" t="n"/>
      <c r="K989" s="148" t="n"/>
      <c r="L989" s="148" t="n"/>
      <c r="M989" s="148" t="n"/>
      <c r="N989" s="148" t="n"/>
      <c r="O989" s="148" t="n"/>
      <c r="P989" s="148" t="n"/>
      <c r="Q989" s="148" t="n"/>
      <c r="R989" s="148" t="n"/>
      <c r="S989" s="148" t="n"/>
      <c r="T989" s="148" t="n"/>
      <c r="U989" s="149">
        <f>IF(AND('Master Stock'!D989&lt;&gt;"",'Master Stock'!H989="OCCUPIED",ISNUMBER('Master Stock'!J989),'Master Stock'!K989=""),SUMPRODUCT(--('Master Stock'!$D$2:$D$1000&lt;&gt;""),--('Master Stock'!$H$2:$H$1000="OCCUPIED"),--ISNUMBER('Master Stock'!$J$2:$J$1000),--('Master Stock'!$K$2:$K$1000=""),--('Master Stock'!$J$2:$J$1000&lt;'Master Stock'!J989))+COUNTIFS('Master Stock'!$J$2:J989,'Master Stock'!J989,'Master Stock'!$D$2:D989,"&lt;&gt;",'Master Stock'!$H$2:H989,"OCCUPIED",'Master Stock'!$K$2:K989,""),"")</f>
        <v/>
      </c>
      <c r="V989" s="149">
        <f>IF(AND('Master Stock'!D989&lt;&gt;"",'Master Stock'!H989="OCCUPIED",ISNUMBER('Master Stock'!L989),'Master Stock'!L989&lt;TODAY()-30),SUMPRODUCT(--('Master Stock'!$D$2:$D$1000&lt;&gt;""),--('Master Stock'!$H$2:$H$1000="OCCUPIED"),--ISNUMBER('Master Stock'!$L$2:$L$1000),--('Master Stock'!$L$2:$L$1000&lt;TODAY()-30),--('Master Stock'!$L$2:$L$1000&lt;'Master Stock'!L989))+COUNTIFS('Master Stock'!$L$2:L989,'Master Stock'!L989,'Master Stock'!$D$2:D989,"&lt;&gt;",'Master Stock'!$H$2:H989,"OCCUPIED"),"")</f>
        <v/>
      </c>
      <c r="W989" s="149" t="n"/>
      <c r="X989" s="149" t="n"/>
      <c r="Y989" s="149" t="n"/>
      <c r="Z989" s="149" t="n"/>
    </row>
    <row r="990" ht="15.75" customHeight="1" s="236">
      <c r="A990" s="148" t="n"/>
      <c r="B990" s="148" t="n"/>
      <c r="C990" s="124" t="n"/>
      <c r="D990" s="148" t="n"/>
      <c r="E990" s="148" t="n"/>
      <c r="F990" s="148" t="n"/>
      <c r="G990" s="124" t="n"/>
      <c r="H990" s="148" t="n"/>
      <c r="I990" s="148" t="n"/>
      <c r="J990" s="148" t="n"/>
      <c r="K990" s="148" t="n"/>
      <c r="L990" s="148" t="n"/>
      <c r="M990" s="148" t="n"/>
      <c r="N990" s="148" t="n"/>
      <c r="O990" s="148" t="n"/>
      <c r="P990" s="148" t="n"/>
      <c r="Q990" s="148" t="n"/>
      <c r="R990" s="148" t="n"/>
      <c r="S990" s="148" t="n"/>
      <c r="T990" s="148" t="n"/>
      <c r="U990" s="149">
        <f>IF(AND('Master Stock'!D990&lt;&gt;"",'Master Stock'!H990="OCCUPIED",ISNUMBER('Master Stock'!J990),'Master Stock'!K990=""),SUMPRODUCT(--('Master Stock'!$D$2:$D$1000&lt;&gt;""),--('Master Stock'!$H$2:$H$1000="OCCUPIED"),--ISNUMBER('Master Stock'!$J$2:$J$1000),--('Master Stock'!$K$2:$K$1000=""),--('Master Stock'!$J$2:$J$1000&lt;'Master Stock'!J990))+COUNTIFS('Master Stock'!$J$2:J990,'Master Stock'!J990,'Master Stock'!$D$2:D990,"&lt;&gt;",'Master Stock'!$H$2:H990,"OCCUPIED",'Master Stock'!$K$2:K990,""),"")</f>
        <v/>
      </c>
      <c r="V990" s="149">
        <f>IF(AND('Master Stock'!D990&lt;&gt;"",'Master Stock'!H990="OCCUPIED",ISNUMBER('Master Stock'!L990),'Master Stock'!L990&lt;TODAY()-30),SUMPRODUCT(--('Master Stock'!$D$2:$D$1000&lt;&gt;""),--('Master Stock'!$H$2:$H$1000="OCCUPIED"),--ISNUMBER('Master Stock'!$L$2:$L$1000),--('Master Stock'!$L$2:$L$1000&lt;TODAY()-30),--('Master Stock'!$L$2:$L$1000&lt;'Master Stock'!L990))+COUNTIFS('Master Stock'!$L$2:L990,'Master Stock'!L990,'Master Stock'!$D$2:D990,"&lt;&gt;",'Master Stock'!$H$2:H990,"OCCUPIED"),"")</f>
        <v/>
      </c>
      <c r="W990" s="149" t="n"/>
      <c r="X990" s="149" t="n"/>
      <c r="Y990" s="149" t="n"/>
      <c r="Z990" s="149" t="n"/>
    </row>
    <row r="991" ht="15.75" customHeight="1" s="236">
      <c r="A991" s="148" t="n"/>
      <c r="B991" s="148" t="n"/>
      <c r="C991" s="124" t="n"/>
      <c r="D991" s="148" t="n"/>
      <c r="E991" s="148" t="n"/>
      <c r="F991" s="148" t="n"/>
      <c r="G991" s="124" t="n"/>
      <c r="H991" s="148" t="n"/>
      <c r="I991" s="148" t="n"/>
      <c r="J991" s="148" t="n"/>
      <c r="K991" s="148" t="n"/>
      <c r="L991" s="148" t="n"/>
      <c r="M991" s="148" t="n"/>
      <c r="N991" s="148" t="n"/>
      <c r="O991" s="148" t="n"/>
      <c r="P991" s="148" t="n"/>
      <c r="Q991" s="148" t="n"/>
      <c r="R991" s="148" t="n"/>
      <c r="S991" s="148" t="n"/>
      <c r="T991" s="148" t="n"/>
      <c r="U991" s="149">
        <f>IF(AND('Master Stock'!D991&lt;&gt;"",'Master Stock'!H991="OCCUPIED",ISNUMBER('Master Stock'!J991),'Master Stock'!K991=""),SUMPRODUCT(--('Master Stock'!$D$2:$D$1000&lt;&gt;""),--('Master Stock'!$H$2:$H$1000="OCCUPIED"),--ISNUMBER('Master Stock'!$J$2:$J$1000),--('Master Stock'!$K$2:$K$1000=""),--('Master Stock'!$J$2:$J$1000&lt;'Master Stock'!J991))+COUNTIFS('Master Stock'!$J$2:J991,'Master Stock'!J991,'Master Stock'!$D$2:D991,"&lt;&gt;",'Master Stock'!$H$2:H991,"OCCUPIED",'Master Stock'!$K$2:K991,""),"")</f>
        <v/>
      </c>
      <c r="V991" s="149">
        <f>IF(AND('Master Stock'!D991&lt;&gt;"",'Master Stock'!H991="OCCUPIED",ISNUMBER('Master Stock'!L991),'Master Stock'!L991&lt;TODAY()-30),SUMPRODUCT(--('Master Stock'!$D$2:$D$1000&lt;&gt;""),--('Master Stock'!$H$2:$H$1000="OCCUPIED"),--ISNUMBER('Master Stock'!$L$2:$L$1000),--('Master Stock'!$L$2:$L$1000&lt;TODAY()-30),--('Master Stock'!$L$2:$L$1000&lt;'Master Stock'!L991))+COUNTIFS('Master Stock'!$L$2:L991,'Master Stock'!L991,'Master Stock'!$D$2:D991,"&lt;&gt;",'Master Stock'!$H$2:H991,"OCCUPIED"),"")</f>
        <v/>
      </c>
      <c r="W991" s="149" t="n"/>
      <c r="X991" s="149" t="n"/>
      <c r="Y991" s="149" t="n"/>
      <c r="Z991" s="149" t="n"/>
    </row>
    <row r="992" ht="15.75" customHeight="1" s="236">
      <c r="A992" s="148" t="n"/>
      <c r="B992" s="148" t="n"/>
      <c r="C992" s="124" t="n"/>
      <c r="D992" s="148" t="n"/>
      <c r="E992" s="148" t="n"/>
      <c r="F992" s="148" t="n"/>
      <c r="G992" s="124" t="n"/>
      <c r="H992" s="148" t="n"/>
      <c r="I992" s="148" t="n"/>
      <c r="J992" s="148" t="n"/>
      <c r="K992" s="148" t="n"/>
      <c r="L992" s="148" t="n"/>
      <c r="M992" s="148" t="n"/>
      <c r="N992" s="148" t="n"/>
      <c r="O992" s="148" t="n"/>
      <c r="P992" s="148" t="n"/>
      <c r="Q992" s="148" t="n"/>
      <c r="R992" s="148" t="n"/>
      <c r="S992" s="148" t="n"/>
      <c r="T992" s="148" t="n"/>
      <c r="U992" s="149">
        <f>IF(AND('Master Stock'!D992&lt;&gt;"",'Master Stock'!H992="OCCUPIED",ISNUMBER('Master Stock'!J992),'Master Stock'!K992=""),SUMPRODUCT(--('Master Stock'!$D$2:$D$1000&lt;&gt;""),--('Master Stock'!$H$2:$H$1000="OCCUPIED"),--ISNUMBER('Master Stock'!$J$2:$J$1000),--('Master Stock'!$K$2:$K$1000=""),--('Master Stock'!$J$2:$J$1000&lt;'Master Stock'!J992))+COUNTIFS('Master Stock'!$J$2:J992,'Master Stock'!J992,'Master Stock'!$D$2:D992,"&lt;&gt;",'Master Stock'!$H$2:H992,"OCCUPIED",'Master Stock'!$K$2:K992,""),"")</f>
        <v/>
      </c>
      <c r="V992" s="149">
        <f>IF(AND('Master Stock'!D992&lt;&gt;"",'Master Stock'!H992="OCCUPIED",ISNUMBER('Master Stock'!L992),'Master Stock'!L992&lt;TODAY()-30),SUMPRODUCT(--('Master Stock'!$D$2:$D$1000&lt;&gt;""),--('Master Stock'!$H$2:$H$1000="OCCUPIED"),--ISNUMBER('Master Stock'!$L$2:$L$1000),--('Master Stock'!$L$2:$L$1000&lt;TODAY()-30),--('Master Stock'!$L$2:$L$1000&lt;'Master Stock'!L992))+COUNTIFS('Master Stock'!$L$2:L992,'Master Stock'!L992,'Master Stock'!$D$2:D992,"&lt;&gt;",'Master Stock'!$H$2:H992,"OCCUPIED"),"")</f>
        <v/>
      </c>
      <c r="W992" s="149" t="n"/>
      <c r="X992" s="149" t="n"/>
      <c r="Y992" s="149" t="n"/>
      <c r="Z992" s="149" t="n"/>
    </row>
    <row r="993" ht="15.75" customHeight="1" s="236">
      <c r="A993" s="148" t="n"/>
      <c r="B993" s="148" t="n"/>
      <c r="C993" s="124" t="n"/>
      <c r="D993" s="148" t="n"/>
      <c r="E993" s="148" t="n"/>
      <c r="F993" s="148" t="n"/>
      <c r="G993" s="124" t="n"/>
      <c r="H993" s="148" t="n"/>
      <c r="I993" s="148" t="n"/>
      <c r="J993" s="148" t="n"/>
      <c r="K993" s="148" t="n"/>
      <c r="L993" s="148" t="n"/>
      <c r="M993" s="148" t="n"/>
      <c r="N993" s="148" t="n"/>
      <c r="O993" s="148" t="n"/>
      <c r="P993" s="148" t="n"/>
      <c r="Q993" s="148" t="n"/>
      <c r="R993" s="148" t="n"/>
      <c r="S993" s="148" t="n"/>
      <c r="T993" s="148" t="n"/>
      <c r="U993" s="149">
        <f>IF(AND('Master Stock'!D993&lt;&gt;"",'Master Stock'!H993="OCCUPIED",ISNUMBER('Master Stock'!J993),'Master Stock'!K993=""),SUMPRODUCT(--('Master Stock'!$D$2:$D$1000&lt;&gt;""),--('Master Stock'!$H$2:$H$1000="OCCUPIED"),--ISNUMBER('Master Stock'!$J$2:$J$1000),--('Master Stock'!$K$2:$K$1000=""),--('Master Stock'!$J$2:$J$1000&lt;'Master Stock'!J993))+COUNTIFS('Master Stock'!$J$2:J993,'Master Stock'!J993,'Master Stock'!$D$2:D993,"&lt;&gt;",'Master Stock'!$H$2:H993,"OCCUPIED",'Master Stock'!$K$2:K993,""),"")</f>
        <v/>
      </c>
      <c r="V993" s="149">
        <f>IF(AND('Master Stock'!D993&lt;&gt;"",'Master Stock'!H993="OCCUPIED",ISNUMBER('Master Stock'!L993),'Master Stock'!L993&lt;TODAY()-30),SUMPRODUCT(--('Master Stock'!$D$2:$D$1000&lt;&gt;""),--('Master Stock'!$H$2:$H$1000="OCCUPIED"),--ISNUMBER('Master Stock'!$L$2:$L$1000),--('Master Stock'!$L$2:$L$1000&lt;TODAY()-30),--('Master Stock'!$L$2:$L$1000&lt;'Master Stock'!L993))+COUNTIFS('Master Stock'!$L$2:L993,'Master Stock'!L993,'Master Stock'!$D$2:D993,"&lt;&gt;",'Master Stock'!$H$2:H993,"OCCUPIED"),"")</f>
        <v/>
      </c>
      <c r="W993" s="149" t="n"/>
      <c r="X993" s="149" t="n"/>
      <c r="Y993" s="149" t="n"/>
      <c r="Z993" s="149" t="n"/>
    </row>
    <row r="994" ht="15.75" customHeight="1" s="236">
      <c r="A994" s="148" t="n"/>
      <c r="B994" s="148" t="n"/>
      <c r="C994" s="124" t="n"/>
      <c r="D994" s="148" t="n"/>
      <c r="E994" s="148" t="n"/>
      <c r="F994" s="148" t="n"/>
      <c r="G994" s="124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9">
        <f>IF(AND('Master Stock'!D994&lt;&gt;"",'Master Stock'!H994="OCCUPIED",ISNUMBER('Master Stock'!J994),'Master Stock'!K994=""),SUMPRODUCT(--('Master Stock'!$D$2:$D$1000&lt;&gt;""),--('Master Stock'!$H$2:$H$1000="OCCUPIED"),--ISNUMBER('Master Stock'!$J$2:$J$1000),--('Master Stock'!$K$2:$K$1000=""),--('Master Stock'!$J$2:$J$1000&lt;'Master Stock'!J994))+COUNTIFS('Master Stock'!$J$2:J994,'Master Stock'!J994,'Master Stock'!$D$2:D994,"&lt;&gt;",'Master Stock'!$H$2:H994,"OCCUPIED",'Master Stock'!$K$2:K994,""),"")</f>
        <v/>
      </c>
      <c r="V994" s="149">
        <f>IF(AND('Master Stock'!D994&lt;&gt;"",'Master Stock'!H994="OCCUPIED",ISNUMBER('Master Stock'!L994),'Master Stock'!L994&lt;TODAY()-30),SUMPRODUCT(--('Master Stock'!$D$2:$D$1000&lt;&gt;""),--('Master Stock'!$H$2:$H$1000="OCCUPIED"),--ISNUMBER('Master Stock'!$L$2:$L$1000),--('Master Stock'!$L$2:$L$1000&lt;TODAY()-30),--('Master Stock'!$L$2:$L$1000&lt;'Master Stock'!L994))+COUNTIFS('Master Stock'!$L$2:L994,'Master Stock'!L994,'Master Stock'!$D$2:D994,"&lt;&gt;",'Master Stock'!$H$2:H994,"OCCUPIED"),"")</f>
        <v/>
      </c>
      <c r="W994" s="149" t="n"/>
      <c r="X994" s="149" t="n"/>
      <c r="Y994" s="149" t="n"/>
      <c r="Z994" s="149" t="n"/>
    </row>
    <row r="995" ht="15.75" customHeight="1" s="236">
      <c r="A995" s="148" t="n"/>
      <c r="B995" s="148" t="n"/>
      <c r="C995" s="124" t="n"/>
      <c r="D995" s="148" t="n"/>
      <c r="E995" s="148" t="n"/>
      <c r="F995" s="148" t="n"/>
      <c r="G995" s="124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9">
        <f>IF(AND('Master Stock'!D995&lt;&gt;"",'Master Stock'!H995="OCCUPIED",ISNUMBER('Master Stock'!J995),'Master Stock'!K995=""),SUMPRODUCT(--('Master Stock'!$D$2:$D$1000&lt;&gt;""),--('Master Stock'!$H$2:$H$1000="OCCUPIED"),--ISNUMBER('Master Stock'!$J$2:$J$1000),--('Master Stock'!$K$2:$K$1000=""),--('Master Stock'!$J$2:$J$1000&lt;'Master Stock'!J995))+COUNTIFS('Master Stock'!$J$2:J995,'Master Stock'!J995,'Master Stock'!$D$2:D995,"&lt;&gt;",'Master Stock'!$H$2:H995,"OCCUPIED",'Master Stock'!$K$2:K995,""),"")</f>
        <v/>
      </c>
      <c r="V995" s="149">
        <f>IF(AND('Master Stock'!D995&lt;&gt;"",'Master Stock'!H995="OCCUPIED",ISNUMBER('Master Stock'!L995),'Master Stock'!L995&lt;TODAY()-30),SUMPRODUCT(--('Master Stock'!$D$2:$D$1000&lt;&gt;""),--('Master Stock'!$H$2:$H$1000="OCCUPIED"),--ISNUMBER('Master Stock'!$L$2:$L$1000),--('Master Stock'!$L$2:$L$1000&lt;TODAY()-30),--('Master Stock'!$L$2:$L$1000&lt;'Master Stock'!L995))+COUNTIFS('Master Stock'!$L$2:L995,'Master Stock'!L995,'Master Stock'!$D$2:D995,"&lt;&gt;",'Master Stock'!$H$2:H995,"OCCUPIED"),"")</f>
        <v/>
      </c>
      <c r="W995" s="149" t="n"/>
      <c r="X995" s="149" t="n"/>
      <c r="Y995" s="149" t="n"/>
      <c r="Z995" s="149" t="n"/>
    </row>
    <row r="996" ht="15.75" customHeight="1" s="236">
      <c r="A996" s="148" t="n"/>
      <c r="B996" s="148" t="n"/>
      <c r="C996" s="124" t="n"/>
      <c r="D996" s="148" t="n"/>
      <c r="E996" s="148" t="n"/>
      <c r="F996" s="148" t="n"/>
      <c r="G996" s="124" t="n"/>
      <c r="H996" s="148" t="n"/>
      <c r="I996" s="148" t="n"/>
      <c r="J996" s="148" t="n"/>
      <c r="K996" s="148" t="n"/>
      <c r="L996" s="148" t="n"/>
      <c r="M996" s="148" t="n"/>
      <c r="N996" s="148" t="n"/>
      <c r="O996" s="148" t="n"/>
      <c r="P996" s="148" t="n"/>
      <c r="Q996" s="148" t="n"/>
      <c r="R996" s="148" t="n"/>
      <c r="S996" s="148" t="n"/>
      <c r="T996" s="148" t="n"/>
      <c r="U996" s="149">
        <f>IF(AND('Master Stock'!D996&lt;&gt;"",'Master Stock'!H996="OCCUPIED",ISNUMBER('Master Stock'!J996),'Master Stock'!K996=""),SUMPRODUCT(--('Master Stock'!$D$2:$D$1000&lt;&gt;""),--('Master Stock'!$H$2:$H$1000="OCCUPIED"),--ISNUMBER('Master Stock'!$J$2:$J$1000),--('Master Stock'!$K$2:$K$1000=""),--('Master Stock'!$J$2:$J$1000&lt;'Master Stock'!J996))+COUNTIFS('Master Stock'!$J$2:J996,'Master Stock'!J996,'Master Stock'!$D$2:D996,"&lt;&gt;",'Master Stock'!$H$2:H996,"OCCUPIED",'Master Stock'!$K$2:K996,""),"")</f>
        <v/>
      </c>
      <c r="V996" s="149">
        <f>IF(AND('Master Stock'!D996&lt;&gt;"",'Master Stock'!H996="OCCUPIED",ISNUMBER('Master Stock'!L996),'Master Stock'!L996&lt;TODAY()-30),SUMPRODUCT(--('Master Stock'!$D$2:$D$1000&lt;&gt;""),--('Master Stock'!$H$2:$H$1000="OCCUPIED"),--ISNUMBER('Master Stock'!$L$2:$L$1000),--('Master Stock'!$L$2:$L$1000&lt;TODAY()-30),--('Master Stock'!$L$2:$L$1000&lt;'Master Stock'!L996))+COUNTIFS('Master Stock'!$L$2:L996,'Master Stock'!L996,'Master Stock'!$D$2:D996,"&lt;&gt;",'Master Stock'!$H$2:H996,"OCCUPIED"),"")</f>
        <v/>
      </c>
      <c r="W996" s="149" t="n"/>
      <c r="X996" s="149" t="n"/>
      <c r="Y996" s="149" t="n"/>
      <c r="Z996" s="149" t="n"/>
    </row>
    <row r="997" ht="15.75" customHeight="1" s="236">
      <c r="A997" s="148" t="n"/>
      <c r="B997" s="148" t="n"/>
      <c r="C997" s="124" t="n"/>
      <c r="D997" s="148" t="n"/>
      <c r="E997" s="148" t="n"/>
      <c r="F997" s="148" t="n"/>
      <c r="G997" s="124" t="n"/>
      <c r="H997" s="148" t="n"/>
      <c r="I997" s="148" t="n"/>
      <c r="J997" s="148" t="n"/>
      <c r="K997" s="148" t="n"/>
      <c r="L997" s="148" t="n"/>
      <c r="M997" s="148" t="n"/>
      <c r="N997" s="148" t="n"/>
      <c r="O997" s="148" t="n"/>
      <c r="P997" s="148" t="n"/>
      <c r="Q997" s="148" t="n"/>
      <c r="R997" s="148" t="n"/>
      <c r="S997" s="148" t="n"/>
      <c r="T997" s="148" t="n"/>
      <c r="U997" s="149">
        <f>IF(AND('Master Stock'!D997&lt;&gt;"",'Master Stock'!H997="OCCUPIED",ISNUMBER('Master Stock'!J997),'Master Stock'!K997=""),SUMPRODUCT(--('Master Stock'!$D$2:$D$1000&lt;&gt;""),--('Master Stock'!$H$2:$H$1000="OCCUPIED"),--ISNUMBER('Master Stock'!$J$2:$J$1000),--('Master Stock'!$K$2:$K$1000=""),--('Master Stock'!$J$2:$J$1000&lt;'Master Stock'!J997))+COUNTIFS('Master Stock'!$J$2:J997,'Master Stock'!J997,'Master Stock'!$D$2:D997,"&lt;&gt;",'Master Stock'!$H$2:H997,"OCCUPIED",'Master Stock'!$K$2:K997,""),"")</f>
        <v/>
      </c>
      <c r="V997" s="149">
        <f>IF(AND('Master Stock'!D997&lt;&gt;"",'Master Stock'!H997="OCCUPIED",ISNUMBER('Master Stock'!L997),'Master Stock'!L997&lt;TODAY()-30),SUMPRODUCT(--('Master Stock'!$D$2:$D$1000&lt;&gt;""),--('Master Stock'!$H$2:$H$1000="OCCUPIED"),--ISNUMBER('Master Stock'!$L$2:$L$1000),--('Master Stock'!$L$2:$L$1000&lt;TODAY()-30),--('Master Stock'!$L$2:$L$1000&lt;'Master Stock'!L997))+COUNTIFS('Master Stock'!$L$2:L997,'Master Stock'!L997,'Master Stock'!$D$2:D997,"&lt;&gt;",'Master Stock'!$H$2:H997,"OCCUPIED"),"")</f>
        <v/>
      </c>
      <c r="W997" s="149" t="n"/>
      <c r="X997" s="149" t="n"/>
      <c r="Y997" s="149" t="n"/>
      <c r="Z997" s="149" t="n"/>
    </row>
    <row r="998" ht="15.75" customHeight="1" s="236">
      <c r="A998" s="148" t="n"/>
      <c r="B998" s="148" t="n"/>
      <c r="C998" s="124" t="n"/>
      <c r="D998" s="148" t="n"/>
      <c r="E998" s="148" t="n"/>
      <c r="F998" s="148" t="n"/>
      <c r="G998" s="124" t="n"/>
      <c r="H998" s="148" t="n"/>
      <c r="I998" s="148" t="n"/>
      <c r="J998" s="148" t="n"/>
      <c r="K998" s="148" t="n"/>
      <c r="L998" s="148" t="n"/>
      <c r="M998" s="148" t="n"/>
      <c r="N998" s="148" t="n"/>
      <c r="O998" s="148" t="n"/>
      <c r="P998" s="148" t="n"/>
      <c r="Q998" s="148" t="n"/>
      <c r="R998" s="148" t="n"/>
      <c r="S998" s="148" t="n"/>
      <c r="T998" s="148" t="n"/>
      <c r="U998" s="149">
        <f>IF(AND('Master Stock'!D998&lt;&gt;"",'Master Stock'!H998="OCCUPIED",ISNUMBER('Master Stock'!J998),'Master Stock'!K998=""),SUMPRODUCT(--('Master Stock'!$D$2:$D$1000&lt;&gt;""),--('Master Stock'!$H$2:$H$1000="OCCUPIED"),--ISNUMBER('Master Stock'!$J$2:$J$1000),--('Master Stock'!$K$2:$K$1000=""),--('Master Stock'!$J$2:$J$1000&lt;'Master Stock'!J998))+COUNTIFS('Master Stock'!$J$2:J998,'Master Stock'!J998,'Master Stock'!$D$2:D998,"&lt;&gt;",'Master Stock'!$H$2:H998,"OCCUPIED",'Master Stock'!$K$2:K998,""),"")</f>
        <v/>
      </c>
      <c r="V998" s="149">
        <f>IF(AND('Master Stock'!D998&lt;&gt;"",'Master Stock'!H998="OCCUPIED",ISNUMBER('Master Stock'!L998),'Master Stock'!L998&lt;TODAY()-30),SUMPRODUCT(--('Master Stock'!$D$2:$D$1000&lt;&gt;""),--('Master Stock'!$H$2:$H$1000="OCCUPIED"),--ISNUMBER('Master Stock'!$L$2:$L$1000),--('Master Stock'!$L$2:$L$1000&lt;TODAY()-30),--('Master Stock'!$L$2:$L$1000&lt;'Master Stock'!L998))+COUNTIFS('Master Stock'!$L$2:L998,'Master Stock'!L998,'Master Stock'!$D$2:D998,"&lt;&gt;",'Master Stock'!$H$2:H998,"OCCUPIED"),"")</f>
        <v/>
      </c>
      <c r="W998" s="149" t="n"/>
      <c r="X998" s="149" t="n"/>
      <c r="Y998" s="149" t="n"/>
      <c r="Z998" s="149" t="n"/>
    </row>
    <row r="999" ht="15.75" customHeight="1" s="236">
      <c r="A999" s="148" t="n"/>
      <c r="B999" s="148" t="n"/>
      <c r="C999" s="124" t="n"/>
      <c r="D999" s="148" t="n"/>
      <c r="E999" s="148" t="n"/>
      <c r="F999" s="148" t="n"/>
      <c r="G999" s="124" t="n"/>
      <c r="H999" s="148" t="n"/>
      <c r="I999" s="148" t="n"/>
      <c r="J999" s="148" t="n"/>
      <c r="K999" s="148" t="n"/>
      <c r="L999" s="148" t="n"/>
      <c r="M999" s="148" t="n"/>
      <c r="N999" s="148" t="n"/>
      <c r="O999" s="148" t="n"/>
      <c r="P999" s="148" t="n"/>
      <c r="Q999" s="148" t="n"/>
      <c r="R999" s="148" t="n"/>
      <c r="S999" s="148" t="n"/>
      <c r="T999" s="148" t="n"/>
      <c r="U999" s="149">
        <f>IF(AND('Master Stock'!D999&lt;&gt;"",'Master Stock'!H999="OCCUPIED",ISNUMBER('Master Stock'!J999),'Master Stock'!K999=""),SUMPRODUCT(--('Master Stock'!$D$2:$D$1000&lt;&gt;""),--('Master Stock'!$H$2:$H$1000="OCCUPIED"),--ISNUMBER('Master Stock'!$J$2:$J$1000),--('Master Stock'!$K$2:$K$1000=""),--('Master Stock'!$J$2:$J$1000&lt;'Master Stock'!J999))+COUNTIFS('Master Stock'!$J$2:J999,'Master Stock'!J999,'Master Stock'!$D$2:D999,"&lt;&gt;",'Master Stock'!$H$2:H999,"OCCUPIED",'Master Stock'!$K$2:K999,""),"")</f>
        <v/>
      </c>
      <c r="V999" s="149">
        <f>IF(AND('Master Stock'!D999&lt;&gt;"",'Master Stock'!H999="OCCUPIED",ISNUMBER('Master Stock'!L999),'Master Stock'!L999&lt;TODAY()-30),SUMPRODUCT(--('Master Stock'!$D$2:$D$1000&lt;&gt;""),--('Master Stock'!$H$2:$H$1000="OCCUPIED"),--ISNUMBER('Master Stock'!$L$2:$L$1000),--('Master Stock'!$L$2:$L$1000&lt;TODAY()-30),--('Master Stock'!$L$2:$L$1000&lt;'Master Stock'!L999))+COUNTIFS('Master Stock'!$L$2:L999,'Master Stock'!L999,'Master Stock'!$D$2:D999,"&lt;&gt;",'Master Stock'!$H$2:H999,"OCCUPIED"),"")</f>
        <v/>
      </c>
      <c r="W999" s="149" t="n"/>
      <c r="X999" s="149" t="n"/>
      <c r="Y999" s="149" t="n"/>
      <c r="Z999" s="149" t="n"/>
    </row>
    <row r="1000" ht="24" customHeight="1" s="236">
      <c r="A1000" s="206" t="inlineStr">
        <is>
          <t>Shambhu Dayal Meena TA-II FSD Sabarmati</t>
        </is>
      </c>
      <c r="B1000" s="148" t="n"/>
      <c r="C1000" s="124" t="n"/>
      <c r="D1000" s="148" t="n"/>
      <c r="E1000" s="148" t="n"/>
      <c r="F1000" s="148" t="n"/>
      <c r="G1000" s="124" t="n"/>
      <c r="H1000" s="148" t="n"/>
      <c r="I1000" s="148" t="n"/>
      <c r="J1000" s="148" t="n"/>
      <c r="K1000" s="148" t="n"/>
      <c r="L1000" s="148" t="n"/>
      <c r="M1000" s="148" t="n"/>
      <c r="N1000" s="148" t="n"/>
      <c r="O1000" s="148" t="n"/>
      <c r="P1000" s="148" t="n"/>
      <c r="Q1000" s="148" t="n"/>
      <c r="R1000" s="148" t="n"/>
      <c r="S1000" s="148" t="n"/>
      <c r="T1000" s="148" t="n"/>
      <c r="U1000" s="148">
        <f>IF(AND('Master Stock'!D1000&lt;&gt;"",'Master Stock'!H1000="OCCUPIED",ISNUMBER('Master Stock'!J1000),'Master Stock'!K1000=""),SUMPRODUCT(--('Master Stock'!$D$2:$D$1000&lt;&gt;""),--('Master Stock'!$H$2:$H$1000="OCCUPIED"),--ISNUMBER('Master Stock'!$J$2:$J$1000),--('Master Stock'!$K$2:$K$1000=""),--('Master Stock'!$J$2:$J$1000&lt;'Master Stock'!J1000))+COUNTIFS('Master Stock'!$J$2:J1000,'Master Stock'!J1000,'Master Stock'!$D$2:D1000,"&lt;&gt;",'Master Stock'!$H$2:H1000,"OCCUPIED",'Master Stock'!$K$2:K1000,""),"")</f>
        <v/>
      </c>
      <c r="V1000" s="148">
        <f>IF(AND('Master Stock'!D1000&lt;&gt;"",'Master Stock'!H1000="OCCUPIED",ISNUMBER('Master Stock'!L1000),'Master Stock'!L1000&lt;TODAY()-30),SUMPRODUCT(--('Master Stock'!$D$2:$D$1000&lt;&gt;""),--('Master Stock'!$H$2:$H$1000="OCCUPIED"),--ISNUMBER('Master Stock'!$L$2:$L$1000),--('Master Stock'!$L$2:$L$1000&lt;TODAY()-30),--('Master Stock'!$L$2:$L$1000&lt;'Master Stock'!L1000))+COUNTIFS('Master Stock'!$L$2:L1000,'Master Stock'!L1000,'Master Stock'!$D$2:D1000,"&lt;&gt;",'Master Stock'!$H$2:H1000,"OCCUPIED"),"")</f>
        <v/>
      </c>
      <c r="W1000" s="149" t="n"/>
      <c r="X1000" s="149" t="n"/>
      <c r="Y1000" s="149" t="n"/>
      <c r="Z1000" s="149" t="n"/>
    </row>
  </sheetData>
  <mergeCells count="38">
    <mergeCell ref="K5:N6"/>
    <mergeCell ref="I6:J6"/>
    <mergeCell ref="G2:H2"/>
    <mergeCell ref="L18:N18"/>
    <mergeCell ref="I2:J2"/>
    <mergeCell ref="C5:D5"/>
    <mergeCell ref="E5:F5"/>
    <mergeCell ref="A19:D19"/>
    <mergeCell ref="A1:B1"/>
    <mergeCell ref="M1:N1"/>
    <mergeCell ref="L20:N20"/>
    <mergeCell ref="A6:B6"/>
    <mergeCell ref="L22:N22"/>
    <mergeCell ref="C8:E8"/>
    <mergeCell ref="E19:I19"/>
    <mergeCell ref="I3:J5"/>
    <mergeCell ref="G6:H6"/>
    <mergeCell ref="L21:N21"/>
    <mergeCell ref="F8:G8"/>
    <mergeCell ref="G3:H5"/>
    <mergeCell ref="A3:B5"/>
    <mergeCell ref="A2:B2"/>
    <mergeCell ref="K13:N14"/>
    <mergeCell ref="E2:F4"/>
    <mergeCell ref="H8:J8"/>
    <mergeCell ref="K7:N8"/>
    <mergeCell ref="A42:N42"/>
    <mergeCell ref="A8:B8"/>
    <mergeCell ref="L17:N17"/>
    <mergeCell ref="C1:L1"/>
    <mergeCell ref="L16:N16"/>
    <mergeCell ref="C2:D4"/>
    <mergeCell ref="K3:N4"/>
    <mergeCell ref="K9:N10"/>
    <mergeCell ref="L19:N19"/>
    <mergeCell ref="K12:N12"/>
    <mergeCell ref="A43:N43"/>
    <mergeCell ref="K2:N2"/>
  </mergeCells>
  <conditionalFormatting sqref="A21:D1000">
    <cfRule type="expression" priority="1" dxfId="6">
      <formula>AND($A21&lt;&gt;"",$D21&gt;5)</formula>
    </cfRule>
  </conditionalFormatting>
  <conditionalFormatting sqref="E21:H1000">
    <cfRule type="expression" priority="2" dxfId="6">
      <formula>AND($E21&lt;&gt;"",$H21&gt;30)</formula>
    </cfRule>
  </conditionalFormatting>
  <dataValidations count="1">
    <dataValidation sqref="K13" showDropDown="0" showInputMessage="0" showErrorMessage="0" allowBlank="1" type="list">
      <formula1>'Master Stock'!$D$2:$D$1000</formula1>
    </dataValidation>
  </dataValidations>
  <hyperlinks>
    <hyperlink ref="K3" location="'QC Tracker'!A1" display="☷  QC DETAILS"/>
    <hyperlink ref="K5" location="'Master Stock'!A1" display="▤  MASTER"/>
    <hyperlink ref="K7" location="'Priority Rice'!A1" display="🌾  RICE PRIORITY"/>
    <hyperlink ref="K9" location="'Priority Wheat'!A1" display="🌾  WHEAT PRIORITY"/>
  </hyperlinks>
  <pageMargins left="0.15" right="0.15" top="0.2" bottom="0.2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1"/>
    <col width="12.25" customWidth="1" style="236" min="2" max="2"/>
    <col width="14" customWidth="1" style="236" min="3" max="3"/>
    <col width="15.75" customWidth="1" style="236" min="4" max="4"/>
    <col hidden="1" width="10.5" customWidth="1" style="236" min="5" max="5"/>
    <col width="16.38" customWidth="1" style="236" min="6" max="6"/>
    <col width="9.630000000000001" customWidth="1" style="236" min="7" max="7"/>
    <col width="12.25" customWidth="1" style="236" min="8" max="8"/>
    <col width="15.75" customWidth="1" style="236" min="9" max="9"/>
    <col width="18.38" customWidth="1" style="236" min="10" max="10"/>
    <col hidden="1" width="10.5" customWidth="1" style="236" min="11" max="11"/>
  </cols>
  <sheetData>
    <row r="1" ht="39.75" customHeight="1" s="236">
      <c r="A1" s="294" t="inlineStr">
        <is>
          <t>GODOWN STOCK &amp; TREATMENT DASHBOARD</t>
        </is>
      </c>
      <c r="K1" s="11" t="n"/>
    </row>
    <row r="2" ht="15" customHeight="1" s="236">
      <c r="A2" s="14" t="n"/>
      <c r="B2" s="14" t="n"/>
      <c r="C2" s="18" t="n"/>
      <c r="D2" s="18" t="n"/>
      <c r="E2" s="14" t="n"/>
      <c r="F2" s="14" t="n"/>
      <c r="G2" s="18" t="n"/>
      <c r="H2" s="14" t="n"/>
      <c r="I2" s="18" t="n"/>
      <c r="J2" s="14" t="n"/>
      <c r="K2" s="11" t="n"/>
    </row>
    <row r="3" ht="26.25" customHeight="1" s="236">
      <c r="A3" s="295" t="inlineStr">
        <is>
          <t>TOTAL STACKS</t>
        </is>
      </c>
      <c r="C3" s="296" t="inlineStr">
        <is>
          <t>OCCUPIED STACKS</t>
        </is>
      </c>
      <c r="E3" s="295" t="inlineStr">
        <is>
          <t>CURRENTLY UNDER COVER</t>
        </is>
      </c>
      <c r="G3" s="296" t="inlineStr">
        <is>
          <t>TOTAL DEGASSING DUE</t>
        </is>
      </c>
      <c r="I3" s="295" t="inlineStr">
        <is>
          <t>TOTAL EMPTY  STACKS</t>
        </is>
      </c>
      <c r="K3" s="11" t="n"/>
    </row>
    <row r="4" ht="24" customHeight="1" s="236">
      <c r="A4" s="23">
        <f>COUNTA('Master Stock'!$C$2:$C$99)</f>
        <v/>
      </c>
      <c r="C4" s="26">
        <f>COUNTIF('Master Stock'!$H$2:$H$99,"OCCUPIED")</f>
        <v/>
      </c>
      <c r="E4" s="28">
        <f>COUNTIFS('Master Stock'!$H$2:$H$99,"OCCUPIED",'Master Stock'!$J$2:$J$99,"&lt;&gt;",'Master Stock'!$K$2:$K$99,"")</f>
        <v/>
      </c>
      <c r="G4" s="26">
        <f>SUM('Master Stock'!$O$2:$O$99)</f>
        <v/>
      </c>
      <c r="I4" s="30" t="n"/>
      <c r="K4" s="11" t="n"/>
      <c r="L4" s="31">
        <f>'Shed Summary'!D7</f>
        <v/>
      </c>
    </row>
    <row r="5" ht="15" customHeight="1" s="236">
      <c r="A5" s="14" t="n"/>
      <c r="B5" s="14" t="n"/>
      <c r="C5" s="18" t="n"/>
      <c r="D5" s="18" t="n"/>
      <c r="E5" s="14" t="n"/>
      <c r="F5" s="14" t="n"/>
      <c r="G5" s="18" t="n"/>
      <c r="H5" s="14" t="n"/>
      <c r="I5" s="18" t="n"/>
      <c r="J5" s="14" t="n"/>
      <c r="K5" s="11" t="n"/>
    </row>
    <row r="6" ht="15" customHeight="1" s="236">
      <c r="A6" s="14" t="n"/>
      <c r="B6" s="14" t="n"/>
      <c r="C6" s="18" t="n"/>
      <c r="D6" s="18" t="n"/>
      <c r="E6" s="14" t="n"/>
      <c r="F6" s="14" t="n"/>
      <c r="G6" s="18" t="n"/>
      <c r="H6" s="14" t="n"/>
      <c r="I6" s="18" t="n"/>
      <c r="J6" s="14" t="n"/>
      <c r="K6" s="11" t="n"/>
    </row>
    <row r="7" ht="15.75" customHeight="1" s="236">
      <c r="A7" s="34" t="inlineStr">
        <is>
          <t>CURRENTLY UNDER COVER – STACK DETAILS</t>
        </is>
      </c>
      <c r="B7" s="14" t="n"/>
      <c r="C7" s="18" t="n"/>
      <c r="D7" s="18" t="n"/>
      <c r="E7" s="14" t="n"/>
      <c r="F7" s="14" t="n"/>
      <c r="G7" s="35" t="inlineStr">
        <is>
          <t>FUMIGATION MORE THAN 5 DAYS – DEGASSING DUE</t>
        </is>
      </c>
      <c r="H7" s="14" t="n"/>
      <c r="I7" s="18" t="n"/>
      <c r="J7" s="14" t="n"/>
      <c r="K7" s="11" t="n"/>
    </row>
    <row r="8" ht="26.25" customHeight="1" s="236">
      <c r="A8" s="39" t="inlineStr">
        <is>
          <t>Shed</t>
        </is>
      </c>
      <c r="B8" s="39" t="inlineStr">
        <is>
          <t>Stack No.</t>
        </is>
      </c>
      <c r="C8" s="43" t="inlineStr">
        <is>
          <t>Fumigation Date</t>
        </is>
      </c>
      <c r="D8" s="43" t="inlineStr">
        <is>
          <t>Days Count</t>
        </is>
      </c>
      <c r="E8" s="39" t="n"/>
      <c r="F8" s="14" t="n"/>
      <c r="G8" s="43" t="inlineStr">
        <is>
          <t>Shed</t>
        </is>
      </c>
      <c r="H8" s="39" t="inlineStr">
        <is>
          <t>Stack No.</t>
        </is>
      </c>
      <c r="I8" s="43" t="inlineStr">
        <is>
          <t>Fumigation Date</t>
        </is>
      </c>
      <c r="J8" s="39" t="inlineStr">
        <is>
          <t>Days Count</t>
        </is>
      </c>
      <c r="K8" s="11" t="n"/>
    </row>
    <row r="9" ht="15" customHeight="1" s="236">
      <c r="A9" s="47">
        <f>IFERROR(__xludf.DUMMYFUNCTION("IFERROR(FILTER('Master Stock'!$C$2:$C$99,('Master Stock'!$H$2:$H$99=""OCCUPIED"")*ISNUMBER('Master Stock'!$J$2:$J$99)*('Master Stock'!$K$2:$K$99="""")),"""")"),9.0)</f>
        <v/>
      </c>
      <c r="B9" s="47">
        <f>IFERROR(__xludf.DUMMYFUNCTION("IFERROR(FILTER('Master Stock'!$D$2:$D$99,('Master Stock'!$H$2:$H$99=""OCCUPIED"")*ISNUMBER('Master Stock'!$J$2:$J$99)*('Master Stock'!$K$2:$K$99="""")),"""")"),"9A03")</f>
        <v/>
      </c>
      <c r="C9" s="50">
        <f>IFERROR(__xludf.DUMMYFUNCTION("IFERROR(FILTER('Master Stock'!$J$2:$J$99,('Master Stock'!$H$2:$H$99=""OCCUPIED"")*ISNUMBER('Master Stock'!$J$2:$J$99)*('Master Stock'!$K$2:$K$99="""")),"""")"),46265.0)</f>
        <v/>
      </c>
      <c r="D9" s="52">
        <f>IF(C9="","",MAX(0,TODAY()-C9))</f>
        <v/>
      </c>
      <c r="E9" s="53" t="n"/>
      <c r="F9" s="14" t="n"/>
      <c r="G9" s="55">
        <f>IFERROR(__xludf.DUMMYFUNCTION("IFERROR(FILTER('Master Stock'!$C$2:$C$99,('Master Stock'!$H$2:$H$99=""OCCUPIED"")*ISNUMBER('Master Stock'!$L$2:$L$99)*('Master Stock'!$L$2:$L$99&lt;TODAY()-30)),"""")"),9.0)</f>
        <v/>
      </c>
      <c r="H9" s="57">
        <f>IFERROR(__xludf.DUMMYFUNCTION("IFERROR(FILTER('Master Stock'!$D$2:$D$99,('Master Stock'!$H$2:$H$99=""OCCUPIED"")*ISNUMBER('Master Stock'!$L$2:$L$99)*('Master Stock'!$L$2:$L$99&lt;TODAY()-30)),"""")"),"9A01")</f>
        <v/>
      </c>
      <c r="I9" s="55">
        <f>IFERROR(__xludf.DUMMYFUNCTION("IFERROR(FILTER('Master Stock'!$L$2:$L$99,('Master Stock'!$H$2:$H$99=""OCCUPIED"")*ISNUMBER('Master Stock'!$L$2:$L$99)*('Master Stock'!$L$2:$L$99&lt;TODAY()-30)),"""")"),46162.0)</f>
        <v/>
      </c>
      <c r="J9" s="59">
        <f>IF(I9="","",MAX(0,TODAY()-I9))</f>
        <v/>
      </c>
      <c r="K9" s="11" t="n"/>
    </row>
    <row r="10" ht="15" customHeight="1" s="236">
      <c r="A10" s="47">
        <f>IFERROR(__xludf.DUMMYFUNCTION("""COMPUTED_VALUE"""),14.0)</f>
        <v/>
      </c>
      <c r="B10" s="47">
        <f>IFERROR(__xludf.DUMMYFUNCTION("""COMPUTED_VALUE"""),"14A02")</f>
        <v/>
      </c>
      <c r="C10" s="50">
        <f>IFERROR(__xludf.DUMMYFUNCTION("""COMPUTED_VALUE"""),46265.0)</f>
        <v/>
      </c>
      <c r="D10" s="52">
        <f>IF(C10="","",MAX(0,TODAY()-C10))</f>
        <v/>
      </c>
      <c r="E10" s="53" t="n"/>
      <c r="F10" s="14" t="n"/>
      <c r="G10" s="55">
        <f>IFERROR(__xludf.DUMMYFUNCTION("""COMPUTED_VALUE"""),9.0)</f>
        <v/>
      </c>
      <c r="H10" s="57">
        <f>IFERROR(__xludf.DUMMYFUNCTION("""COMPUTED_VALUE"""),"9A02")</f>
        <v/>
      </c>
      <c r="I10" s="55">
        <f>IFERROR(__xludf.DUMMYFUNCTION("""COMPUTED_VALUE"""),46228.0)</f>
        <v/>
      </c>
      <c r="J10" s="59">
        <f>IF(I10="","",MAX(0,TODAY()-I10))</f>
        <v/>
      </c>
      <c r="K10" s="11" t="n"/>
    </row>
    <row r="11" ht="15" customHeight="1" s="236">
      <c r="A11" s="47">
        <f>IFERROR(__xludf.DUMMYFUNCTION("""COMPUTED_VALUE"""),14.0)</f>
        <v/>
      </c>
      <c r="B11" s="47">
        <f>IFERROR(__xludf.DUMMYFUNCTION("""COMPUTED_VALUE"""),"14B14")</f>
        <v/>
      </c>
      <c r="C11" s="50">
        <f>IFERROR(__xludf.DUMMYFUNCTION("""COMPUTED_VALUE"""),46265.0)</f>
        <v/>
      </c>
      <c r="D11" s="52">
        <f>IF(C11="","",MAX(0,TODAY()-C11))</f>
        <v/>
      </c>
      <c r="E11" s="53" t="n"/>
      <c r="F11" s="14" t="n"/>
      <c r="G11" s="55">
        <f>IFERROR(__xludf.DUMMYFUNCTION("""COMPUTED_VALUE"""),9.0)</f>
        <v/>
      </c>
      <c r="H11" s="57">
        <f>IFERROR(__xludf.DUMMYFUNCTION("""COMPUTED_VALUE"""),"9A04")</f>
        <v/>
      </c>
      <c r="I11" s="55">
        <f>IFERROR(__xludf.DUMMYFUNCTION("""COMPUTED_VALUE"""),46235.0)</f>
        <v/>
      </c>
      <c r="J11" s="59">
        <f>IF(I11="","",MAX(0,TODAY()-I11))</f>
        <v/>
      </c>
      <c r="K11" s="11" t="n"/>
    </row>
    <row r="12" ht="15" customHeight="1" s="236">
      <c r="A12" s="47">
        <f>IFERROR(__xludf.DUMMYFUNCTION("""COMPUTED_VALUE"""),14.0)</f>
        <v/>
      </c>
      <c r="B12" s="47">
        <f>IFERROR(__xludf.DUMMYFUNCTION("""COMPUTED_VALUE"""),"14B15")</f>
        <v/>
      </c>
      <c r="C12" s="50">
        <f>IFERROR(__xludf.DUMMYFUNCTION("""COMPUTED_VALUE"""),46265.0)</f>
        <v/>
      </c>
      <c r="D12" s="52">
        <f>IF(C12="","",MAX(0,TODAY()-C12))</f>
        <v/>
      </c>
      <c r="E12" s="53" t="n"/>
      <c r="F12" s="14" t="n"/>
      <c r="G12" s="55">
        <f>IFERROR(__xludf.DUMMYFUNCTION("""COMPUTED_VALUE"""),9.0)</f>
        <v/>
      </c>
      <c r="H12" s="57">
        <f>IFERROR(__xludf.DUMMYFUNCTION("""COMPUTED_VALUE"""),"9A05")</f>
        <v/>
      </c>
      <c r="I12" s="55">
        <f>IFERROR(__xludf.DUMMYFUNCTION("""COMPUTED_VALUE"""),46156.0)</f>
        <v/>
      </c>
      <c r="J12" s="59">
        <f>IF(I12="","",MAX(0,TODAY()-I12))</f>
        <v/>
      </c>
      <c r="K12" s="11" t="n"/>
    </row>
    <row r="13" ht="15" customHeight="1" s="236">
      <c r="A13" s="47">
        <f>IFERROR(__xludf.DUMMYFUNCTION("""COMPUTED_VALUE"""),18.0)</f>
        <v/>
      </c>
      <c r="B13" s="47">
        <f>IFERROR(__xludf.DUMMYFUNCTION("""COMPUTED_VALUE"""),"18A02")</f>
        <v/>
      </c>
      <c r="C13" s="50">
        <f>IFERROR(__xludf.DUMMYFUNCTION("""COMPUTED_VALUE"""),46265.0)</f>
        <v/>
      </c>
      <c r="D13" s="52">
        <f>IF(C13="","",MAX(0,TODAY()-C13))</f>
        <v/>
      </c>
      <c r="E13" s="53" t="n"/>
      <c r="F13" s="14" t="n"/>
      <c r="G13" s="55">
        <f>IFERROR(__xludf.DUMMYFUNCTION("""COMPUTED_VALUE"""),9.0)</f>
        <v/>
      </c>
      <c r="H13" s="57">
        <f>IFERROR(__xludf.DUMMYFUNCTION("""COMPUTED_VALUE"""),"9A07")</f>
        <v/>
      </c>
      <c r="I13" s="55">
        <f>IFERROR(__xludf.DUMMYFUNCTION("""COMPUTED_VALUE"""),46228.0)</f>
        <v/>
      </c>
      <c r="J13" s="59">
        <f>IF(I13="","",MAX(0,TODAY()-I13))</f>
        <v/>
      </c>
      <c r="K13" s="11" t="n"/>
    </row>
    <row r="14" ht="15" customHeight="1" s="236">
      <c r="A14" s="47" t="n"/>
      <c r="B14" s="47" t="n"/>
      <c r="C14" s="50" t="n"/>
      <c r="D14" s="52">
        <f>IF(C14="","",MAX(0,TODAY()-C14))</f>
        <v/>
      </c>
      <c r="E14" s="53" t="n"/>
      <c r="F14" s="14" t="n"/>
      <c r="G14" s="55">
        <f>IFERROR(__xludf.DUMMYFUNCTION("""COMPUTED_VALUE"""),9.0)</f>
        <v/>
      </c>
      <c r="H14" s="57">
        <f>IFERROR(__xludf.DUMMYFUNCTION("""COMPUTED_VALUE"""),"9A08")</f>
        <v/>
      </c>
      <c r="I14" s="55">
        <f>IFERROR(__xludf.DUMMYFUNCTION("""COMPUTED_VALUE"""),46232.0)</f>
        <v/>
      </c>
      <c r="J14" s="59">
        <f>IF(I14="","",MAX(0,TODAY()-I14))</f>
        <v/>
      </c>
      <c r="K14" s="11" t="n"/>
    </row>
    <row r="15" ht="15" customHeight="1" s="236">
      <c r="A15" s="47" t="n"/>
      <c r="B15" s="47" t="n"/>
      <c r="C15" s="50" t="n"/>
      <c r="D15" s="52">
        <f>IF(C15="","",MAX(0,TODAY()-C15))</f>
        <v/>
      </c>
      <c r="E15" s="53" t="n"/>
      <c r="F15" s="14" t="n"/>
      <c r="G15" s="55">
        <f>IFERROR(__xludf.DUMMYFUNCTION("""COMPUTED_VALUE"""),9.0)</f>
        <v/>
      </c>
      <c r="H15" s="57">
        <f>IFERROR(__xludf.DUMMYFUNCTION("""COMPUTED_VALUE"""),"9B12")</f>
        <v/>
      </c>
      <c r="I15" s="55">
        <f>IFERROR(__xludf.DUMMYFUNCTION("""COMPUTED_VALUE"""),46235.0)</f>
        <v/>
      </c>
      <c r="J15" s="59">
        <f>IF(I15="","",MAX(0,TODAY()-I15))</f>
        <v/>
      </c>
      <c r="K15" s="11" t="n"/>
    </row>
    <row r="16" ht="15" customHeight="1" s="236">
      <c r="A16" s="47" t="n"/>
      <c r="B16" s="47" t="n"/>
      <c r="C16" s="50" t="n"/>
      <c r="D16" s="52">
        <f>IF(C16="","",MAX(0,TODAY()-C16))</f>
        <v/>
      </c>
      <c r="E16" s="53" t="n"/>
      <c r="F16" s="14" t="n"/>
      <c r="G16" s="55">
        <f>IFERROR(__xludf.DUMMYFUNCTION("""COMPUTED_VALUE"""),9.0)</f>
        <v/>
      </c>
      <c r="H16" s="57">
        <f>IFERROR(__xludf.DUMMYFUNCTION("""COMPUTED_VALUE"""),"9B13")</f>
        <v/>
      </c>
      <c r="I16" s="55">
        <f>IFERROR(__xludf.DUMMYFUNCTION("""COMPUTED_VALUE"""),46204.0)</f>
        <v/>
      </c>
      <c r="J16" s="59">
        <f>IF(I16="","",MAX(0,TODAY()-I16))</f>
        <v/>
      </c>
      <c r="K16" s="11" t="n"/>
    </row>
    <row r="17" ht="15" customHeight="1" s="236">
      <c r="A17" s="47" t="n"/>
      <c r="B17" s="47" t="n"/>
      <c r="C17" s="50" t="n"/>
      <c r="D17" s="52">
        <f>IF(C17="","",MAX(0,TODAY()-C17))</f>
        <v/>
      </c>
      <c r="E17" s="53" t="n"/>
      <c r="F17" s="14" t="n"/>
      <c r="G17" s="55">
        <f>IFERROR(__xludf.DUMMYFUNCTION("""COMPUTED_VALUE"""),9.0)</f>
        <v/>
      </c>
      <c r="H17" s="57">
        <f>IFERROR(__xludf.DUMMYFUNCTION("""COMPUTED_VALUE"""),"9B15")</f>
        <v/>
      </c>
      <c r="I17" s="55">
        <f>IFERROR(__xludf.DUMMYFUNCTION("""COMPUTED_VALUE"""),46235.0)</f>
        <v/>
      </c>
      <c r="J17" s="59">
        <f>IF(I17="","",MAX(0,TODAY()-I17))</f>
        <v/>
      </c>
      <c r="K17" s="11" t="n"/>
    </row>
    <row r="18" ht="15" customHeight="1" s="236">
      <c r="A18" s="47" t="n"/>
      <c r="B18" s="47" t="n"/>
      <c r="C18" s="50" t="n"/>
      <c r="D18" s="52">
        <f>IF(C18="","",MAX(0,TODAY()-C18))</f>
        <v/>
      </c>
      <c r="E18" s="53" t="n"/>
      <c r="F18" s="14" t="n"/>
      <c r="G18" s="55">
        <f>IFERROR(__xludf.DUMMYFUNCTION("""COMPUTED_VALUE"""),9.0)</f>
        <v/>
      </c>
      <c r="H18" s="57">
        <f>IFERROR(__xludf.DUMMYFUNCTION("""COMPUTED_VALUE"""),"9B18")</f>
        <v/>
      </c>
      <c r="I18" s="55">
        <f>IFERROR(__xludf.DUMMYFUNCTION("""COMPUTED_VALUE"""),46235.0)</f>
        <v/>
      </c>
      <c r="J18" s="59">
        <f>IF(I18="","",MAX(0,TODAY()-I18))</f>
        <v/>
      </c>
      <c r="K18" s="11" t="n"/>
    </row>
    <row r="19" ht="15" customHeight="1" s="236">
      <c r="A19" s="47" t="n"/>
      <c r="B19" s="47" t="n"/>
      <c r="C19" s="50" t="n"/>
      <c r="D19" s="52">
        <f>IF(C19="","",MAX(0,TODAY()-C19))</f>
        <v/>
      </c>
      <c r="E19" s="53" t="n"/>
      <c r="F19" s="14" t="n"/>
      <c r="G19" s="55">
        <f>IFERROR(__xludf.DUMMYFUNCTION("""COMPUTED_VALUE"""),14.0)</f>
        <v/>
      </c>
      <c r="H19" s="57">
        <f>IFERROR(__xludf.DUMMYFUNCTION("""COMPUTED_VALUE"""),"14A07")</f>
        <v/>
      </c>
      <c r="I19" s="55">
        <f>IFERROR(__xludf.DUMMYFUNCTION("""COMPUTED_VALUE"""),46190.0)</f>
        <v/>
      </c>
      <c r="J19" s="59">
        <f>IF(I19="","",MAX(0,TODAY()-I19))</f>
        <v/>
      </c>
      <c r="K19" s="11" t="n"/>
    </row>
    <row r="20" ht="15" customHeight="1" s="236">
      <c r="A20" s="47" t="n"/>
      <c r="B20" s="47" t="n"/>
      <c r="C20" s="50" t="n"/>
      <c r="D20" s="52">
        <f>IF(C20="","",MAX(0,TODAY()-C20))</f>
        <v/>
      </c>
      <c r="E20" s="53" t="n"/>
      <c r="F20" s="14" t="n"/>
      <c r="G20" s="55">
        <f>IFERROR(__xludf.DUMMYFUNCTION("""COMPUTED_VALUE"""),14.0)</f>
        <v/>
      </c>
      <c r="H20" s="57">
        <f>IFERROR(__xludf.DUMMYFUNCTION("""COMPUTED_VALUE"""),"14A08")</f>
        <v/>
      </c>
      <c r="I20" s="55">
        <f>IFERROR(__xludf.DUMMYFUNCTION("""COMPUTED_VALUE"""),46190.0)</f>
        <v/>
      </c>
      <c r="J20" s="59">
        <f>IF(I20="","",MAX(0,TODAY()-I20))</f>
        <v/>
      </c>
      <c r="K20" s="11" t="n"/>
    </row>
    <row r="21" ht="15.75" customHeight="1" s="236">
      <c r="A21" s="47" t="n"/>
      <c r="B21" s="47" t="n"/>
      <c r="C21" s="50" t="n"/>
      <c r="D21" s="52">
        <f>IF(C21="","",MAX(0,TODAY()-C21))</f>
        <v/>
      </c>
      <c r="E21" s="53" t="n"/>
      <c r="F21" s="14" t="n"/>
      <c r="G21" s="55">
        <f>IFERROR(__xludf.DUMMYFUNCTION("""COMPUTED_VALUE"""),14.0)</f>
        <v/>
      </c>
      <c r="H21" s="57">
        <f>IFERROR(__xludf.DUMMYFUNCTION("""COMPUTED_VALUE"""),"14A09")</f>
        <v/>
      </c>
      <c r="I21" s="55">
        <f>IFERROR(__xludf.DUMMYFUNCTION("""COMPUTED_VALUE"""),46190.0)</f>
        <v/>
      </c>
      <c r="J21" s="59">
        <f>IF(I21="","",MAX(0,TODAY()-I21))</f>
        <v/>
      </c>
      <c r="K21" s="11" t="n"/>
    </row>
    <row r="22" ht="15.75" customHeight="1" s="236">
      <c r="A22" s="57" t="n"/>
      <c r="B22" s="57" t="n"/>
      <c r="C22" s="55" t="n"/>
      <c r="D22" s="67">
        <f>IF(C22="","",MAX(0,TODAY()-C22))</f>
        <v/>
      </c>
      <c r="E22" s="53" t="n"/>
      <c r="F22" s="14" t="n"/>
      <c r="G22" s="55">
        <f>IFERROR(__xludf.DUMMYFUNCTION("""COMPUTED_VALUE"""),14.0)</f>
        <v/>
      </c>
      <c r="H22" s="57">
        <f>IFERROR(__xludf.DUMMYFUNCTION("""COMPUTED_VALUE"""),"14B10")</f>
        <v/>
      </c>
      <c r="I22" s="55">
        <f>IFERROR(__xludf.DUMMYFUNCTION("""COMPUTED_VALUE"""),46179.0)</f>
        <v/>
      </c>
      <c r="J22" s="59">
        <f>IF(I22="","",MAX(0,TODAY()-I22))</f>
        <v/>
      </c>
      <c r="K22" s="11" t="n"/>
    </row>
    <row r="23" ht="15.75" customHeight="1" s="236">
      <c r="A23" s="57" t="n"/>
      <c r="B23" s="57" t="n"/>
      <c r="C23" s="55" t="n"/>
      <c r="D23" s="67">
        <f>IF(C23="","",MAX(0,TODAY()-C23))</f>
        <v/>
      </c>
      <c r="E23" s="53" t="n"/>
      <c r="F23" s="14" t="n"/>
      <c r="G23" s="55">
        <f>IFERROR(__xludf.DUMMYFUNCTION("""COMPUTED_VALUE"""),14.0)</f>
        <v/>
      </c>
      <c r="H23" s="57">
        <f>IFERROR(__xludf.DUMMYFUNCTION("""COMPUTED_VALUE"""),"14B11")</f>
        <v/>
      </c>
      <c r="I23" s="55">
        <f>IFERROR(__xludf.DUMMYFUNCTION("""COMPUTED_VALUE"""),46179.0)</f>
        <v/>
      </c>
      <c r="J23" s="59">
        <f>IF(I23="","",MAX(0,TODAY()-I23))</f>
        <v/>
      </c>
      <c r="K23" s="11" t="n"/>
    </row>
    <row r="24" ht="15.75" customHeight="1" s="236">
      <c r="A24" s="57" t="n"/>
      <c r="B24" s="57" t="n"/>
      <c r="C24" s="55" t="n"/>
      <c r="D24" s="67">
        <f>IF(C24="","",MAX(0,TODAY()-C24))</f>
        <v/>
      </c>
      <c r="E24" s="53" t="n"/>
      <c r="F24" s="14" t="n"/>
      <c r="G24" s="55">
        <f>IFERROR(__xludf.DUMMYFUNCTION("""COMPUTED_VALUE"""),14.0)</f>
        <v/>
      </c>
      <c r="H24" s="57">
        <f>IFERROR(__xludf.DUMMYFUNCTION("""COMPUTED_VALUE"""),"14B12")</f>
        <v/>
      </c>
      <c r="I24" s="55">
        <f>IFERROR(__xludf.DUMMYFUNCTION("""COMPUTED_VALUE"""),46179.0)</f>
        <v/>
      </c>
      <c r="J24" s="59">
        <f>IF(I24="","",MAX(0,TODAY()-I24))</f>
        <v/>
      </c>
      <c r="K24" s="11" t="n"/>
    </row>
    <row r="25" ht="15.75" customHeight="1" s="236">
      <c r="A25" s="57" t="n"/>
      <c r="B25" s="57" t="n"/>
      <c r="C25" s="55" t="n"/>
      <c r="D25" s="67">
        <f>IF(C25="","",MAX(0,TODAY()-C25))</f>
        <v/>
      </c>
      <c r="E25" s="53" t="n"/>
      <c r="F25" s="14" t="n"/>
      <c r="G25" s="55">
        <f>IFERROR(__xludf.DUMMYFUNCTION("""COMPUTED_VALUE"""),14.0)</f>
        <v/>
      </c>
      <c r="H25" s="57">
        <f>IFERROR(__xludf.DUMMYFUNCTION("""COMPUTED_VALUE"""),"14B13")</f>
        <v/>
      </c>
      <c r="I25" s="55">
        <f>IFERROR(__xludf.DUMMYFUNCTION("""COMPUTED_VALUE"""),46179.0)</f>
        <v/>
      </c>
      <c r="J25" s="59">
        <f>IF(I25="","",MAX(0,TODAY()-I25))</f>
        <v/>
      </c>
      <c r="K25" s="11" t="n"/>
    </row>
    <row r="26" ht="15.75" customHeight="1" s="236">
      <c r="A26" s="57" t="n"/>
      <c r="B26" s="57" t="n"/>
      <c r="C26" s="55" t="n"/>
      <c r="D26" s="67">
        <f>IF(C26="","",MAX(0,TODAY()-C26))</f>
        <v/>
      </c>
      <c r="E26" s="53" t="n"/>
      <c r="F26" s="14" t="n"/>
      <c r="G26" s="55">
        <f>IFERROR(__xludf.DUMMYFUNCTION("""COMPUTED_VALUE"""),18.0)</f>
        <v/>
      </c>
      <c r="H26" s="57">
        <f>IFERROR(__xludf.DUMMYFUNCTION("""COMPUTED_VALUE"""),"18A01")</f>
        <v/>
      </c>
      <c r="I26" s="55">
        <f>IFERROR(__xludf.DUMMYFUNCTION("""COMPUTED_VALUE"""),46172.0)</f>
        <v/>
      </c>
      <c r="J26" s="59">
        <f>IF(I26="","",MAX(0,TODAY()-I26))</f>
        <v/>
      </c>
      <c r="K26" s="11" t="n"/>
    </row>
    <row r="27" ht="15.75" customHeight="1" s="236">
      <c r="A27" s="57" t="n"/>
      <c r="B27" s="57" t="n"/>
      <c r="C27" s="55" t="n"/>
      <c r="D27" s="67">
        <f>IF(C27="","",MAX(0,TODAY()-C27))</f>
        <v/>
      </c>
      <c r="E27" s="53" t="n"/>
      <c r="F27" s="14" t="n"/>
      <c r="G27" s="55">
        <f>IFERROR(__xludf.DUMMYFUNCTION("""COMPUTED_VALUE"""),18.0)</f>
        <v/>
      </c>
      <c r="H27" s="57">
        <f>IFERROR(__xludf.DUMMYFUNCTION("""COMPUTED_VALUE"""),"18A03")</f>
        <v/>
      </c>
      <c r="I27" s="55">
        <f>IFERROR(__xludf.DUMMYFUNCTION("""COMPUTED_VALUE"""),46202.0)</f>
        <v/>
      </c>
      <c r="J27" s="59">
        <f>IF(I27="","",MAX(0,TODAY()-I27))</f>
        <v/>
      </c>
      <c r="K27" s="11" t="n"/>
    </row>
    <row r="28" ht="15.75" customHeight="1" s="236">
      <c r="A28" s="57" t="n"/>
      <c r="B28" s="57" t="n"/>
      <c r="C28" s="55" t="n"/>
      <c r="D28" s="67">
        <f>IF(C28="","",MAX(0,TODAY()-C28))</f>
        <v/>
      </c>
      <c r="E28" s="53" t="n"/>
      <c r="F28" s="14" t="n"/>
      <c r="G28" s="55">
        <f>IFERROR(__xludf.DUMMYFUNCTION("""COMPUTED_VALUE"""),18.0)</f>
        <v/>
      </c>
      <c r="H28" s="57">
        <f>IFERROR(__xludf.DUMMYFUNCTION("""COMPUTED_VALUE"""),"18A04")</f>
        <v/>
      </c>
      <c r="I28" s="55">
        <f>IFERROR(__xludf.DUMMYFUNCTION("""COMPUTED_VALUE"""),46211.0)</f>
        <v/>
      </c>
      <c r="J28" s="59">
        <f>IF(I28="","",MAX(0,TODAY()-I28))</f>
        <v/>
      </c>
      <c r="K28" s="11" t="n"/>
    </row>
    <row r="29" ht="15.75" customHeight="1" s="236">
      <c r="A29" s="57" t="n"/>
      <c r="B29" s="57" t="n"/>
      <c r="C29" s="55" t="n"/>
      <c r="D29" s="67">
        <f>IF(C29="","",MAX(0,TODAY()-C29))</f>
        <v/>
      </c>
      <c r="E29" s="53" t="n"/>
      <c r="F29" s="14" t="n"/>
      <c r="G29" s="55">
        <f>IFERROR(__xludf.DUMMYFUNCTION("""COMPUTED_VALUE"""),18.0)</f>
        <v/>
      </c>
      <c r="H29" s="57">
        <f>IFERROR(__xludf.DUMMYFUNCTION("""COMPUTED_VALUE"""),"18A07")</f>
        <v/>
      </c>
      <c r="I29" s="55">
        <f>IFERROR(__xludf.DUMMYFUNCTION("""COMPUTED_VALUE"""),46207.0)</f>
        <v/>
      </c>
      <c r="J29" s="59">
        <f>IF(I29="","",MAX(0,TODAY()-I29))</f>
        <v/>
      </c>
      <c r="K29" s="11" t="n"/>
    </row>
    <row r="30" ht="15.75" customHeight="1" s="236">
      <c r="A30" s="57" t="n"/>
      <c r="B30" s="57" t="n"/>
      <c r="C30" s="55" t="n"/>
      <c r="D30" s="67">
        <f>IF(C30="","",MAX(0,TODAY()-C30))</f>
        <v/>
      </c>
      <c r="E30" s="53" t="n"/>
      <c r="F30" s="14" t="n"/>
      <c r="G30" s="55">
        <f>IFERROR(__xludf.DUMMYFUNCTION("""COMPUTED_VALUE"""),18.0)</f>
        <v/>
      </c>
      <c r="H30" s="57">
        <f>IFERROR(__xludf.DUMMYFUNCTION("""COMPUTED_VALUE"""),"18A08")</f>
        <v/>
      </c>
      <c r="I30" s="55">
        <f>IFERROR(__xludf.DUMMYFUNCTION("""COMPUTED_VALUE"""),46211.0)</f>
        <v/>
      </c>
      <c r="J30" s="59">
        <f>IF(I30="","",MAX(0,TODAY()-I30))</f>
        <v/>
      </c>
      <c r="K30" s="11" t="n"/>
    </row>
    <row r="31" ht="15.75" customHeight="1" s="236">
      <c r="A31" s="57" t="n"/>
      <c r="B31" s="57" t="n"/>
      <c r="C31" s="55" t="n"/>
      <c r="D31" s="67">
        <f>IF(C31="","",MAX(0,TODAY()-C31))</f>
        <v/>
      </c>
      <c r="E31" s="53" t="n"/>
      <c r="F31" s="14" t="n"/>
      <c r="G31" s="55">
        <f>IFERROR(__xludf.DUMMYFUNCTION("""COMPUTED_VALUE"""),18.0)</f>
        <v/>
      </c>
      <c r="H31" s="57">
        <f>IFERROR(__xludf.DUMMYFUNCTION("""COMPUTED_VALUE"""),"18A09")</f>
        <v/>
      </c>
      <c r="I31" s="55">
        <f>IFERROR(__xludf.DUMMYFUNCTION("""COMPUTED_VALUE"""),46211.0)</f>
        <v/>
      </c>
      <c r="J31" s="59">
        <f>IF(I31="","",MAX(0,TODAY()-I31))</f>
        <v/>
      </c>
      <c r="K31" s="11" t="n"/>
    </row>
    <row r="32" ht="15.75" customHeight="1" s="236">
      <c r="A32" s="57" t="n"/>
      <c r="B32" s="57" t="n"/>
      <c r="C32" s="55" t="n"/>
      <c r="D32" s="67">
        <f>IF(C32="","",MAX(0,TODAY()-C32))</f>
        <v/>
      </c>
      <c r="E32" s="53" t="n"/>
      <c r="F32" s="14" t="n"/>
      <c r="G32" s="55" t="n"/>
      <c r="H32" s="57" t="n"/>
      <c r="I32" s="55" t="n"/>
      <c r="J32" s="59">
        <f>IF(I32="","",MAX(0,TODAY()-I32))</f>
        <v/>
      </c>
      <c r="K32" s="11" t="n"/>
    </row>
    <row r="33" ht="15.75" customHeight="1" s="236">
      <c r="A33" s="57" t="n"/>
      <c r="B33" s="57" t="n"/>
      <c r="C33" s="55" t="n"/>
      <c r="D33" s="67">
        <f>IF(C33="","",MAX(0,TODAY()-C33))</f>
        <v/>
      </c>
      <c r="E33" s="53" t="n"/>
      <c r="F33" s="14" t="n"/>
      <c r="G33" s="55" t="n"/>
      <c r="H33" s="57" t="n"/>
      <c r="I33" s="55" t="n"/>
      <c r="J33" s="59">
        <f>IF(I33="","",MAX(0,TODAY()-I33))</f>
        <v/>
      </c>
      <c r="K33" s="11" t="n"/>
    </row>
    <row r="34" ht="15.75" customHeight="1" s="236">
      <c r="A34" s="57" t="n"/>
      <c r="B34" s="57" t="n"/>
      <c r="C34" s="55" t="n"/>
      <c r="D34" s="67">
        <f>IF(C34="","",MAX(0,TODAY()-C34))</f>
        <v/>
      </c>
      <c r="E34" s="53" t="n"/>
      <c r="F34" s="14" t="n"/>
      <c r="G34" s="55" t="n"/>
      <c r="H34" s="57" t="n"/>
      <c r="I34" s="55" t="n"/>
      <c r="J34" s="59">
        <f>IF(I34="","",MAX(0,TODAY()-I34))</f>
        <v/>
      </c>
      <c r="K34" s="11" t="n"/>
    </row>
    <row r="35" ht="15.75" customHeight="1" s="236">
      <c r="A35" s="57" t="n"/>
      <c r="B35" s="57" t="n"/>
      <c r="C35" s="55" t="n"/>
      <c r="D35" s="67">
        <f>IF(C35="","",MAX(0,TODAY()-C35))</f>
        <v/>
      </c>
      <c r="E35" s="53" t="n"/>
      <c r="F35" s="14" t="n"/>
      <c r="G35" s="55" t="n"/>
      <c r="H35" s="57" t="n"/>
      <c r="I35" s="55" t="n"/>
      <c r="J35" s="59">
        <f>IF(I35="","",MAX(0,TODAY()-I35))</f>
        <v/>
      </c>
      <c r="K35" s="11" t="n"/>
    </row>
    <row r="36" ht="15.75" customHeight="1" s="236">
      <c r="A36" s="57" t="n"/>
      <c r="B36" s="57" t="n"/>
      <c r="C36" s="55" t="n"/>
      <c r="D36" s="67">
        <f>IF(C36="","",MAX(0,TODAY()-C36))</f>
        <v/>
      </c>
      <c r="E36" s="53" t="n"/>
      <c r="F36" s="14" t="n"/>
      <c r="G36" s="55" t="n"/>
      <c r="H36" s="57" t="n"/>
      <c r="I36" s="55" t="n"/>
      <c r="J36" s="59">
        <f>IF(I36="","",MAX(0,TODAY()-I36))</f>
        <v/>
      </c>
      <c r="K36" s="11" t="n"/>
    </row>
    <row r="37" ht="15.75" customHeight="1" s="236">
      <c r="A37" s="57" t="n"/>
      <c r="B37" s="57" t="n"/>
      <c r="C37" s="55" t="n"/>
      <c r="D37" s="67">
        <f>IF(C37="","",MAX(0,TODAY()-C37))</f>
        <v/>
      </c>
      <c r="E37" s="53" t="n"/>
      <c r="F37" s="14" t="n"/>
      <c r="G37" s="55" t="n"/>
      <c r="H37" s="57" t="n"/>
      <c r="I37" s="55" t="n"/>
      <c r="J37" s="59">
        <f>IF(I37="","",MAX(0,TODAY()-I37))</f>
        <v/>
      </c>
      <c r="K37" s="11" t="n"/>
    </row>
    <row r="38" ht="15.75" customHeight="1" s="236">
      <c r="A38" s="57" t="n"/>
      <c r="B38" s="57" t="n"/>
      <c r="C38" s="55" t="n"/>
      <c r="D38" s="67">
        <f>IF(C38="","",MAX(0,TODAY()-C38))</f>
        <v/>
      </c>
      <c r="E38" s="53" t="n"/>
      <c r="F38" s="14" t="n"/>
      <c r="G38" s="55" t="n"/>
      <c r="H38" s="57" t="n"/>
      <c r="I38" s="55" t="n"/>
      <c r="J38" s="59">
        <f>IF(I38="","",MAX(0,TODAY()-I38))</f>
        <v/>
      </c>
      <c r="K38" s="11" t="n"/>
    </row>
    <row r="39" ht="15.75" customHeight="1" s="236">
      <c r="A39" s="57" t="n"/>
      <c r="B39" s="57" t="n"/>
      <c r="C39" s="55" t="n"/>
      <c r="D39" s="67">
        <f>IF(C39="","",MAX(0,TODAY()-C39))</f>
        <v/>
      </c>
      <c r="E39" s="53" t="n"/>
      <c r="F39" s="14" t="n"/>
      <c r="G39" s="55" t="n"/>
      <c r="H39" s="57" t="n"/>
      <c r="I39" s="55" t="n"/>
      <c r="J39" s="59">
        <f>IF(I39="","",MAX(0,TODAY()-I39))</f>
        <v/>
      </c>
      <c r="K39" s="11" t="n"/>
    </row>
    <row r="40" ht="15.75" customHeight="1" s="236">
      <c r="A40" s="57" t="n"/>
      <c r="B40" s="57" t="n"/>
      <c r="C40" s="55" t="n"/>
      <c r="D40" s="67">
        <f>IF(C40="","",MAX(0,TODAY()-C40))</f>
        <v/>
      </c>
      <c r="E40" s="53" t="n"/>
      <c r="F40" s="14" t="n"/>
      <c r="G40" s="55" t="n"/>
      <c r="H40" s="57" t="n"/>
      <c r="I40" s="55" t="n"/>
      <c r="J40" s="59">
        <f>IF(I40="","",MAX(0,TODAY()-I40))</f>
        <v/>
      </c>
      <c r="K40" s="11" t="n"/>
    </row>
    <row r="41" ht="15.75" customHeight="1" s="236">
      <c r="A41" s="57" t="n"/>
      <c r="B41" s="57" t="n"/>
      <c r="C41" s="55" t="n"/>
      <c r="D41" s="67">
        <f>IF(C41="","",MAX(0,TODAY()-C41))</f>
        <v/>
      </c>
      <c r="E41" s="53" t="n"/>
      <c r="F41" s="14" t="n"/>
      <c r="G41" s="55" t="n"/>
      <c r="H41" s="57" t="n"/>
      <c r="I41" s="55" t="n"/>
      <c r="J41" s="59">
        <f>IF(I41="","",MAX(0,TODAY()-I41))</f>
        <v/>
      </c>
      <c r="K41" s="11" t="n"/>
    </row>
    <row r="42" ht="15.75" customHeight="1" s="236">
      <c r="A42" s="57" t="n"/>
      <c r="B42" s="57" t="n"/>
      <c r="C42" s="55" t="n"/>
      <c r="D42" s="67">
        <f>IF(C42="","",MAX(0,TODAY()-C42))</f>
        <v/>
      </c>
      <c r="E42" s="53" t="n"/>
      <c r="F42" s="14" t="n"/>
      <c r="G42" s="55" t="n"/>
      <c r="H42" s="57" t="n"/>
      <c r="I42" s="55" t="n"/>
      <c r="J42" s="59">
        <f>IF(I42="","",MAX(0,TODAY()-I42))</f>
        <v/>
      </c>
      <c r="K42" s="11" t="n"/>
    </row>
    <row r="43" ht="15.75" customHeight="1" s="236">
      <c r="A43" s="57" t="n"/>
      <c r="B43" s="57" t="n"/>
      <c r="C43" s="55" t="n"/>
      <c r="D43" s="67">
        <f>IF(C43="","",MAX(0,TODAY()-C43))</f>
        <v/>
      </c>
      <c r="E43" s="53" t="n"/>
      <c r="F43" s="14" t="n"/>
      <c r="G43" s="55" t="n"/>
      <c r="H43" s="57" t="n"/>
      <c r="I43" s="55" t="n"/>
      <c r="J43" s="59">
        <f>IF(I43="","",MAX(0,TODAY()-I43))</f>
        <v/>
      </c>
      <c r="K43" s="11" t="n"/>
    </row>
    <row r="44" ht="15.75" customHeight="1" s="236">
      <c r="A44" s="57" t="n"/>
      <c r="B44" s="57" t="n"/>
      <c r="C44" s="55" t="n"/>
      <c r="D44" s="67">
        <f>IF(C44="","",MAX(0,TODAY()-C44))</f>
        <v/>
      </c>
      <c r="E44" s="53" t="n"/>
      <c r="F44" s="14" t="n"/>
      <c r="G44" s="55" t="n"/>
      <c r="H44" s="57" t="n"/>
      <c r="I44" s="55" t="n"/>
      <c r="J44" s="59">
        <f>IF(I44="","",MAX(0,TODAY()-I44))</f>
        <v/>
      </c>
      <c r="K44" s="11" t="n"/>
    </row>
    <row r="45" ht="15.75" customHeight="1" s="236">
      <c r="A45" s="57" t="n"/>
      <c r="B45" s="57" t="n"/>
      <c r="C45" s="55" t="n"/>
      <c r="D45" s="67">
        <f>IF(C45="","",MAX(0,TODAY()-C45))</f>
        <v/>
      </c>
      <c r="E45" s="53" t="n"/>
      <c r="F45" s="14" t="n"/>
      <c r="G45" s="55" t="n"/>
      <c r="H45" s="57" t="n"/>
      <c r="I45" s="55" t="n"/>
      <c r="J45" s="59">
        <f>IF(I45="","",MAX(0,TODAY()-I45))</f>
        <v/>
      </c>
      <c r="K45" s="11" t="n"/>
    </row>
    <row r="46" ht="15.75" customHeight="1" s="236">
      <c r="A46" s="57" t="n"/>
      <c r="B46" s="57" t="n"/>
      <c r="C46" s="55" t="n"/>
      <c r="D46" s="67">
        <f>IF(C46="","",MAX(0,TODAY()-C46))</f>
        <v/>
      </c>
      <c r="E46" s="53" t="n"/>
      <c r="F46" s="14" t="n"/>
      <c r="G46" s="55" t="n"/>
      <c r="H46" s="57" t="n"/>
      <c r="I46" s="55" t="n"/>
      <c r="J46" s="59">
        <f>IF(I46="","",MAX(0,TODAY()-I46))</f>
        <v/>
      </c>
      <c r="K46" s="11" t="n"/>
    </row>
    <row r="47" ht="15.75" customHeight="1" s="236">
      <c r="A47" s="57" t="n"/>
      <c r="B47" s="57" t="n"/>
      <c r="C47" s="55" t="n"/>
      <c r="D47" s="67">
        <f>IF(C47="","",MAX(0,TODAY()-C47))</f>
        <v/>
      </c>
      <c r="E47" s="53" t="n"/>
      <c r="F47" s="14" t="n"/>
      <c r="G47" s="55" t="n"/>
      <c r="H47" s="57" t="n"/>
      <c r="I47" s="55" t="n"/>
      <c r="J47" s="59">
        <f>IF(I47="","",MAX(0,TODAY()-I47))</f>
        <v/>
      </c>
      <c r="K47" s="11" t="n"/>
    </row>
    <row r="48" ht="15.75" customHeight="1" s="236">
      <c r="A48" s="57" t="n"/>
      <c r="B48" s="57" t="n"/>
      <c r="C48" s="55" t="n"/>
      <c r="D48" s="67">
        <f>IF(C48="","",MAX(0,TODAY()-C48))</f>
        <v/>
      </c>
      <c r="E48" s="53" t="n"/>
      <c r="F48" s="14" t="n"/>
      <c r="G48" s="55" t="n"/>
      <c r="H48" s="57" t="n"/>
      <c r="I48" s="55" t="n"/>
      <c r="J48" s="59">
        <f>IF(I48="","",MAX(0,TODAY()-I48))</f>
        <v/>
      </c>
      <c r="K48" s="11" t="n"/>
    </row>
    <row r="49" ht="15.75" customHeight="1" s="236">
      <c r="A49" s="57" t="n"/>
      <c r="B49" s="57" t="n"/>
      <c r="C49" s="55" t="n"/>
      <c r="D49" s="67">
        <f>IF(C49="","",MAX(0,TODAY()-C49))</f>
        <v/>
      </c>
      <c r="E49" s="53" t="n"/>
      <c r="F49" s="14" t="n"/>
      <c r="G49" s="55" t="n"/>
      <c r="H49" s="57" t="n"/>
      <c r="I49" s="55" t="n"/>
      <c r="J49" s="59">
        <f>IF(I49="","",MAX(0,TODAY()-I49))</f>
        <v/>
      </c>
      <c r="K49" s="11" t="n"/>
    </row>
    <row r="50" ht="15.75" customHeight="1" s="236">
      <c r="A50" s="57" t="n"/>
      <c r="B50" s="57" t="n"/>
      <c r="C50" s="55" t="n"/>
      <c r="D50" s="67">
        <f>IF(C50="","",MAX(0,TODAY()-C50))</f>
        <v/>
      </c>
      <c r="E50" s="53" t="n"/>
      <c r="F50" s="14" t="n"/>
      <c r="G50" s="55" t="n"/>
      <c r="H50" s="57" t="n"/>
      <c r="I50" s="55" t="n"/>
      <c r="J50" s="59">
        <f>IF(I50="","",MAX(0,TODAY()-I50))</f>
        <v/>
      </c>
      <c r="K50" s="11" t="n"/>
    </row>
    <row r="51" ht="15.75" customHeight="1" s="236">
      <c r="A51" s="57" t="n"/>
      <c r="B51" s="57" t="n"/>
      <c r="C51" s="55" t="n"/>
      <c r="D51" s="67">
        <f>IF(C51="","",MAX(0,TODAY()-C51))</f>
        <v/>
      </c>
      <c r="E51" s="53" t="n"/>
      <c r="F51" s="14" t="n"/>
      <c r="G51" s="55" t="n"/>
      <c r="H51" s="57" t="n"/>
      <c r="I51" s="55" t="n"/>
      <c r="J51" s="59">
        <f>IF(I51="","",MAX(0,TODAY()-I51))</f>
        <v/>
      </c>
      <c r="K51" s="11" t="n"/>
    </row>
    <row r="52" ht="15.75" customHeight="1" s="236">
      <c r="A52" s="57" t="n"/>
      <c r="B52" s="57" t="n"/>
      <c r="C52" s="55" t="n"/>
      <c r="D52" s="67">
        <f>IF(C52="","",MAX(0,TODAY()-C52))</f>
        <v/>
      </c>
      <c r="E52" s="53" t="n"/>
      <c r="F52" s="14" t="n"/>
      <c r="G52" s="55" t="n"/>
      <c r="H52" s="57" t="n"/>
      <c r="I52" s="55" t="n"/>
      <c r="J52" s="59">
        <f>IF(I52="","",MAX(0,TODAY()-I52))</f>
        <v/>
      </c>
      <c r="K52" s="11" t="n"/>
    </row>
    <row r="53" ht="15.75" customHeight="1" s="236">
      <c r="A53" s="57" t="n"/>
      <c r="B53" s="57" t="n"/>
      <c r="C53" s="55" t="n"/>
      <c r="D53" s="67">
        <f>IF(C53="","",MAX(0,TODAY()-C53))</f>
        <v/>
      </c>
      <c r="E53" s="53" t="n"/>
      <c r="F53" s="14" t="n"/>
      <c r="G53" s="55" t="n"/>
      <c r="H53" s="57" t="n"/>
      <c r="I53" s="55" t="n"/>
      <c r="J53" s="59">
        <f>IF(I53="","",MAX(0,TODAY()-I53))</f>
        <v/>
      </c>
      <c r="K53" s="11" t="n"/>
    </row>
    <row r="54" ht="15.75" customHeight="1" s="236">
      <c r="A54" s="57" t="n"/>
      <c r="B54" s="57" t="n"/>
      <c r="C54" s="55" t="n"/>
      <c r="D54" s="67">
        <f>IF(C54="","",MAX(0,TODAY()-C54))</f>
        <v/>
      </c>
      <c r="E54" s="53" t="n"/>
      <c r="F54" s="14" t="n"/>
      <c r="G54" s="55" t="n"/>
      <c r="H54" s="57" t="n"/>
      <c r="I54" s="55" t="n"/>
      <c r="J54" s="59">
        <f>IF(I54="","",MAX(0,TODAY()-I54))</f>
        <v/>
      </c>
      <c r="K54" s="11" t="n"/>
    </row>
    <row r="55" ht="15.75" customHeight="1" s="236">
      <c r="A55" s="57" t="n"/>
      <c r="B55" s="57" t="n"/>
      <c r="C55" s="55" t="n"/>
      <c r="D55" s="67">
        <f>IF(C55="","",MAX(0,TODAY()-C55))</f>
        <v/>
      </c>
      <c r="E55" s="53" t="n"/>
      <c r="F55" s="14" t="n"/>
      <c r="G55" s="55" t="n"/>
      <c r="H55" s="57" t="n"/>
      <c r="I55" s="55" t="n"/>
      <c r="J55" s="59">
        <f>IF(I55="","",MAX(0,TODAY()-I55))</f>
        <v/>
      </c>
      <c r="K55" s="11" t="n"/>
    </row>
    <row r="56" ht="15.75" customHeight="1" s="236">
      <c r="A56" s="57" t="n"/>
      <c r="B56" s="57" t="n"/>
      <c r="C56" s="55" t="n"/>
      <c r="D56" s="67">
        <f>IF(C56="","",MAX(0,TODAY()-C56))</f>
        <v/>
      </c>
      <c r="E56" s="53" t="n"/>
      <c r="F56" s="14" t="n"/>
      <c r="G56" s="55" t="n"/>
      <c r="H56" s="57" t="n"/>
      <c r="I56" s="55" t="n"/>
      <c r="J56" s="59">
        <f>IF(I56="","",MAX(0,TODAY()-I56))</f>
        <v/>
      </c>
      <c r="K56" s="11" t="n"/>
    </row>
    <row r="57" ht="15.75" customHeight="1" s="236">
      <c r="A57" s="57" t="n"/>
      <c r="B57" s="57" t="n"/>
      <c r="C57" s="55" t="n"/>
      <c r="D57" s="67">
        <f>IF(C57="","",MAX(0,TODAY()-C57))</f>
        <v/>
      </c>
      <c r="E57" s="53" t="n"/>
      <c r="F57" s="14" t="n"/>
      <c r="G57" s="55" t="n"/>
      <c r="H57" s="57" t="n"/>
      <c r="I57" s="55" t="n"/>
      <c r="J57" s="59">
        <f>IF(I57="","",MAX(0,TODAY()-I57))</f>
        <v/>
      </c>
      <c r="K57" s="11" t="n"/>
    </row>
    <row r="58" ht="15.75" customHeight="1" s="236">
      <c r="A58" s="57" t="n"/>
      <c r="B58" s="57" t="n"/>
      <c r="C58" s="55" t="n"/>
      <c r="D58" s="67">
        <f>IF(C58="","",MAX(0,TODAY()-C58))</f>
        <v/>
      </c>
      <c r="E58" s="53" t="n"/>
      <c r="F58" s="14" t="n"/>
      <c r="G58" s="55" t="n"/>
      <c r="H58" s="57" t="n"/>
      <c r="I58" s="55" t="n"/>
      <c r="J58" s="59">
        <f>IF(I58="","",MAX(0,TODAY()-I58))</f>
        <v/>
      </c>
      <c r="K58" s="11" t="n"/>
    </row>
    <row r="59" ht="15.75" customHeight="1" s="236">
      <c r="A59" s="14" t="n"/>
      <c r="B59" s="14" t="n"/>
      <c r="C59" s="17" t="n"/>
      <c r="D59" s="68">
        <f>IF(C59="","",MAX(0,TODAY()-C59))</f>
        <v/>
      </c>
      <c r="E59" s="14" t="n"/>
      <c r="F59" s="14" t="n"/>
      <c r="G59" s="17" t="n"/>
      <c r="H59" s="14" t="n"/>
      <c r="I59" s="17" t="n"/>
      <c r="J59" s="68">
        <f>IF(I59="","",MAX(0,TODAY()-I59))</f>
        <v/>
      </c>
      <c r="K59" s="11" t="n"/>
    </row>
    <row r="60" ht="15.75" customHeight="1" s="236">
      <c r="A60" s="14" t="n"/>
      <c r="B60" s="14" t="n"/>
      <c r="C60" s="17" t="n"/>
      <c r="D60" s="68">
        <f>IF(C60="","",MAX(0,TODAY()-C60))</f>
        <v/>
      </c>
      <c r="E60" s="14" t="n"/>
      <c r="F60" s="14" t="n"/>
      <c r="G60" s="17" t="n"/>
      <c r="H60" s="14" t="n"/>
      <c r="I60" s="17" t="n"/>
      <c r="J60" s="68">
        <f>IF(I60="","",MAX(0,TODAY()-I60))</f>
        <v/>
      </c>
      <c r="K60" s="11" t="n"/>
    </row>
    <row r="61" ht="15.75" customHeight="1" s="236">
      <c r="A61" s="14" t="n"/>
      <c r="B61" s="14" t="n"/>
      <c r="C61" s="17" t="n"/>
      <c r="D61" s="68">
        <f>IF(C61="","",MAX(0,TODAY()-C61))</f>
        <v/>
      </c>
      <c r="E61" s="14" t="n"/>
      <c r="F61" s="14" t="n"/>
      <c r="G61" s="17" t="n"/>
      <c r="H61" s="14" t="n"/>
      <c r="I61" s="17" t="n"/>
      <c r="J61" s="68">
        <f>IF(I61="","",MAX(0,TODAY()-I61))</f>
        <v/>
      </c>
      <c r="K61" s="11" t="n"/>
    </row>
    <row r="62" ht="15.75" customHeight="1" s="236">
      <c r="A62" s="14" t="n"/>
      <c r="B62" s="14" t="n"/>
      <c r="C62" s="17" t="n"/>
      <c r="D62" s="68">
        <f>IF(C62="","",MAX(0,TODAY()-C62))</f>
        <v/>
      </c>
      <c r="E62" s="14" t="n"/>
      <c r="F62" s="14" t="n"/>
      <c r="G62" s="17" t="n"/>
      <c r="H62" s="14" t="n"/>
      <c r="I62" s="17" t="n"/>
      <c r="J62" s="68">
        <f>IF(I62="","",MAX(0,TODAY()-I62))</f>
        <v/>
      </c>
      <c r="K62" s="11" t="n"/>
    </row>
    <row r="63" ht="15.75" customHeight="1" s="236">
      <c r="A63" s="14" t="n"/>
      <c r="B63" s="14" t="n"/>
      <c r="C63" s="17" t="n"/>
      <c r="D63" s="68">
        <f>IF(C63="","",MAX(0,TODAY()-C63))</f>
        <v/>
      </c>
      <c r="E63" s="14" t="n"/>
      <c r="F63" s="14" t="n"/>
      <c r="G63" s="17" t="n"/>
      <c r="H63" s="14" t="n"/>
      <c r="I63" s="17" t="n"/>
      <c r="J63" s="68">
        <f>IF(I63="","",MAX(0,TODAY()-I63))</f>
        <v/>
      </c>
      <c r="K63" s="11" t="n"/>
    </row>
    <row r="64" ht="15.75" customHeight="1" s="236">
      <c r="A64" s="14" t="n"/>
      <c r="B64" s="14" t="n"/>
      <c r="C64" s="17" t="n"/>
      <c r="D64" s="68">
        <f>IF(C64="","",MAX(0,TODAY()-C64))</f>
        <v/>
      </c>
      <c r="E64" s="14" t="n"/>
      <c r="F64" s="14" t="n"/>
      <c r="G64" s="17" t="n"/>
      <c r="H64" s="14" t="n"/>
      <c r="I64" s="17" t="n"/>
      <c r="J64" s="68">
        <f>IF(I64="","",MAX(0,TODAY()-I64))</f>
        <v/>
      </c>
      <c r="K64" s="11" t="n"/>
    </row>
    <row r="65" ht="15.75" customHeight="1" s="236">
      <c r="A65" s="14" t="n"/>
      <c r="B65" s="14" t="n"/>
      <c r="C65" s="17" t="n"/>
      <c r="D65" s="68">
        <f>IF(C65="","",MAX(0,TODAY()-C65))</f>
        <v/>
      </c>
      <c r="E65" s="14" t="n"/>
      <c r="F65" s="14" t="n"/>
      <c r="G65" s="17" t="n"/>
      <c r="H65" s="14" t="n"/>
      <c r="I65" s="17" t="n"/>
      <c r="J65" s="68">
        <f>IF(I65="","",MAX(0,TODAY()-I65))</f>
        <v/>
      </c>
      <c r="K65" s="11" t="n"/>
    </row>
    <row r="66" ht="15.75" customHeight="1" s="236">
      <c r="A66" s="14" t="n"/>
      <c r="B66" s="14" t="n"/>
      <c r="C66" s="17" t="n"/>
      <c r="D66" s="68">
        <f>IF(C66="","",MAX(0,TODAY()-C66))</f>
        <v/>
      </c>
      <c r="E66" s="14" t="n"/>
      <c r="F66" s="14" t="n"/>
      <c r="G66" s="17" t="n"/>
      <c r="H66" s="14" t="n"/>
      <c r="I66" s="17" t="n"/>
      <c r="J66" s="68">
        <f>IF(I66="","",MAX(0,TODAY()-I66))</f>
        <v/>
      </c>
      <c r="K66" s="11" t="n"/>
    </row>
    <row r="67" ht="15.75" customHeight="1" s="236">
      <c r="A67" s="14" t="n"/>
      <c r="B67" s="14" t="n"/>
      <c r="C67" s="17" t="n"/>
      <c r="D67" s="68">
        <f>IF(C67="","",MAX(0,TODAY()-C67))</f>
        <v/>
      </c>
      <c r="E67" s="14" t="n"/>
      <c r="F67" s="14" t="n"/>
      <c r="G67" s="17" t="n"/>
      <c r="H67" s="14" t="n"/>
      <c r="I67" s="17" t="n"/>
      <c r="J67" s="68">
        <f>IF(I67="","",MAX(0,TODAY()-I67))</f>
        <v/>
      </c>
      <c r="K67" s="11" t="n"/>
    </row>
    <row r="68" ht="15.75" customHeight="1" s="236">
      <c r="A68" s="14" t="n"/>
      <c r="B68" s="14" t="n"/>
      <c r="C68" s="17" t="n"/>
      <c r="D68" s="68">
        <f>IF(C68="","",MAX(0,TODAY()-C68))</f>
        <v/>
      </c>
      <c r="E68" s="14" t="n"/>
      <c r="F68" s="14" t="n"/>
      <c r="G68" s="17" t="n"/>
      <c r="H68" s="14" t="n"/>
      <c r="I68" s="17" t="n"/>
      <c r="J68" s="68">
        <f>IF(I68="","",MAX(0,TODAY()-I68))</f>
        <v/>
      </c>
      <c r="K68" s="11" t="n"/>
    </row>
    <row r="69" ht="15.75" customHeight="1" s="236">
      <c r="A69" s="14" t="n"/>
      <c r="B69" s="14" t="n"/>
      <c r="C69" s="17" t="n"/>
      <c r="D69" s="68">
        <f>IF(C69="","",MAX(0,TODAY()-C69))</f>
        <v/>
      </c>
      <c r="E69" s="14" t="n"/>
      <c r="F69" s="14" t="n"/>
      <c r="G69" s="17" t="n"/>
      <c r="H69" s="14" t="n"/>
      <c r="I69" s="17" t="n"/>
      <c r="J69" s="68">
        <f>IF(I69="","",MAX(0,TODAY()-I69))</f>
        <v/>
      </c>
      <c r="K69" s="11" t="n"/>
    </row>
    <row r="70" ht="15.75" customHeight="1" s="236">
      <c r="A70" s="14" t="n"/>
      <c r="B70" s="14" t="n"/>
      <c r="C70" s="17" t="n"/>
      <c r="D70" s="68">
        <f>IF(C70="","",MAX(0,TODAY()-C70))</f>
        <v/>
      </c>
      <c r="E70" s="14" t="n"/>
      <c r="F70" s="14" t="n"/>
      <c r="G70" s="17" t="n"/>
      <c r="H70" s="14" t="n"/>
      <c r="I70" s="17" t="n"/>
      <c r="J70" s="68">
        <f>IF(I70="","",MAX(0,TODAY()-I70))</f>
        <v/>
      </c>
      <c r="K70" s="11" t="n"/>
    </row>
    <row r="71" ht="15.75" customHeight="1" s="236">
      <c r="A71" s="14" t="n"/>
      <c r="B71" s="14" t="n"/>
      <c r="C71" s="17" t="n"/>
      <c r="D71" s="68">
        <f>IF(C71="","",MAX(0,TODAY()-C71))</f>
        <v/>
      </c>
      <c r="E71" s="14" t="n"/>
      <c r="F71" s="14" t="n"/>
      <c r="G71" s="17" t="n"/>
      <c r="H71" s="14" t="n"/>
      <c r="I71" s="17" t="n"/>
      <c r="J71" s="68">
        <f>IF(I71="","",MAX(0,TODAY()-I71))</f>
        <v/>
      </c>
      <c r="K71" s="11" t="n"/>
    </row>
    <row r="72" ht="15.75" customHeight="1" s="236">
      <c r="A72" s="14" t="n"/>
      <c r="B72" s="14" t="n"/>
      <c r="C72" s="17" t="n"/>
      <c r="D72" s="68">
        <f>IF(C72="","",MAX(0,TODAY()-C72))</f>
        <v/>
      </c>
      <c r="E72" s="14" t="n"/>
      <c r="F72" s="14" t="n"/>
      <c r="G72" s="17" t="n"/>
      <c r="H72" s="14" t="n"/>
      <c r="I72" s="17" t="n"/>
      <c r="J72" s="68">
        <f>IF(I72="","",MAX(0,TODAY()-I72))</f>
        <v/>
      </c>
      <c r="K72" s="11" t="n"/>
    </row>
    <row r="73" ht="15.75" customHeight="1" s="236">
      <c r="A73" s="14" t="n"/>
      <c r="B73" s="14" t="n"/>
      <c r="C73" s="17" t="n"/>
      <c r="D73" s="68">
        <f>IF(C73="","",MAX(0,TODAY()-C73))</f>
        <v/>
      </c>
      <c r="E73" s="14" t="n"/>
      <c r="F73" s="14" t="n"/>
      <c r="G73" s="17" t="n"/>
      <c r="H73" s="14" t="n"/>
      <c r="I73" s="17" t="n"/>
      <c r="J73" s="68">
        <f>IF(I73="","",MAX(0,TODAY()-I73))</f>
        <v/>
      </c>
      <c r="K73" s="11" t="n"/>
    </row>
    <row r="74" ht="15.75" customHeight="1" s="236">
      <c r="A74" s="14" t="n"/>
      <c r="B74" s="14" t="n"/>
      <c r="C74" s="17" t="n"/>
      <c r="D74" s="68">
        <f>IF(C74="","",MAX(0,TODAY()-C74))</f>
        <v/>
      </c>
      <c r="E74" s="14" t="n"/>
      <c r="F74" s="14" t="n"/>
      <c r="G74" s="17" t="n"/>
      <c r="H74" s="14" t="n"/>
      <c r="I74" s="17" t="n"/>
      <c r="J74" s="68">
        <f>IF(I74="","",MAX(0,TODAY()-I74))</f>
        <v/>
      </c>
      <c r="K74" s="11" t="n"/>
    </row>
    <row r="75" ht="15.75" customHeight="1" s="236">
      <c r="A75" s="14" t="n"/>
      <c r="B75" s="14" t="n"/>
      <c r="C75" s="17" t="n"/>
      <c r="D75" s="68">
        <f>IF(C75="","",MAX(0,TODAY()-C75))</f>
        <v/>
      </c>
      <c r="E75" s="14" t="n"/>
      <c r="F75" s="14" t="n"/>
      <c r="G75" s="17" t="n"/>
      <c r="H75" s="14" t="n"/>
      <c r="I75" s="17" t="n"/>
      <c r="J75" s="68">
        <f>IF(I75="","",MAX(0,TODAY()-I75))</f>
        <v/>
      </c>
      <c r="K75" s="11" t="n"/>
    </row>
    <row r="76" ht="15.75" customHeight="1" s="236">
      <c r="A76" s="14" t="n"/>
      <c r="B76" s="14" t="n"/>
      <c r="C76" s="17" t="n"/>
      <c r="D76" s="68">
        <f>IF(C76="","",MAX(0,TODAY()-C76))</f>
        <v/>
      </c>
      <c r="E76" s="14" t="n"/>
      <c r="F76" s="14" t="n"/>
      <c r="G76" s="17" t="n"/>
      <c r="H76" s="14" t="n"/>
      <c r="I76" s="17" t="n"/>
      <c r="J76" s="68">
        <f>IF(I76="","",MAX(0,TODAY()-I76))</f>
        <v/>
      </c>
      <c r="K76" s="11" t="n"/>
    </row>
    <row r="77" ht="15.75" customHeight="1" s="236">
      <c r="A77" s="14" t="n"/>
      <c r="B77" s="14" t="n"/>
      <c r="C77" s="17" t="n"/>
      <c r="D77" s="68">
        <f>IF(C77="","",MAX(0,TODAY()-C77))</f>
        <v/>
      </c>
      <c r="E77" s="14" t="n"/>
      <c r="F77" s="14" t="n"/>
      <c r="G77" s="17" t="n"/>
      <c r="H77" s="14" t="n"/>
      <c r="I77" s="17" t="n"/>
      <c r="J77" s="68">
        <f>IF(I77="","",MAX(0,TODAY()-I77))</f>
        <v/>
      </c>
      <c r="K77" s="11" t="n"/>
    </row>
    <row r="78" ht="15.75" customHeight="1" s="236">
      <c r="A78" s="14" t="n"/>
      <c r="B78" s="14" t="n"/>
      <c r="C78" s="17" t="n"/>
      <c r="D78" s="68">
        <f>IF(C78="","",MAX(0,TODAY()-C78))</f>
        <v/>
      </c>
      <c r="E78" s="14" t="n"/>
      <c r="F78" s="14" t="n"/>
      <c r="G78" s="17" t="n"/>
      <c r="H78" s="14" t="n"/>
      <c r="I78" s="17" t="n"/>
      <c r="J78" s="68">
        <f>IF(I78="","",MAX(0,TODAY()-I78))</f>
        <v/>
      </c>
      <c r="K78" s="11" t="n"/>
    </row>
    <row r="79" ht="15.75" customHeight="1" s="236">
      <c r="A79" s="14" t="n"/>
      <c r="B79" s="14" t="n"/>
      <c r="C79" s="17" t="n"/>
      <c r="D79" s="68">
        <f>IF(C79="","",MAX(0,TODAY()-C79))</f>
        <v/>
      </c>
      <c r="E79" s="14" t="n"/>
      <c r="F79" s="14" t="n"/>
      <c r="G79" s="17" t="n"/>
      <c r="H79" s="14" t="n"/>
      <c r="I79" s="17" t="n"/>
      <c r="J79" s="68">
        <f>IF(I79="","",MAX(0,TODAY()-I79))</f>
        <v/>
      </c>
      <c r="K79" s="11" t="n"/>
    </row>
    <row r="80" ht="15.75" customHeight="1" s="236">
      <c r="A80" s="14" t="n"/>
      <c r="B80" s="14" t="n"/>
      <c r="C80" s="17" t="n"/>
      <c r="D80" s="68">
        <f>IF(C80="","",MAX(0,TODAY()-C80))</f>
        <v/>
      </c>
      <c r="E80" s="14" t="n"/>
      <c r="F80" s="14" t="n"/>
      <c r="G80" s="17" t="n"/>
      <c r="H80" s="14" t="n"/>
      <c r="I80" s="17" t="n"/>
      <c r="J80" s="68">
        <f>IF(I80="","",MAX(0,TODAY()-I80))</f>
        <v/>
      </c>
      <c r="K80" s="11" t="n"/>
    </row>
    <row r="81" ht="15.75" customHeight="1" s="236">
      <c r="A81" s="14" t="n"/>
      <c r="B81" s="14" t="n"/>
      <c r="C81" s="17" t="n"/>
      <c r="D81" s="68">
        <f>IF(C81="","",MAX(0,TODAY()-C81))</f>
        <v/>
      </c>
      <c r="E81" s="14" t="n"/>
      <c r="F81" s="14" t="n"/>
      <c r="G81" s="17" t="n"/>
      <c r="H81" s="14" t="n"/>
      <c r="I81" s="17" t="n"/>
      <c r="J81" s="68">
        <f>IF(I81="","",MAX(0,TODAY()-I81))</f>
        <v/>
      </c>
      <c r="K81" s="11" t="n"/>
    </row>
    <row r="82" ht="15.75" customHeight="1" s="236">
      <c r="A82" s="14" t="n"/>
      <c r="B82" s="14" t="n"/>
      <c r="C82" s="17" t="n"/>
      <c r="D82" s="68">
        <f>IF(C82="","",MAX(0,TODAY()-C82))</f>
        <v/>
      </c>
      <c r="E82" s="14" t="n"/>
      <c r="F82" s="14" t="n"/>
      <c r="G82" s="17" t="n"/>
      <c r="H82" s="14" t="n"/>
      <c r="I82" s="17" t="n"/>
      <c r="J82" s="68">
        <f>IF(I82="","",MAX(0,TODAY()-I82))</f>
        <v/>
      </c>
      <c r="K82" s="11" t="n"/>
    </row>
    <row r="83" ht="15.75" customHeight="1" s="236">
      <c r="A83" s="14" t="n"/>
      <c r="B83" s="14" t="n"/>
      <c r="C83" s="17" t="n"/>
      <c r="D83" s="68">
        <f>IF(C83="","",MAX(0,TODAY()-C83))</f>
        <v/>
      </c>
      <c r="E83" s="14" t="n"/>
      <c r="F83" s="14" t="n"/>
      <c r="G83" s="17" t="n"/>
      <c r="H83" s="14" t="n"/>
      <c r="I83" s="17" t="n"/>
      <c r="J83" s="68">
        <f>IF(I83="","",MAX(0,TODAY()-I83))</f>
        <v/>
      </c>
      <c r="K83" s="11" t="n"/>
    </row>
    <row r="84" ht="15.75" customHeight="1" s="236">
      <c r="A84" s="14" t="n"/>
      <c r="B84" s="14" t="n"/>
      <c r="C84" s="17" t="n"/>
      <c r="D84" s="68">
        <f>IF(C84="","",MAX(0,TODAY()-C84))</f>
        <v/>
      </c>
      <c r="E84" s="14" t="n"/>
      <c r="F84" s="14" t="n"/>
      <c r="G84" s="17" t="n"/>
      <c r="H84" s="14" t="n"/>
      <c r="I84" s="17" t="n"/>
      <c r="J84" s="68">
        <f>IF(I84="","",MAX(0,TODAY()-I84))</f>
        <v/>
      </c>
      <c r="K84" s="11" t="n"/>
    </row>
    <row r="85" ht="15.75" customHeight="1" s="236">
      <c r="A85" s="14" t="n"/>
      <c r="B85" s="14" t="n"/>
      <c r="C85" s="17" t="n"/>
      <c r="D85" s="68">
        <f>IF(C85="","",MAX(0,TODAY()-C85))</f>
        <v/>
      </c>
      <c r="E85" s="14" t="n"/>
      <c r="F85" s="14" t="n"/>
      <c r="G85" s="17" t="n"/>
      <c r="H85" s="14" t="n"/>
      <c r="I85" s="17" t="n"/>
      <c r="J85" s="68">
        <f>IF(I85="","",MAX(0,TODAY()-I85))</f>
        <v/>
      </c>
      <c r="K85" s="11" t="n"/>
    </row>
    <row r="86" ht="15.75" customHeight="1" s="236">
      <c r="A86" s="14" t="n"/>
      <c r="B86" s="14" t="n"/>
      <c r="C86" s="17" t="n"/>
      <c r="D86" s="68">
        <f>IF(C86="","",MAX(0,TODAY()-C86))</f>
        <v/>
      </c>
      <c r="E86" s="14" t="n"/>
      <c r="F86" s="14" t="n"/>
      <c r="G86" s="17" t="n"/>
      <c r="H86" s="14" t="n"/>
      <c r="I86" s="17" t="n"/>
      <c r="J86" s="68">
        <f>IF(I86="","",MAX(0,TODAY()-I86))</f>
        <v/>
      </c>
      <c r="K86" s="11" t="n"/>
    </row>
    <row r="87" ht="15.75" customHeight="1" s="236">
      <c r="A87" s="14" t="n"/>
      <c r="B87" s="14" t="n"/>
      <c r="C87" s="17" t="n"/>
      <c r="D87" s="68">
        <f>IF(C87="","",MAX(0,TODAY()-C87))</f>
        <v/>
      </c>
      <c r="E87" s="14" t="n"/>
      <c r="F87" s="14" t="n"/>
      <c r="G87" s="17" t="n"/>
      <c r="H87" s="14" t="n"/>
      <c r="I87" s="17" t="n"/>
      <c r="J87" s="68">
        <f>IF(I87="","",MAX(0,TODAY()-I87))</f>
        <v/>
      </c>
      <c r="K87" s="11" t="n"/>
    </row>
    <row r="88" ht="15.75" customHeight="1" s="236">
      <c r="A88" s="14" t="n"/>
      <c r="B88" s="14" t="n"/>
      <c r="C88" s="17" t="n"/>
      <c r="D88" s="68">
        <f>IF(C88="","",MAX(0,TODAY()-C88))</f>
        <v/>
      </c>
      <c r="E88" s="14" t="n"/>
      <c r="F88" s="14" t="n"/>
      <c r="G88" s="17" t="n"/>
      <c r="H88" s="14" t="n"/>
      <c r="I88" s="17" t="n"/>
      <c r="J88" s="68">
        <f>IF(I88="","",MAX(0,TODAY()-I88))</f>
        <v/>
      </c>
      <c r="K88" s="11" t="n"/>
    </row>
    <row r="89" ht="15.75" customHeight="1" s="236">
      <c r="A89" s="14" t="n"/>
      <c r="B89" s="14" t="n"/>
      <c r="C89" s="17" t="n"/>
      <c r="D89" s="68">
        <f>IF(C89="","",MAX(0,TODAY()-C89))</f>
        <v/>
      </c>
      <c r="E89" s="14" t="n"/>
      <c r="F89" s="14" t="n"/>
      <c r="G89" s="17" t="n"/>
      <c r="H89" s="14" t="n"/>
      <c r="I89" s="17" t="n"/>
      <c r="J89" s="68">
        <f>IF(I89="","",MAX(0,TODAY()-I89))</f>
        <v/>
      </c>
      <c r="K89" s="11" t="n"/>
    </row>
    <row r="90" ht="15.75" customHeight="1" s="236">
      <c r="A90" s="14" t="n"/>
      <c r="B90" s="14" t="n"/>
      <c r="C90" s="17" t="n"/>
      <c r="D90" s="68">
        <f>IF(C90="","",MAX(0,TODAY()-C90))</f>
        <v/>
      </c>
      <c r="E90" s="14" t="n"/>
      <c r="F90" s="14" t="n"/>
      <c r="G90" s="17" t="n"/>
      <c r="H90" s="14" t="n"/>
      <c r="I90" s="17" t="n"/>
      <c r="J90" s="68">
        <f>IF(I90="","",MAX(0,TODAY()-I90))</f>
        <v/>
      </c>
      <c r="K90" s="11" t="n"/>
    </row>
    <row r="91" ht="15.75" customHeight="1" s="236">
      <c r="A91" s="14" t="n"/>
      <c r="B91" s="14" t="n"/>
      <c r="C91" s="17" t="n"/>
      <c r="D91" s="68">
        <f>IF(C91="","",MAX(0,TODAY()-C91))</f>
        <v/>
      </c>
      <c r="E91" s="14" t="n"/>
      <c r="F91" s="14" t="n"/>
      <c r="G91" s="17" t="n"/>
      <c r="H91" s="14" t="n"/>
      <c r="I91" s="17" t="n"/>
      <c r="J91" s="68">
        <f>IF(I91="","",MAX(0,TODAY()-I91))</f>
        <v/>
      </c>
      <c r="K91" s="11" t="n"/>
    </row>
    <row r="92" ht="15.75" customHeight="1" s="236">
      <c r="A92" s="14" t="n"/>
      <c r="B92" s="14" t="n"/>
      <c r="C92" s="17" t="n"/>
      <c r="D92" s="68">
        <f>IF(C92="","",MAX(0,TODAY()-C92))</f>
        <v/>
      </c>
      <c r="E92" s="14" t="n"/>
      <c r="F92" s="14" t="n"/>
      <c r="G92" s="17" t="n"/>
      <c r="H92" s="14" t="n"/>
      <c r="I92" s="17" t="n"/>
      <c r="J92" s="68">
        <f>IF(I92="","",MAX(0,TODAY()-I92))</f>
        <v/>
      </c>
      <c r="K92" s="11" t="n"/>
    </row>
    <row r="93" ht="15.75" customHeight="1" s="236">
      <c r="A93" s="14" t="n"/>
      <c r="B93" s="14" t="n"/>
      <c r="C93" s="17" t="n"/>
      <c r="D93" s="68">
        <f>IF(C93="","",MAX(0,TODAY()-C93))</f>
        <v/>
      </c>
      <c r="E93" s="14" t="n"/>
      <c r="F93" s="14" t="n"/>
      <c r="G93" s="17" t="n"/>
      <c r="H93" s="14" t="n"/>
      <c r="I93" s="17" t="n"/>
      <c r="J93" s="68">
        <f>IF(I93="","",MAX(0,TODAY()-I93))</f>
        <v/>
      </c>
      <c r="K93" s="11" t="n"/>
    </row>
    <row r="94" ht="15.75" customHeight="1" s="236">
      <c r="A94" s="14" t="n"/>
      <c r="B94" s="14" t="n"/>
      <c r="C94" s="17" t="n"/>
      <c r="D94" s="68">
        <f>IF(C94="","",MAX(0,TODAY()-C94))</f>
        <v/>
      </c>
      <c r="E94" s="14" t="n"/>
      <c r="F94" s="14" t="n"/>
      <c r="G94" s="17" t="n"/>
      <c r="H94" s="14" t="n"/>
      <c r="I94" s="17" t="n"/>
      <c r="J94" s="68">
        <f>IF(I94="","",MAX(0,TODAY()-I94))</f>
        <v/>
      </c>
      <c r="K94" s="11" t="n"/>
    </row>
    <row r="95" ht="15.75" customHeight="1" s="236">
      <c r="A95" s="14" t="n"/>
      <c r="B95" s="14" t="n"/>
      <c r="C95" s="17" t="n"/>
      <c r="D95" s="68">
        <f>IF(C95="","",MAX(0,TODAY()-C95))</f>
        <v/>
      </c>
      <c r="E95" s="14" t="n"/>
      <c r="F95" s="14" t="n"/>
      <c r="G95" s="17" t="n"/>
      <c r="H95" s="14" t="n"/>
      <c r="I95" s="17" t="n"/>
      <c r="J95" s="68">
        <f>IF(I95="","",MAX(0,TODAY()-I95))</f>
        <v/>
      </c>
      <c r="K95" s="11" t="n"/>
    </row>
    <row r="96" ht="15.75" customHeight="1" s="236">
      <c r="A96" s="14" t="n"/>
      <c r="B96" s="14" t="n"/>
      <c r="C96" s="17" t="n"/>
      <c r="D96" s="68">
        <f>IF(C96="","",MAX(0,TODAY()-C96))</f>
        <v/>
      </c>
      <c r="E96" s="14" t="n"/>
      <c r="F96" s="14" t="n"/>
      <c r="G96" s="17" t="n"/>
      <c r="H96" s="14" t="n"/>
      <c r="I96" s="17" t="n"/>
      <c r="J96" s="68">
        <f>IF(I96="","",MAX(0,TODAY()-I96))</f>
        <v/>
      </c>
      <c r="K96" s="11" t="n"/>
    </row>
    <row r="97" ht="15.75" customHeight="1" s="236">
      <c r="A97" s="14" t="n"/>
      <c r="B97" s="14" t="n"/>
      <c r="C97" s="17" t="n"/>
      <c r="D97" s="68">
        <f>IF(C97="","",MAX(0,TODAY()-C97))</f>
        <v/>
      </c>
      <c r="E97" s="14" t="n"/>
      <c r="F97" s="14" t="n"/>
      <c r="G97" s="17" t="n"/>
      <c r="H97" s="14" t="n"/>
      <c r="I97" s="17" t="n"/>
      <c r="J97" s="68">
        <f>IF(I97="","",MAX(0,TODAY()-I97))</f>
        <v/>
      </c>
      <c r="K97" s="11" t="n"/>
    </row>
    <row r="98" ht="15.75" customHeight="1" s="236">
      <c r="A98" s="14" t="n"/>
      <c r="B98" s="14" t="n"/>
      <c r="C98" s="17" t="n"/>
      <c r="D98" s="68">
        <f>IF(C98="","",MAX(0,TODAY()-C98))</f>
        <v/>
      </c>
      <c r="E98" s="14" t="n"/>
      <c r="F98" s="14" t="n"/>
      <c r="G98" s="17" t="n"/>
      <c r="H98" s="14" t="n"/>
      <c r="I98" s="17" t="n"/>
      <c r="J98" s="68">
        <f>IF(I98="","",MAX(0,TODAY()-I98))</f>
        <v/>
      </c>
      <c r="K98" s="11" t="n"/>
    </row>
    <row r="99" ht="15.75" customHeight="1" s="236">
      <c r="A99" s="14" t="n"/>
      <c r="B99" s="14" t="n"/>
      <c r="C99" s="17" t="n"/>
      <c r="D99" s="68">
        <f>IF(C99="","",MAX(0,TODAY()-C99))</f>
        <v/>
      </c>
      <c r="E99" s="14" t="n"/>
      <c r="F99" s="14" t="n"/>
      <c r="G99" s="17" t="n"/>
      <c r="H99" s="14" t="n"/>
      <c r="I99" s="17" t="n"/>
      <c r="J99" s="68">
        <f>IF(I99="","",MAX(0,TODAY()-I99))</f>
        <v/>
      </c>
      <c r="K99" s="11" t="n"/>
    </row>
    <row r="100" ht="15.75" customHeight="1" s="236">
      <c r="A100" s="14">
        <f t="array" ref="A100">IFERROR(INDEX('Master Stock'!$C$2:$C$99,MATCH(ROWS($A$9:A100),'Master Stock'!$N$2:$N$99,0)),"")</f>
        <v/>
      </c>
      <c r="B100" s="14">
        <f t="array" ref="B100">IFERROR(INDEX('Master Stock'!$D$2:$D$99,MATCH(ROWS($A$9:A100),'Master Stock'!$N$2:$N$99,0)),"")</f>
        <v/>
      </c>
      <c r="C100" s="17">
        <f t="array" ref="C100">IF(A100="","",IFERROR(INDEX('Master Stock'!$J$2:$J$99,MATCH(ROWS($A$9:A100),'Master Stock'!$N$2:$N$99,0)),""))</f>
        <v/>
      </c>
      <c r="D100" s="68">
        <f>IF(C100="","",MAX(0,TODAY()-C100))</f>
        <v/>
      </c>
      <c r="E100" s="14" t="n"/>
      <c r="F100" s="14" t="n"/>
      <c r="G100" s="17">
        <f t="array" ref="G100">IFERROR(INDEX('Master Stock'!$C$2:$C$99,MATCH(ROWS($G$9:G100),'Master Stock'!$P$2:$P$99,0)),"")</f>
        <v/>
      </c>
      <c r="H100" s="14">
        <f t="array" ref="H100">IFERROR(INDEX('Master Stock'!$D$2:$D$99,MATCH(ROWS($G$9:G100),'Master Stock'!$P$2:$P$99,0)),"")</f>
        <v/>
      </c>
      <c r="I100" s="17">
        <f t="array" ref="I100">IF(G100="","",IFERROR(INDEX('Master Stock'!$J$2:$J$99,MATCH(ROWS($G$9:G100),'Master Stock'!$P$2:$P$99,0)),""))</f>
        <v/>
      </c>
      <c r="J100" s="68">
        <f>IF(I100="","",MAX(0,TODAY()-I100))</f>
        <v/>
      </c>
      <c r="K100" s="11" t="n"/>
    </row>
    <row r="101" ht="15.75" customHeight="1" s="236">
      <c r="A101" s="11">
        <f t="array" ref="A101">IFERROR(INDEX('Master Stock'!$C$2:$C$99,MATCH(ROWS($A$9:A101),'Master Stock'!$N$2:$N$99,0)),"")</f>
        <v/>
      </c>
      <c r="B101" s="11">
        <f t="array" ref="B101">IFERROR(INDEX('Master Stock'!$D$2:$D$99,MATCH(ROWS($A$9:A101),'Master Stock'!$N$2:$N$99,0)),"")</f>
        <v/>
      </c>
      <c r="C101" s="118">
        <f t="array" ref="C101">IF(A101="","",IFERROR(INDEX('Master Stock'!$J$2:$J$99,MATCH(ROWS($A$9:A101),'Master Stock'!$N$2:$N$99,0)),""))</f>
        <v/>
      </c>
      <c r="D101" s="119">
        <f>IF(C101="","",MAX(0,TODAY()-C101))</f>
        <v/>
      </c>
      <c r="E101" s="11" t="n"/>
      <c r="F101" s="11" t="n"/>
      <c r="G101" s="118">
        <f t="array" ref="G101">IFERROR(INDEX('Master Stock'!$C$2:$C$99,MATCH(ROWS($G$9:G101),'Master Stock'!$P$2:$P$99,0)),"")</f>
        <v/>
      </c>
      <c r="H101" s="11">
        <f t="array" ref="H101">IFERROR(INDEX('Master Stock'!$D$2:$D$99,MATCH(ROWS($G$9:G101),'Master Stock'!$P$2:$P$99,0)),"")</f>
        <v/>
      </c>
      <c r="I101" s="118">
        <f t="array" ref="I101">IF(G101="","",IFERROR(INDEX('Master Stock'!$J$2:$J$99,MATCH(ROWS($G$9:G101),'Master Stock'!$P$2:$P$99,0)),""))</f>
        <v/>
      </c>
      <c r="J101" s="119">
        <f>IF(I101="","",MAX(0,TODAY()-I101))</f>
        <v/>
      </c>
      <c r="K101" s="11" t="n"/>
    </row>
    <row r="102" ht="15.75" customHeight="1" s="236">
      <c r="A102" s="11">
        <f t="array" ref="A102">IFERROR(INDEX('Master Stock'!$C$2:$C$99,MATCH(ROWS($A$9:A102),'Master Stock'!$N$2:$N$99,0)),"")</f>
        <v/>
      </c>
      <c r="B102" s="11">
        <f t="array" ref="B102">IFERROR(INDEX('Master Stock'!$D$2:$D$99,MATCH(ROWS($A$9:A102),'Master Stock'!$N$2:$N$99,0)),"")</f>
        <v/>
      </c>
      <c r="C102" s="118">
        <f t="array" ref="C102">IF(A102="","",IFERROR(INDEX('Master Stock'!$J$2:$J$99,MATCH(ROWS($A$9:A102),'Master Stock'!$N$2:$N$99,0)),""))</f>
        <v/>
      </c>
      <c r="D102" s="119">
        <f>IF(C102="","",MAX(0,TODAY()-C102))</f>
        <v/>
      </c>
      <c r="E102" s="11" t="n"/>
      <c r="F102" s="11" t="n"/>
      <c r="G102" s="118">
        <f t="array" ref="G102">IFERROR(INDEX('Master Stock'!$C$2:$C$99,MATCH(ROWS($G$9:G102),'Master Stock'!$P$2:$P$99,0)),"")</f>
        <v/>
      </c>
      <c r="H102" s="11">
        <f t="array" ref="H102">IFERROR(INDEX('Master Stock'!$D$2:$D$99,MATCH(ROWS($G$9:G102),'Master Stock'!$P$2:$P$99,0)),"")</f>
        <v/>
      </c>
      <c r="I102" s="118">
        <f t="array" ref="I102">IF(G102="","",IFERROR(INDEX('Master Stock'!$J$2:$J$99,MATCH(ROWS($G$9:G102),'Master Stock'!$P$2:$P$99,0)),""))</f>
        <v/>
      </c>
      <c r="J102" s="119">
        <f>IF(I102="","",MAX(0,TODAY()-I102))</f>
        <v/>
      </c>
      <c r="K102" s="11" t="n"/>
    </row>
    <row r="103" ht="15.75" customHeight="1" s="236">
      <c r="A103" s="11">
        <f t="array" ref="A103">IFERROR(INDEX('Master Stock'!$C$2:$C$99,MATCH(ROWS($A$9:A103),'Master Stock'!$N$2:$N$99,0)),"")</f>
        <v/>
      </c>
      <c r="B103" s="11">
        <f t="array" ref="B103">IFERROR(INDEX('Master Stock'!$D$2:$D$99,MATCH(ROWS($A$9:A103),'Master Stock'!$N$2:$N$99,0)),"")</f>
        <v/>
      </c>
      <c r="C103" s="118">
        <f t="array" ref="C103">IF(A103="","",IFERROR(INDEX('Master Stock'!$J$2:$J$99,MATCH(ROWS($A$9:A103),'Master Stock'!$N$2:$N$99,0)),""))</f>
        <v/>
      </c>
      <c r="D103" s="119">
        <f>IF(C103="","",MAX(0,TODAY()-C103))</f>
        <v/>
      </c>
      <c r="E103" s="11" t="n"/>
      <c r="F103" s="11" t="n"/>
      <c r="G103" s="118">
        <f t="array" ref="G103">IFERROR(INDEX('Master Stock'!$C$2:$C$99,MATCH(ROWS($G$9:G103),'Master Stock'!$P$2:$P$99,0)),"")</f>
        <v/>
      </c>
      <c r="H103" s="11">
        <f t="array" ref="H103">IFERROR(INDEX('Master Stock'!$D$2:$D$99,MATCH(ROWS($G$9:G103),'Master Stock'!$P$2:$P$99,0)),"")</f>
        <v/>
      </c>
      <c r="I103" s="118">
        <f t="array" ref="I103">IF(G103="","",IFERROR(INDEX('Master Stock'!$J$2:$J$99,MATCH(ROWS($G$9:G103),'Master Stock'!$P$2:$P$99,0)),""))</f>
        <v/>
      </c>
      <c r="J103" s="119">
        <f>IF(I103="","",MAX(0,TODAY()-I103))</f>
        <v/>
      </c>
      <c r="K103" s="11" t="n"/>
    </row>
    <row r="104" ht="15.75" customHeight="1" s="236">
      <c r="A104" s="11">
        <f t="array" ref="A104">IFERROR(INDEX('Master Stock'!$C$2:$C$99,MATCH(ROWS($A$9:A104),'Master Stock'!$N$2:$N$99,0)),"")</f>
        <v/>
      </c>
      <c r="B104" s="11">
        <f t="array" ref="B104">IFERROR(INDEX('Master Stock'!$D$2:$D$99,MATCH(ROWS($A$9:A104),'Master Stock'!$N$2:$N$99,0)),"")</f>
        <v/>
      </c>
      <c r="C104" s="118">
        <f t="array" ref="C104">IF(A104="","",IFERROR(INDEX('Master Stock'!$J$2:$J$99,MATCH(ROWS($A$9:A104),'Master Stock'!$N$2:$N$99,0)),""))</f>
        <v/>
      </c>
      <c r="D104" s="119">
        <f>IF(C104="","",MAX(0,TODAY()-C104))</f>
        <v/>
      </c>
      <c r="E104" s="11" t="n"/>
      <c r="F104" s="11" t="n"/>
      <c r="G104" s="118">
        <f t="array" ref="G104">IFERROR(INDEX('Master Stock'!$C$2:$C$99,MATCH(ROWS($G$9:G104),'Master Stock'!$P$2:$P$99,0)),"")</f>
        <v/>
      </c>
      <c r="H104" s="11">
        <f t="array" ref="H104">IFERROR(INDEX('Master Stock'!$D$2:$D$99,MATCH(ROWS($G$9:G104),'Master Stock'!$P$2:$P$99,0)),"")</f>
        <v/>
      </c>
      <c r="I104" s="118">
        <f t="array" ref="I104">IF(G104="","",IFERROR(INDEX('Master Stock'!$J$2:$J$99,MATCH(ROWS($G$9:G104),'Master Stock'!$P$2:$P$99,0)),""))</f>
        <v/>
      </c>
      <c r="J104" s="119">
        <f>IF(I104="","",MAX(0,TODAY()-I104))</f>
        <v/>
      </c>
      <c r="K104" s="11" t="n"/>
    </row>
    <row r="105" ht="15.75" customHeight="1" s="236">
      <c r="A105" s="11">
        <f t="array" ref="A105">IFERROR(INDEX('Master Stock'!$C$2:$C$99,MATCH(ROWS($A$9:A105),'Master Stock'!$N$2:$N$99,0)),"")</f>
        <v/>
      </c>
      <c r="B105" s="11">
        <f t="array" ref="B105">IFERROR(INDEX('Master Stock'!$D$2:$D$99,MATCH(ROWS($A$9:A105),'Master Stock'!$N$2:$N$99,0)),"")</f>
        <v/>
      </c>
      <c r="C105" s="118">
        <f t="array" ref="C105">IF(A105="","",IFERROR(INDEX('Master Stock'!$J$2:$J$99,MATCH(ROWS($A$9:A105),'Master Stock'!$N$2:$N$99,0)),""))</f>
        <v/>
      </c>
      <c r="D105" s="119">
        <f>IF(C105="","",MAX(0,TODAY()-C105))</f>
        <v/>
      </c>
      <c r="E105" s="11" t="n"/>
      <c r="F105" s="11" t="n"/>
      <c r="G105" s="118">
        <f t="array" ref="G105">IFERROR(INDEX('Master Stock'!$C$2:$C$99,MATCH(ROWS($G$9:G105),'Master Stock'!$P$2:$P$99,0)),"")</f>
        <v/>
      </c>
      <c r="H105" s="11">
        <f t="array" ref="H105">IFERROR(INDEX('Master Stock'!$D$2:$D$99,MATCH(ROWS($G$9:G105),'Master Stock'!$P$2:$P$99,0)),"")</f>
        <v/>
      </c>
      <c r="I105" s="118">
        <f t="array" ref="I105">IF(G105="","",IFERROR(INDEX('Master Stock'!$J$2:$J$99,MATCH(ROWS($G$9:G105),'Master Stock'!$P$2:$P$99,0)),""))</f>
        <v/>
      </c>
      <c r="J105" s="119">
        <f>IF(I105="","",MAX(0,TODAY()-I105))</f>
        <v/>
      </c>
      <c r="K105" s="11" t="n"/>
    </row>
    <row r="106" ht="15.75" customHeight="1" s="236">
      <c r="A106" s="11">
        <f t="array" ref="A106">IFERROR(INDEX('Master Stock'!$C$2:$C$99,MATCH(ROWS($A$9:A106),'Master Stock'!$N$2:$N$99,0)),"")</f>
        <v/>
      </c>
      <c r="B106" s="11">
        <f t="array" ref="B106">IFERROR(INDEX('Master Stock'!$D$2:$D$99,MATCH(ROWS($A$9:A106),'Master Stock'!$N$2:$N$99,0)),"")</f>
        <v/>
      </c>
      <c r="C106" s="118">
        <f t="array" ref="C106">IF(A106="","",IFERROR(INDEX('Master Stock'!$J$2:$J$99,MATCH(ROWS($A$9:A106),'Master Stock'!$N$2:$N$99,0)),""))</f>
        <v/>
      </c>
      <c r="D106" s="119">
        <f>IF(C106="","",MAX(0,TODAY()-C106))</f>
        <v/>
      </c>
      <c r="E106" s="11" t="n"/>
      <c r="F106" s="11" t="n"/>
      <c r="G106" s="118">
        <f t="array" ref="G106">IFERROR(INDEX('Master Stock'!$C$2:$C$99,MATCH(ROWS($G$9:G106),'Master Stock'!$P$2:$P$99,0)),"")</f>
        <v/>
      </c>
      <c r="H106" s="11">
        <f t="array" ref="H106">IFERROR(INDEX('Master Stock'!$D$2:$D$99,MATCH(ROWS($G$9:G106),'Master Stock'!$P$2:$P$99,0)),"")</f>
        <v/>
      </c>
      <c r="I106" s="118">
        <f t="array" ref="I106">IF(G106="","",IFERROR(INDEX('Master Stock'!$J$2:$J$99,MATCH(ROWS($G$9:G106),'Master Stock'!$P$2:$P$99,0)),""))</f>
        <v/>
      </c>
      <c r="J106" s="119">
        <f>IF(I106="","",MAX(0,TODAY()-I106))</f>
        <v/>
      </c>
      <c r="K106" s="11" t="n"/>
    </row>
    <row r="107" ht="15.75" customHeight="1" s="236">
      <c r="A107" s="11">
        <f t="array" ref="A107">IFERROR(INDEX('Master Stock'!$C$2:$C$99,MATCH(ROWS($A$9:A107),'Master Stock'!$N$2:$N$99,0)),"")</f>
        <v/>
      </c>
      <c r="B107" s="11">
        <f t="array" ref="B107">IFERROR(INDEX('Master Stock'!$D$2:$D$99,MATCH(ROWS($A$9:A107),'Master Stock'!$N$2:$N$99,0)),"")</f>
        <v/>
      </c>
      <c r="C107" s="118">
        <f t="array" ref="C107">IF(A107="","",IFERROR(INDEX('Master Stock'!$J$2:$J$99,MATCH(ROWS($A$9:A107),'Master Stock'!$N$2:$N$99,0)),""))</f>
        <v/>
      </c>
      <c r="D107" s="119">
        <f>IF(C107="","",MAX(0,TODAY()-C107))</f>
        <v/>
      </c>
      <c r="E107" s="11" t="n"/>
      <c r="F107" s="11" t="n"/>
      <c r="G107" s="118">
        <f t="array" ref="G107">IFERROR(INDEX('Master Stock'!$C$2:$C$99,MATCH(ROWS($G$9:G107),'Master Stock'!$P$2:$P$99,0)),"")</f>
        <v/>
      </c>
      <c r="H107" s="11">
        <f t="array" ref="H107">IFERROR(INDEX('Master Stock'!$D$2:$D$99,MATCH(ROWS($G$9:G107),'Master Stock'!$P$2:$P$99,0)),"")</f>
        <v/>
      </c>
      <c r="I107" s="118">
        <f t="array" ref="I107">IF(G107="","",IFERROR(INDEX('Master Stock'!$J$2:$J$99,MATCH(ROWS($G$9:G107),'Master Stock'!$P$2:$P$99,0)),""))</f>
        <v/>
      </c>
      <c r="J107" s="119">
        <f>IF(I107="","",MAX(0,TODAY()-I107))</f>
        <v/>
      </c>
      <c r="K107" s="11" t="n"/>
    </row>
    <row r="108" ht="15.75" customHeight="1" s="236">
      <c r="A108" s="11">
        <f t="array" ref="A108">IFERROR(INDEX('Master Stock'!$C$2:$C$99,MATCH(ROWS($A$9:A108),'Master Stock'!$N$2:$N$99,0)),"")</f>
        <v/>
      </c>
      <c r="B108" s="11">
        <f t="array" ref="B108">IFERROR(INDEX('Master Stock'!$D$2:$D$99,MATCH(ROWS($A$9:A108),'Master Stock'!$N$2:$N$99,0)),"")</f>
        <v/>
      </c>
      <c r="C108" s="118">
        <f t="array" ref="C108">IF(A108="","",IFERROR(INDEX('Master Stock'!$J$2:$J$99,MATCH(ROWS($A$9:A108),'Master Stock'!$N$2:$N$99,0)),""))</f>
        <v/>
      </c>
      <c r="D108" s="119">
        <f>IF(C108="","",MAX(0,TODAY()-C108))</f>
        <v/>
      </c>
      <c r="E108" s="11" t="n"/>
      <c r="F108" s="11" t="n"/>
      <c r="G108" s="118">
        <f t="array" ref="G108">IFERROR(INDEX('Master Stock'!$C$2:$C$99,MATCH(ROWS($G$9:G108),'Master Stock'!$P$2:$P$99,0)),"")</f>
        <v/>
      </c>
      <c r="H108" s="11">
        <f t="array" ref="H108">IFERROR(INDEX('Master Stock'!$D$2:$D$99,MATCH(ROWS($G$9:G108),'Master Stock'!$P$2:$P$99,0)),"")</f>
        <v/>
      </c>
      <c r="I108" s="118">
        <f t="array" ref="I108">IF(G108="","",IFERROR(INDEX('Master Stock'!$J$2:$J$99,MATCH(ROWS($G$9:G108),'Master Stock'!$P$2:$P$99,0)),""))</f>
        <v/>
      </c>
      <c r="J108" s="119">
        <f>IF(I108="","",MAX(0,TODAY()-I108))</f>
        <v/>
      </c>
      <c r="K108" s="11" t="n"/>
    </row>
    <row r="109" ht="15.75" customHeight="1" s="236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</row>
    <row r="110" ht="15.75" customHeight="1" s="236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</row>
    <row r="111" ht="15.75" customHeight="1" s="236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</row>
    <row r="112" ht="15.75" customHeight="1" s="236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</row>
    <row r="113" ht="15.75" customHeight="1" s="236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</row>
    <row r="114" ht="15.75" customHeight="1" s="236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</row>
    <row r="115" ht="15.75" customHeight="1" s="236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</row>
    <row r="116" ht="15.75" customHeight="1" s="23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</row>
    <row r="117" ht="15.75" customHeight="1" s="236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</row>
    <row r="118" ht="15.75" customHeight="1" s="236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</row>
    <row r="119" ht="15.75" customHeight="1" s="236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</row>
    <row r="120" ht="15.75" customHeight="1" s="236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 ht="15.75" customHeight="1" s="236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</row>
    <row r="122" ht="15.75" customHeight="1" s="236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</row>
    <row r="123" ht="15.75" customHeight="1" s="236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</row>
    <row r="124" ht="15.75" customHeight="1" s="236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</row>
    <row r="125" ht="15.75" customHeight="1" s="236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</row>
    <row r="126" ht="15.75" customHeight="1" s="23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</row>
    <row r="127" ht="15.75" customHeight="1" s="236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</row>
    <row r="128" ht="15.75" customHeight="1" s="236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</row>
    <row r="129" ht="15.75" customHeight="1" s="236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</row>
    <row r="130" ht="15.75" customHeight="1" s="236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</row>
    <row r="131" ht="15.75" customHeight="1" s="236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</row>
    <row r="132" ht="15.75" customHeight="1" s="236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</row>
    <row r="133" ht="15.75" customHeight="1" s="236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</row>
    <row r="134" ht="15.75" customHeight="1" s="236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</row>
    <row r="135" ht="15.75" customHeight="1" s="236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</row>
    <row r="136" ht="15.75" customHeight="1" s="2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</row>
    <row r="137" ht="15.75" customHeight="1" s="236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</row>
    <row r="138" ht="15.75" customHeight="1" s="236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</row>
    <row r="139" ht="15.75" customHeight="1" s="236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</row>
    <row r="140" ht="15.75" customHeight="1" s="236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</row>
    <row r="141" ht="15.75" customHeight="1" s="236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</row>
    <row r="142" ht="15.75" customHeight="1" s="236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</row>
    <row r="143" ht="15.75" customHeight="1" s="236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</row>
    <row r="144" ht="15.75" customHeight="1" s="236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</row>
    <row r="145" ht="15.75" customHeight="1" s="236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</row>
    <row r="146" ht="15.75" customHeight="1" s="23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</row>
    <row r="147" ht="15.75" customHeight="1" s="236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</row>
    <row r="148" ht="15.75" customHeight="1" s="236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</row>
    <row r="149" ht="15.75" customHeight="1" s="236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</row>
    <row r="150" ht="15.75" customHeight="1" s="236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</row>
    <row r="151" ht="15.75" customHeight="1" s="236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</row>
    <row r="152" ht="15.75" customHeight="1" s="236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</row>
    <row r="153" ht="15.75" customHeight="1" s="236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</row>
    <row r="154" ht="15.75" customHeight="1" s="236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</row>
    <row r="155" ht="15.75" customHeight="1" s="236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</row>
    <row r="156" ht="15.75" customHeight="1" s="23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</row>
    <row r="157" ht="15.75" customHeight="1" s="236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</row>
    <row r="158" ht="15.75" customHeight="1" s="236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</row>
    <row r="159" ht="15.75" customHeight="1" s="236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</row>
    <row r="160" ht="15.75" customHeight="1" s="236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</row>
    <row r="161" ht="15.75" customHeight="1" s="236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</row>
    <row r="162" ht="15.75" customHeight="1" s="236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</row>
    <row r="163" ht="15.75" customHeight="1" s="236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</row>
    <row r="164" ht="15.75" customHeight="1" s="236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</row>
    <row r="165" ht="15.75" customHeight="1" s="236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</row>
    <row r="166" ht="15.75" customHeight="1" s="23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</row>
    <row r="167" ht="15.75" customHeight="1" s="236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</row>
    <row r="168" ht="15.75" customHeight="1" s="236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</row>
    <row r="169" ht="15.75" customHeight="1" s="236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</row>
    <row r="170" ht="15.75" customHeight="1" s="236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</row>
    <row r="171" ht="15.75" customHeight="1" s="236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</row>
    <row r="172" ht="15.75" customHeight="1" s="236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</row>
    <row r="173" ht="15.75" customHeight="1" s="236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</row>
    <row r="174" ht="15.75" customHeight="1" s="236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</row>
    <row r="175" ht="15.75" customHeight="1" s="236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</row>
    <row r="176" ht="15.75" customHeight="1" s="23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</row>
    <row r="177" ht="15.75" customHeight="1" s="236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</row>
    <row r="178" ht="15.75" customHeight="1" s="236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</row>
    <row r="179" ht="15.75" customHeight="1" s="236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</row>
    <row r="180" ht="15.75" customHeight="1" s="236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</row>
    <row r="181" ht="15.75" customHeight="1" s="236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</row>
    <row r="182" ht="15.75" customHeight="1" s="236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</row>
    <row r="183" ht="15.75" customHeight="1" s="236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</row>
    <row r="184" ht="15.75" customHeight="1" s="236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</row>
    <row r="185" ht="15.75" customHeight="1" s="236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</row>
    <row r="186" ht="15.75" customHeight="1" s="23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</row>
    <row r="187" ht="15.75" customHeight="1" s="236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</row>
    <row r="188" ht="15.75" customHeight="1" s="236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</row>
    <row r="189" ht="15.75" customHeight="1" s="236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</row>
    <row r="190" ht="15.75" customHeight="1" s="236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</row>
    <row r="191" ht="15.75" customHeight="1" s="236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</row>
    <row r="192" ht="15.75" customHeight="1" s="236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</row>
    <row r="193" ht="15.75" customHeight="1" s="236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</row>
    <row r="194" ht="15.75" customHeight="1" s="236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</row>
    <row r="195" ht="15.75" customHeight="1" s="236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</row>
    <row r="196" ht="15.75" customHeight="1" s="23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</row>
    <row r="197" ht="15.75" customHeight="1" s="236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</row>
    <row r="198" ht="15.75" customHeight="1" s="236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</row>
    <row r="199" ht="15.75" customHeight="1" s="236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</row>
    <row r="200" ht="15.75" customHeight="1" s="236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</row>
    <row r="201" ht="15.75" customHeight="1" s="236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</row>
    <row r="202" ht="15.75" customHeight="1" s="236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</row>
    <row r="203" ht="15.75" customHeight="1" s="236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</row>
    <row r="204" ht="15.75" customHeight="1" s="236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</row>
    <row r="205" ht="15.75" customHeight="1" s="236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</row>
    <row r="206" ht="15.75" customHeight="1" s="23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</row>
    <row r="207" ht="15.75" customHeight="1" s="236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</row>
    <row r="208" ht="15.75" customHeight="1" s="236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</row>
    <row r="209" ht="15.75" customHeight="1" s="236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</row>
    <row r="210" ht="15.75" customHeight="1" s="236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</row>
    <row r="211" ht="15.75" customHeight="1" s="236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</row>
    <row r="212" ht="15.75" customHeight="1" s="236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</row>
    <row r="213" ht="15.75" customHeight="1" s="236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</row>
    <row r="214" ht="15.75" customHeight="1" s="236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</row>
    <row r="215" ht="15.75" customHeight="1" s="236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</row>
    <row r="216" ht="15.75" customHeight="1" s="23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</row>
    <row r="217" ht="15.75" customHeight="1" s="236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</row>
    <row r="218" ht="15.75" customHeight="1" s="236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</row>
    <row r="219" ht="15.75" customHeight="1" s="236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</row>
    <row r="220" ht="15.75" customHeight="1" s="236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</row>
    <row r="221" ht="15.75" customHeight="1" s="236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</row>
    <row r="222" ht="15.75" customHeight="1" s="236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</row>
    <row r="223" ht="15.75" customHeight="1" s="236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</row>
    <row r="224" ht="15.75" customHeight="1" s="236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</row>
    <row r="225" ht="15.75" customHeight="1" s="236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</row>
    <row r="226" ht="15.75" customHeight="1" s="23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</row>
    <row r="227" ht="15.75" customHeight="1" s="236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</row>
    <row r="228" ht="15.75" customHeight="1" s="236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</row>
    <row r="229" ht="15.75" customHeight="1" s="236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</row>
    <row r="230" ht="15.75" customHeight="1" s="236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</row>
    <row r="231" ht="15.75" customHeight="1" s="236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</row>
    <row r="232" ht="15.75" customHeight="1" s="236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</row>
    <row r="233" ht="15.75" customHeight="1" s="236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</row>
    <row r="234" ht="15.75" customHeight="1" s="236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</row>
    <row r="235" ht="15.75" customHeight="1" s="236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</row>
    <row r="236" ht="15.75" customHeight="1" s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</row>
    <row r="237" ht="15.75" customHeight="1" s="236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</row>
    <row r="238" ht="15.75" customHeight="1" s="236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</row>
    <row r="239" ht="15.75" customHeight="1" s="236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</row>
    <row r="240" ht="15.75" customHeight="1" s="236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</row>
    <row r="241" ht="15.75" customHeight="1" s="236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</row>
    <row r="242" ht="15.75" customHeight="1" s="236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</row>
    <row r="243" ht="15.75" customHeight="1" s="236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</row>
    <row r="244" ht="15.75" customHeight="1" s="236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</row>
    <row r="245" ht="15.75" customHeight="1" s="236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</row>
    <row r="246" ht="15.75" customHeight="1" s="23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</row>
    <row r="247" ht="15.75" customHeight="1" s="236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</row>
    <row r="248" ht="15.75" customHeight="1" s="236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</row>
    <row r="249" ht="15.75" customHeight="1" s="236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</row>
    <row r="250" ht="15.75" customHeight="1" s="236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</row>
    <row r="251" ht="15.75" customHeight="1" s="236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</row>
    <row r="252" ht="15.75" customHeight="1" s="236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</row>
    <row r="253" ht="15.75" customHeight="1" s="236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</row>
    <row r="254" ht="15.75" customHeight="1" s="236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</row>
    <row r="300" ht="15.75" customHeight="1" s="236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</row>
    <row r="301" ht="15.75" customHeight="1" s="236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</row>
    <row r="302" ht="15.75" customHeight="1" s="236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</row>
    <row r="303" ht="15.75" customHeight="1" s="236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</row>
    <row r="304" ht="15.75" customHeight="1" s="236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</row>
    <row r="305" ht="15.75" customHeight="1" s="236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</row>
    <row r="306" ht="15.75" customHeight="1" s="23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</row>
    <row r="307" ht="15.75" customHeight="1" s="236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</row>
    <row r="308" ht="15.75" customHeight="1" s="236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</row>
    <row r="1001" ht="15.75" customHeight="1" s="236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</row>
    <row r="1002" ht="24" customHeight="1" s="236">
      <c r="A1002" s="206" t="inlineStr">
        <is>
          <t>Shambhu Dayal Meena TA-II FSD Sabarmati</t>
        </is>
      </c>
      <c r="B1002" s="297" t="n"/>
      <c r="C1002" s="297" t="n"/>
      <c r="D1002" s="297" t="n"/>
      <c r="E1002" s="297" t="n"/>
      <c r="F1002" s="297" t="n"/>
      <c r="G1002" s="297" t="n"/>
      <c r="H1002" s="297" t="n"/>
      <c r="I1002" s="297" t="n"/>
      <c r="J1002" s="297" t="n"/>
      <c r="K1002" s="297" t="n"/>
      <c r="L1002" s="297" t="n"/>
    </row>
  </sheetData>
  <mergeCells count="12">
    <mergeCell ref="A4:B4"/>
    <mergeCell ref="G4:H4"/>
    <mergeCell ref="A1:J1"/>
    <mergeCell ref="E4:F4"/>
    <mergeCell ref="I4:J4"/>
    <mergeCell ref="A1002:L1002"/>
    <mergeCell ref="C4:D4"/>
    <mergeCell ref="C3:D3"/>
    <mergeCell ref="A3:B3"/>
    <mergeCell ref="G3:H3"/>
    <mergeCell ref="E3:F3"/>
    <mergeCell ref="I3:J3"/>
  </mergeCells>
  <dataValidations count="1">
    <dataValidation sqref="C2:D2 C3 C5:D8 G2:G3 G5:G8 I2 I4:I8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S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236" min="1" max="1"/>
    <col width="14" customWidth="1" style="236" min="2" max="2"/>
    <col width="8.75" customWidth="1" style="236" min="3" max="3"/>
    <col width="11.38" customWidth="1" style="236" min="4" max="4"/>
    <col width="10.5" customWidth="1" style="236" min="5" max="5"/>
    <col width="11.38" customWidth="1" style="236" min="6" max="6"/>
    <col width="23.63" customWidth="1" style="236" min="7" max="7"/>
    <col hidden="1" width="12.25" customWidth="1" style="236" min="8" max="8"/>
    <col width="16.38" customWidth="1" style="236" min="9" max="9"/>
    <col width="14.88" customWidth="1" style="236" min="10" max="11"/>
    <col width="24.5" customWidth="1" style="236" min="12" max="12"/>
    <col hidden="1" width="11.38" customWidth="1" style="236" min="13" max="16"/>
    <col hidden="1" width="13" customWidth="1" style="236" min="17" max="18"/>
    <col width="12.88" customWidth="1" style="236" min="19" max="19"/>
  </cols>
  <sheetData>
    <row r="1" ht="36" customHeight="1" s="236">
      <c r="A1" s="1" t="n"/>
      <c r="B1" s="5" t="inlineStr">
        <is>
          <t>Receipt Date</t>
        </is>
      </c>
      <c r="C1" s="5" t="inlineStr">
        <is>
          <t>Shed No.</t>
        </is>
      </c>
      <c r="D1" s="5" t="inlineStr">
        <is>
          <t>Stack No.</t>
        </is>
      </c>
      <c r="E1" s="5" t="inlineStr">
        <is>
          <t>Bags</t>
        </is>
      </c>
      <c r="F1" s="10" t="inlineStr">
        <is>
          <t>Qty (MT)</t>
        </is>
      </c>
      <c r="G1" s="5" t="inlineStr">
        <is>
          <t>Commodity / Crop Year</t>
        </is>
      </c>
      <c r="H1" s="5" t="inlineStr">
        <is>
          <t>Status</t>
        </is>
      </c>
      <c r="I1" s="5" t="inlineStr">
        <is>
          <t>Storage Period (Days)</t>
        </is>
      </c>
      <c r="J1" s="13" t="inlineStr">
        <is>
          <t>Fumigation Date</t>
        </is>
      </c>
      <c r="K1" s="13" t="inlineStr">
        <is>
          <t>Degassing Date</t>
        </is>
      </c>
      <c r="L1" s="16" t="inlineStr">
        <is>
          <t>LAST FUMIGATION</t>
        </is>
      </c>
      <c r="M1" s="14" t="inlineStr">
        <is>
          <t>UnderCover_Flag</t>
        </is>
      </c>
      <c r="N1" s="14" t="inlineStr">
        <is>
          <t>UnderCover_Rank</t>
        </is>
      </c>
      <c r="O1" s="14" t="inlineStr">
        <is>
          <t>DegassingDue_Flag</t>
        </is>
      </c>
      <c r="P1" s="14" t="inlineStr">
        <is>
          <t>DegassingDue_Rank</t>
        </is>
      </c>
      <c r="Q1" s="17" t="inlineStr">
        <is>
          <t>Wheat FIFO Rank</t>
        </is>
      </c>
      <c r="R1" s="17" t="inlineStr">
        <is>
          <t>Rice FIFO Rank</t>
        </is>
      </c>
      <c r="S1" s="19" t="inlineStr">
        <is>
          <t>DESHBOARD</t>
        </is>
      </c>
    </row>
    <row r="2" ht="15" customHeight="1" s="236">
      <c r="A2" s="22">
        <f>IF(D2="","",ROWS($D$2:D2))</f>
        <v/>
      </c>
      <c r="B2" s="24" t="n">
        <v>46122</v>
      </c>
      <c r="C2" s="25" t="n">
        <v>9</v>
      </c>
      <c r="D2" s="25" t="inlineStr">
        <is>
          <t>9A01</t>
        </is>
      </c>
      <c r="E2" s="25" t="n">
        <v>3501</v>
      </c>
      <c r="F2" s="27" t="n">
        <v>170.759474</v>
      </c>
      <c r="G2" s="25" t="inlineStr">
        <is>
          <t>FRK  RRA 2024-25</t>
        </is>
      </c>
      <c r="H2" s="29">
        <f>IF(AND(E2="",F2="",G2=""),"EMPTY","OCCUPIED")</f>
        <v/>
      </c>
      <c r="I2" s="32">
        <f>IF(B2="","",IF(ISNUMBER(B2),MAX(0,TODAY()-B2),""))</f>
        <v/>
      </c>
      <c r="J2" s="24" t="n"/>
      <c r="K2" s="24" t="n"/>
      <c r="L2" s="36" t="n">
        <v>46162</v>
      </c>
      <c r="M2" s="38">
        <f>IF(AND(H2="OCCUPIED",ISNUMBER(J2),K2=""),1,0)</f>
        <v/>
      </c>
      <c r="N2" s="41">
        <f>IF(M2=1,COUNTIF($M$2:M2,1),"")</f>
        <v/>
      </c>
      <c r="O2" s="41">
        <f>IF(AND(H2="OCCUPIED",ISNUMBER(J2),K2=""),--(TODAY()-J2&gt;5),0)</f>
        <v/>
      </c>
      <c r="P2" s="41">
        <f>IF(O2=1,COUNTIF($O$2:O2,1),"")</f>
        <v/>
      </c>
      <c r="Q2" s="49">
        <f>IF(OR(B2="",G2="",H2&lt;&gt;"OCCUPIED"),"",IF(ISNUMBER(SEARCH("WHEAT",G2)),SUMPRODUCT(--ISNUMBER(SEARCH("WHEAT",$G$2:$G$99)),--($H$2:$H$99="OCCUPIED"),--($B$2:$B$99&lt;&gt;""),--(IFERROR(VALUE(LEFT(RIGHT($G$2:$G$99,7),4)),999)&lt;IFERROR(VALUE(LEFT(RIGHT(G2,7),4)),999)))+SUMPRODUCT(--ISNUMBER(SEARCH("WHEAT",$G$2:$G$99)),--($H$2:$H$99="OCCUPIED"),--($B$2:$B$99&lt;&gt;""),--(IFERROR(VALUE(LEFT(RIGHT($G$2:$G$99,7),4)),999)=IFERROR(VALUE(LEFT(RIGHT(G2,7),4)),999)),--($B$2:$B$99&lt;B2))+SUMPRODUCT(--ISNUMBER(SEARCH("WHEAT",$G$2:$G$99)),--($H$2:$H$99="OCCUPIED"),--($B$2:$B$99&lt;&gt;""),--(IFERROR(VALUE(LEFT(RIGHT($G$2:$G$99,7),4)),999)=IFERROR(VALUE(LEFT(RIGHT(G2,7),4)),999)),--($B$2:$B$99=B2),--(ROW($B$2:$B$99)&lt;=ROW())),""))</f>
        <v/>
      </c>
      <c r="R2" s="49">
        <f>IF(OR(B2="",G2="",H2&lt;&gt;"OCCUPIED"),"",IF(ISERROR(SEARCH("WHEAT",G2)),SUMPRODUCT(--ISERROR(SEARCH("WHEAT",$G$2:$G$99)),--($H$2:$H$99="OCCUPIED"),--($B$2:$B$99&lt;&gt;""),--(IFERROR(VALUE(LEFT(RIGHT($G$2:$G$99,7),4)),999)&lt;IFERROR(VALUE(LEFT(RIGHT(G2,7),4)),999)))+SUMPRODUCT(--ISERROR(SEARCH("WHEAT",$G$2:$G$99)),--($H$2:$H$99="OCCUPIED"),--($B$2:$B$99&lt;&gt;""),--(IFERROR(VALUE(LEFT(RIGHT($G$2:$G$99,7),4)),999)=IFERROR(VALUE(LEFT(RIGHT(G2,7),4)),999)),--($B$2:$B$99&lt;B2))+SUMPRODUCT(--ISERROR(SEARCH("WHEAT",$G$2:$G$99)),--($H$2:$H$99="OCCUPIED"),--($B$2:$B$99&lt;&gt;""),--(IFERROR(VALUE(LEFT(RIGHT($G$2:$G$99,7),4)),999)=IFERROR(VALUE(LEFT(RIGHT(G2,7),4)),999)),--($B$2:$B$99=B2),--(ROW($B$2:$B$99)&lt;=ROW())),""))</f>
        <v/>
      </c>
      <c r="S2" s="54" t="n"/>
    </row>
    <row r="3" ht="15" customHeight="1" s="236">
      <c r="A3" s="56">
        <f>IF(D3="","",ROWS($D$2:D3))</f>
        <v/>
      </c>
      <c r="B3" s="65" t="n">
        <v>45823</v>
      </c>
      <c r="C3" s="99" t="n">
        <v>9</v>
      </c>
      <c r="D3" s="99" t="inlineStr">
        <is>
          <t>9A02</t>
        </is>
      </c>
      <c r="E3" s="99" t="n">
        <v>3501</v>
      </c>
      <c r="F3" s="100" t="n">
        <v>173.684844</v>
      </c>
      <c r="G3" s="99" t="inlineStr">
        <is>
          <t>WHEAT FAQ 2025-26</t>
        </is>
      </c>
      <c r="H3" s="62">
        <f>IF(AND(E3="",F3="",G3=""),"EMPTY","OCCUPIED")</f>
        <v/>
      </c>
      <c r="I3" s="63">
        <f>IF(B3="","",IF(ISNUMBER(B3),MAX(0,TODAY()-B3),""))</f>
        <v/>
      </c>
      <c r="J3" s="65" t="n"/>
      <c r="K3" s="65" t="n"/>
      <c r="L3" s="66" t="n">
        <v>46228</v>
      </c>
      <c r="M3" s="38">
        <f>IF(AND(H3="OCCUPIED",ISNUMBER(J3),K3=""),1,0)</f>
        <v/>
      </c>
      <c r="N3" s="41">
        <f>IF(M3=1,COUNTIF($M$2:M3,1),"")</f>
        <v/>
      </c>
      <c r="O3" s="41">
        <f>IF(AND(H3="OCCUPIED",ISNUMBER(J3),K3=""),--(TODAY()-J3&gt;5),0)</f>
        <v/>
      </c>
      <c r="P3" s="41">
        <f>IF(O3=1,COUNTIF($O$2:O3,1),"")</f>
        <v/>
      </c>
      <c r="Q3" s="49">
        <f>IF(OR(B3="",G3="",H3&lt;&gt;"OCCUPIED"),"",IF(ISNUMBER(SEARCH("WHEAT",G3)),SUMPRODUCT(--ISNUMBER(SEARCH("WHEAT",$G$2:$G$99)),--($H$2:$H$99="OCCUPIED"),--($B$2:$B$99&lt;&gt;""),--(IFERROR(VALUE(LEFT(RIGHT($G$2:$G$99,7),4)),999)&lt;IFERROR(VALUE(LEFT(RIGHT(G3,7),4)),999)))+SUMPRODUCT(--ISNUMBER(SEARCH("WHEAT",$G$2:$G$99)),--($H$2:$H$99="OCCUPIED"),--($B$2:$B$99&lt;&gt;""),--(IFERROR(VALUE(LEFT(RIGHT($G$2:$G$99,7),4)),999)=IFERROR(VALUE(LEFT(RIGHT(G3,7),4)),999)),--($B$2:$B$99&lt;B3))+SUMPRODUCT(--ISNUMBER(SEARCH("WHEAT",$G$2:$G$99)),--($H$2:$H$99="OCCUPIED"),--($B$2:$B$99&lt;&gt;""),--(IFERROR(VALUE(LEFT(RIGHT($G$2:$G$99,7),4)),999)=IFERROR(VALUE(LEFT(RIGHT(G3,7),4)),999)),--($B$2:$B$99=B3),--(ROW($B$2:$B$99)&lt;=ROW())),""))</f>
        <v/>
      </c>
      <c r="R3" s="49">
        <f>IF(OR(B3="",G3="",H3&lt;&gt;"OCCUPIED"),"",IF(ISERROR(SEARCH("WHEAT",G3)),SUMPRODUCT(--ISERROR(SEARCH("WHEAT",$G$2:$G$99)),--($H$2:$H$99="OCCUPIED"),--($B$2:$B$99&lt;&gt;""),--(IFERROR(VALUE(LEFT(RIGHT($G$2:$G$99,7),4)),999)&lt;IFERROR(VALUE(LEFT(RIGHT(G3,7),4)),999)))+SUMPRODUCT(--ISERROR(SEARCH("WHEAT",$G$2:$G$99)),--($H$2:$H$99="OCCUPIED"),--($B$2:$B$99&lt;&gt;""),--(IFERROR(VALUE(LEFT(RIGHT($G$2:$G$99,7),4)),999)=IFERROR(VALUE(LEFT(RIGHT(G3,7),4)),999)),--($B$2:$B$99&lt;B3))+SUMPRODUCT(--ISERROR(SEARCH("WHEAT",$G$2:$G$99)),--($H$2:$H$99="OCCUPIED"),--($B$2:$B$99&lt;&gt;""),--(IFERROR(VALUE(LEFT(RIGHT($G$2:$G$99,7),4)),999)=IFERROR(VALUE(LEFT(RIGHT(G3,7),4)),999)),--($B$2:$B$99=B3),--(ROW($B$2:$B$99)&lt;=ROW())),""))</f>
        <v/>
      </c>
      <c r="S3" s="54" t="n"/>
    </row>
    <row r="4" ht="15" customHeight="1" s="236">
      <c r="A4" s="56">
        <f>IF(D4="","",ROWS($D$2:D4))</f>
        <v/>
      </c>
      <c r="B4" s="65" t="n">
        <v>45775</v>
      </c>
      <c r="C4" s="99" t="n">
        <v>9</v>
      </c>
      <c r="D4" s="99" t="inlineStr">
        <is>
          <t>9A03</t>
        </is>
      </c>
      <c r="E4" s="99" t="n">
        <v>3501</v>
      </c>
      <c r="F4" s="100" t="n">
        <v>174.719903</v>
      </c>
      <c r="G4" s="99" t="inlineStr">
        <is>
          <t>WHEAT FAQ 2025-26</t>
        </is>
      </c>
      <c r="H4" s="62">
        <f>IF(AND(E4="",F4="",G4=""),"EMPTY","OCCUPIED")</f>
        <v/>
      </c>
      <c r="I4" s="63">
        <f>IF(B4="","",IF(ISNUMBER(B4),MAX(0,TODAY()-B4),""))</f>
        <v/>
      </c>
      <c r="J4" s="65" t="n">
        <v>46265</v>
      </c>
      <c r="K4" s="65" t="n"/>
      <c r="L4" s="66" t="n">
        <v>46265</v>
      </c>
      <c r="M4" s="38">
        <f>IF(AND(H4="OCCUPIED",ISNUMBER(J4),K4=""),1,0)</f>
        <v/>
      </c>
      <c r="N4" s="41">
        <f>IF(M4=1,COUNTIF($M$2:M4,1),"")</f>
        <v/>
      </c>
      <c r="O4" s="41">
        <f>IF(AND(H4="OCCUPIED",ISNUMBER(J4),K4=""),--(TODAY()-J4&gt;5),0)</f>
        <v/>
      </c>
      <c r="P4" s="41">
        <f>IF(O4=1,COUNTIF($O$2:O4,1),"")</f>
        <v/>
      </c>
      <c r="Q4" s="49">
        <f>IF(OR(B4="",G4="",H4&lt;&gt;"OCCUPIED"),"",IF(ISNUMBER(SEARCH("WHEAT",G4)),SUMPRODUCT(--ISNUMBER(SEARCH("WHEAT",$G$2:$G$99)),--($H$2:$H$99="OCCUPIED"),--($B$2:$B$99&lt;&gt;""),--(IFERROR(VALUE(LEFT(RIGHT($G$2:$G$99,7),4)),999)&lt;IFERROR(VALUE(LEFT(RIGHT(G4,7),4)),999)))+SUMPRODUCT(--ISNUMBER(SEARCH("WHEAT",$G$2:$G$99)),--($H$2:$H$99="OCCUPIED"),--($B$2:$B$99&lt;&gt;""),--(IFERROR(VALUE(LEFT(RIGHT($G$2:$G$99,7),4)),999)=IFERROR(VALUE(LEFT(RIGHT(G4,7),4)),999)),--($B$2:$B$99&lt;B4))+SUMPRODUCT(--ISNUMBER(SEARCH("WHEAT",$G$2:$G$99)),--($H$2:$H$99="OCCUPIED"),--($B$2:$B$99&lt;&gt;""),--(IFERROR(VALUE(LEFT(RIGHT($G$2:$G$99,7),4)),999)=IFERROR(VALUE(LEFT(RIGHT(G4,7),4)),999)),--($B$2:$B$99=B4),--(ROW($B$2:$B$99)&lt;=ROW())),""))</f>
        <v/>
      </c>
      <c r="R4" s="49">
        <f>IF(OR(B4="",G4="",H4&lt;&gt;"OCCUPIED"),"",IF(ISERROR(SEARCH("WHEAT",G4)),SUMPRODUCT(--ISERROR(SEARCH("WHEAT",$G$2:$G$99)),--($H$2:$H$99="OCCUPIED"),--($B$2:$B$99&lt;&gt;""),--(IFERROR(VALUE(LEFT(RIGHT($G$2:$G$99,7),4)),999)&lt;IFERROR(VALUE(LEFT(RIGHT(G4,7),4)),999)))+SUMPRODUCT(--ISERROR(SEARCH("WHEAT",$G$2:$G$99)),--($H$2:$H$99="OCCUPIED"),--($B$2:$B$99&lt;&gt;""),--(IFERROR(VALUE(LEFT(RIGHT($G$2:$G$99,7),4)),999)=IFERROR(VALUE(LEFT(RIGHT(G4,7),4)),999)),--($B$2:$B$99&lt;B4))+SUMPRODUCT(--ISERROR(SEARCH("WHEAT",$G$2:$G$99)),--($H$2:$H$99="OCCUPIED"),--($B$2:$B$99&lt;&gt;""),--(IFERROR(VALUE(LEFT(RIGHT($G$2:$G$99,7),4)),999)=IFERROR(VALUE(LEFT(RIGHT(G4,7),4)),999)),--($B$2:$B$99=B4),--(ROW($B$2:$B$99)&lt;=ROW())),""))</f>
        <v/>
      </c>
      <c r="S4" s="54" t="n"/>
    </row>
    <row r="5" ht="15" customHeight="1" s="236">
      <c r="A5" s="56">
        <f>IF(D5="","",ROWS($D$2:D5))</f>
        <v/>
      </c>
      <c r="B5" s="65" t="n">
        <v>46220</v>
      </c>
      <c r="C5" s="99" t="n">
        <v>9</v>
      </c>
      <c r="D5" s="99" t="inlineStr">
        <is>
          <t>9A04</t>
        </is>
      </c>
      <c r="E5" s="99" t="n">
        <v>3413</v>
      </c>
      <c r="F5" s="100" t="n">
        <v>164.835756</v>
      </c>
      <c r="G5" s="99" t="inlineStr">
        <is>
          <t>FRK  RRA 2023-24</t>
        </is>
      </c>
      <c r="H5" s="62">
        <f>IF(AND(E5="",F5="",G5=""),"EMPTY","OCCUPIED")</f>
        <v/>
      </c>
      <c r="I5" s="63">
        <f>IF(B5="","",IF(ISNUMBER(B5),MAX(0,TODAY()-B5),""))</f>
        <v/>
      </c>
      <c r="J5" s="65" t="n"/>
      <c r="K5" s="65" t="n"/>
      <c r="L5" s="66" t="n">
        <v>46235</v>
      </c>
      <c r="M5" s="38">
        <f>IF(AND(H5="OCCUPIED",ISNUMBER(J5),K5=""),1,0)</f>
        <v/>
      </c>
      <c r="N5" s="41">
        <f>IF(M5=1,COUNTIF($M$2:M5,1),"")</f>
        <v/>
      </c>
      <c r="O5" s="41">
        <f>IF(AND(H5="OCCUPIED",ISNUMBER(J5),K5=""),--(TODAY()-J5&gt;5),0)</f>
        <v/>
      </c>
      <c r="P5" s="41">
        <f>IF(O5=1,COUNTIF($O$2:O5,1),"")</f>
        <v/>
      </c>
      <c r="Q5" s="49">
        <f>IF(OR(B5="",G5="",H5&lt;&gt;"OCCUPIED"),"",IF(ISNUMBER(SEARCH("WHEAT",G5)),SUMPRODUCT(--ISNUMBER(SEARCH("WHEAT",$G$2:$G$99)),--($H$2:$H$99="OCCUPIED"),--($B$2:$B$99&lt;&gt;""),--(IFERROR(VALUE(LEFT(RIGHT($G$2:$G$99,7),4)),999)&lt;IFERROR(VALUE(LEFT(RIGHT(G5,7),4)),999)))+SUMPRODUCT(--ISNUMBER(SEARCH("WHEAT",$G$2:$G$99)),--($H$2:$H$99="OCCUPIED"),--($B$2:$B$99&lt;&gt;""),--(IFERROR(VALUE(LEFT(RIGHT($G$2:$G$99,7),4)),999)=IFERROR(VALUE(LEFT(RIGHT(G5,7),4)),999)),--($B$2:$B$99&lt;B5))+SUMPRODUCT(--ISNUMBER(SEARCH("WHEAT",$G$2:$G$99)),--($H$2:$H$99="OCCUPIED"),--($B$2:$B$99&lt;&gt;""),--(IFERROR(VALUE(LEFT(RIGHT($G$2:$G$99,7),4)),999)=IFERROR(VALUE(LEFT(RIGHT(G5,7),4)),999)),--($B$2:$B$99=B5),--(ROW($B$2:$B$99)&lt;=ROW())),""))</f>
        <v/>
      </c>
      <c r="R5" s="49">
        <f>IF(OR(B5="",G5="",H5&lt;&gt;"OCCUPIED"),"",IF(ISERROR(SEARCH("WHEAT",G5)),SUMPRODUCT(--ISERROR(SEARCH("WHEAT",$G$2:$G$99)),--($H$2:$H$99="OCCUPIED"),--($B$2:$B$99&lt;&gt;""),--(IFERROR(VALUE(LEFT(RIGHT($G$2:$G$99,7),4)),999)&lt;IFERROR(VALUE(LEFT(RIGHT(G5,7),4)),999)))+SUMPRODUCT(--ISERROR(SEARCH("WHEAT",$G$2:$G$99)),--($H$2:$H$99="OCCUPIED"),--($B$2:$B$99&lt;&gt;""),--(IFERROR(VALUE(LEFT(RIGHT($G$2:$G$99,7),4)),999)=IFERROR(VALUE(LEFT(RIGHT(G5,7),4)),999)),--($B$2:$B$99&lt;B5))+SUMPRODUCT(--ISERROR(SEARCH("WHEAT",$G$2:$G$99)),--($H$2:$H$99="OCCUPIED"),--($B$2:$B$99&lt;&gt;""),--(IFERROR(VALUE(LEFT(RIGHT($G$2:$G$99,7),4)),999)=IFERROR(VALUE(LEFT(RIGHT(G5,7),4)),999)),--($B$2:$B$99=B5),--(ROW($B$2:$B$99)&lt;=ROW())),""))</f>
        <v/>
      </c>
      <c r="S5" s="54" t="n"/>
    </row>
    <row r="6" ht="15" customHeight="1" s="236">
      <c r="A6" s="56">
        <f>IF(D6="","",ROWS($D$2:D6))</f>
        <v/>
      </c>
      <c r="B6" s="65" t="n">
        <v>45812</v>
      </c>
      <c r="C6" s="99" t="n">
        <v>9</v>
      </c>
      <c r="D6" s="99" t="inlineStr">
        <is>
          <t>9A05</t>
        </is>
      </c>
      <c r="E6" s="99" t="n">
        <v>3501</v>
      </c>
      <c r="F6" s="100" t="n">
        <v>174.250285</v>
      </c>
      <c r="G6" s="99" t="inlineStr">
        <is>
          <t>WHEAT FAQ 2025-26</t>
        </is>
      </c>
      <c r="H6" s="62">
        <f>IF(AND(E6="",F6="",G6=""),"EMPTY","OCCUPIED")</f>
        <v/>
      </c>
      <c r="I6" s="63">
        <f>IF(B6="","",IF(ISNUMBER(B6),MAX(0,TODAY()-B6),""))</f>
        <v/>
      </c>
      <c r="J6" s="65" t="n"/>
      <c r="K6" s="65" t="n"/>
      <c r="L6" s="66" t="n">
        <v>46156</v>
      </c>
      <c r="M6" s="38">
        <f>IF(AND(H6="OCCUPIED",ISNUMBER(J6),K6=""),1,0)</f>
        <v/>
      </c>
      <c r="N6" s="41">
        <f>IF(M6=1,COUNTIF($M$2:M6,1),"")</f>
        <v/>
      </c>
      <c r="O6" s="41">
        <f>IF(AND(H6="OCCUPIED",ISNUMBER(J6),K6=""),--(TODAY()-J6&gt;5),0)</f>
        <v/>
      </c>
      <c r="P6" s="41">
        <f>IF(O6=1,COUNTIF($O$2:O6,1),"")</f>
        <v/>
      </c>
      <c r="Q6" s="49">
        <f>IF(OR(B6="",G6="",H6&lt;&gt;"OCCUPIED"),"",IF(ISNUMBER(SEARCH("WHEAT",G6)),SUMPRODUCT(--ISNUMBER(SEARCH("WHEAT",$G$2:$G$99)),--($H$2:$H$99="OCCUPIED"),--($B$2:$B$99&lt;&gt;""),--(IFERROR(VALUE(LEFT(RIGHT($G$2:$G$99,7),4)),999)&lt;IFERROR(VALUE(LEFT(RIGHT(G6,7),4)),999)))+SUMPRODUCT(--ISNUMBER(SEARCH("WHEAT",$G$2:$G$99)),--($H$2:$H$99="OCCUPIED"),--($B$2:$B$99&lt;&gt;""),--(IFERROR(VALUE(LEFT(RIGHT($G$2:$G$99,7),4)),999)=IFERROR(VALUE(LEFT(RIGHT(G6,7),4)),999)),--($B$2:$B$99&lt;B6))+SUMPRODUCT(--ISNUMBER(SEARCH("WHEAT",$G$2:$G$99)),--($H$2:$H$99="OCCUPIED"),--($B$2:$B$99&lt;&gt;""),--(IFERROR(VALUE(LEFT(RIGHT($G$2:$G$99,7),4)),999)=IFERROR(VALUE(LEFT(RIGHT(G6,7),4)),999)),--($B$2:$B$99=B6),--(ROW($B$2:$B$99)&lt;=ROW())),""))</f>
        <v/>
      </c>
      <c r="R6" s="49">
        <f>IF(OR(B6="",G6="",H6&lt;&gt;"OCCUPIED"),"",IF(ISERROR(SEARCH("WHEAT",G6)),SUMPRODUCT(--ISERROR(SEARCH("WHEAT",$G$2:$G$99)),--($H$2:$H$99="OCCUPIED"),--($B$2:$B$99&lt;&gt;""),--(IFERROR(VALUE(LEFT(RIGHT($G$2:$G$99,7),4)),999)&lt;IFERROR(VALUE(LEFT(RIGHT(G6,7),4)),999)))+SUMPRODUCT(--ISERROR(SEARCH("WHEAT",$G$2:$G$99)),--($H$2:$H$99="OCCUPIED"),--($B$2:$B$99&lt;&gt;""),--(IFERROR(VALUE(LEFT(RIGHT($G$2:$G$99,7),4)),999)=IFERROR(VALUE(LEFT(RIGHT(G6,7),4)),999)),--($B$2:$B$99&lt;B6))+SUMPRODUCT(--ISERROR(SEARCH("WHEAT",$G$2:$G$99)),--($H$2:$H$99="OCCUPIED"),--($B$2:$B$99&lt;&gt;""),--(IFERROR(VALUE(LEFT(RIGHT($G$2:$G$99,7),4)),999)=IFERROR(VALUE(LEFT(RIGHT(G6,7),4)),999)),--($B$2:$B$99=B6),--(ROW($B$2:$B$99)&lt;=ROW())),""))</f>
        <v/>
      </c>
      <c r="S6" s="54" t="n"/>
    </row>
    <row r="7" ht="15" customHeight="1" s="236">
      <c r="A7" s="56">
        <f>IF(D7="","",ROWS($D$2:D7))</f>
        <v/>
      </c>
      <c r="B7" s="65" t="n"/>
      <c r="C7" s="99" t="n">
        <v>9</v>
      </c>
      <c r="D7" s="99" t="inlineStr">
        <is>
          <t>9A06</t>
        </is>
      </c>
      <c r="E7" s="99" t="n"/>
      <c r="F7" s="100" t="n"/>
      <c r="G7" s="99" t="n"/>
      <c r="H7" s="62">
        <f>IF(AND(E7="",F7="",G7=""),"EMPTY","OCCUPIED")</f>
        <v/>
      </c>
      <c r="I7" s="63">
        <f>IF(B7="","",IF(ISNUMBER(B7),MAX(0,TODAY()-B7),""))</f>
        <v/>
      </c>
      <c r="J7" s="65" t="n"/>
      <c r="K7" s="65" t="n"/>
      <c r="L7" s="66" t="n"/>
      <c r="M7" s="38">
        <f>IF(AND(H7="OCCUPIED",ISNUMBER(J7),K7=""),1,0)</f>
        <v/>
      </c>
      <c r="N7" s="41">
        <f>IF(M7=1,COUNTIF($M$2:M7,1),"")</f>
        <v/>
      </c>
      <c r="O7" s="41">
        <f>IF(AND(H7="OCCUPIED",ISNUMBER(J7),K7=""),--(TODAY()-J7&gt;5),0)</f>
        <v/>
      </c>
      <c r="P7" s="41">
        <f>IF(O7=1,COUNTIF($O$2:O7,1),"")</f>
        <v/>
      </c>
      <c r="Q7" s="49">
        <f>IF(OR(B7="",G7="",H7&lt;&gt;"OCCUPIED"),"",IF(ISNUMBER(SEARCH("WHEAT",G7)),SUMPRODUCT(--ISNUMBER(SEARCH("WHEAT",$G$2:$G$99)),--($H$2:$H$99="OCCUPIED"),--($B$2:$B$99&lt;&gt;""),--(IFERROR(VALUE(LEFT(RIGHT($G$2:$G$99,7),4)),999)&lt;IFERROR(VALUE(LEFT(RIGHT(G7,7),4)),999)))+SUMPRODUCT(--ISNUMBER(SEARCH("WHEAT",$G$2:$G$99)),--($H$2:$H$99="OCCUPIED"),--($B$2:$B$99&lt;&gt;""),--(IFERROR(VALUE(LEFT(RIGHT($G$2:$G$99,7),4)),999)=IFERROR(VALUE(LEFT(RIGHT(G7,7),4)),999)),--($B$2:$B$99&lt;B7))+SUMPRODUCT(--ISNUMBER(SEARCH("WHEAT",$G$2:$G$99)),--($H$2:$H$99="OCCUPIED"),--($B$2:$B$99&lt;&gt;""),--(IFERROR(VALUE(LEFT(RIGHT($G$2:$G$99,7),4)),999)=IFERROR(VALUE(LEFT(RIGHT(G7,7),4)),999)),--($B$2:$B$99=B7),--(ROW($B$2:$B$99)&lt;=ROW())),""))</f>
        <v/>
      </c>
      <c r="R7" s="49">
        <f>IF(OR(B7="",G7="",H7&lt;&gt;"OCCUPIED"),"",IF(ISERROR(SEARCH("WHEAT",G7)),SUMPRODUCT(--ISERROR(SEARCH("WHEAT",$G$2:$G$99)),--($H$2:$H$99="OCCUPIED"),--($B$2:$B$99&lt;&gt;""),--(IFERROR(VALUE(LEFT(RIGHT($G$2:$G$99,7),4)),999)&lt;IFERROR(VALUE(LEFT(RIGHT(G7,7),4)),999)))+SUMPRODUCT(--ISERROR(SEARCH("WHEAT",$G$2:$G$99)),--($H$2:$H$99="OCCUPIED"),--($B$2:$B$99&lt;&gt;""),--(IFERROR(VALUE(LEFT(RIGHT($G$2:$G$99,7),4)),999)=IFERROR(VALUE(LEFT(RIGHT(G7,7),4)),999)),--($B$2:$B$99&lt;B7))+SUMPRODUCT(--ISERROR(SEARCH("WHEAT",$G$2:$G$99)),--($H$2:$H$99="OCCUPIED"),--($B$2:$B$99&lt;&gt;""),--(IFERROR(VALUE(LEFT(RIGHT($G$2:$G$99,7),4)),999)=IFERROR(VALUE(LEFT(RIGHT(G7,7),4)),999)),--($B$2:$B$99=B7),--(ROW($B$2:$B$99)&lt;=ROW())),""))</f>
        <v/>
      </c>
      <c r="S7" s="54" t="n"/>
    </row>
    <row r="8" ht="15" customHeight="1" s="236">
      <c r="A8" s="56">
        <f>IF(D8="","",ROWS($D$2:D8))</f>
        <v/>
      </c>
      <c r="B8" s="65" t="n">
        <v>45954</v>
      </c>
      <c r="C8" s="99" t="n">
        <v>9</v>
      </c>
      <c r="D8" s="99" t="inlineStr">
        <is>
          <t>9A07</t>
        </is>
      </c>
      <c r="E8" s="99" t="n">
        <v>3501</v>
      </c>
      <c r="F8" s="100" t="n">
        <v>172.964622</v>
      </c>
      <c r="G8" s="99" t="inlineStr">
        <is>
          <t>FRK  RRA 2024-25</t>
        </is>
      </c>
      <c r="H8" s="62">
        <f>IF(AND(E8="",F8="",G8=""),"EMPTY","OCCUPIED")</f>
        <v/>
      </c>
      <c r="I8" s="63">
        <f>IF(B8="","",IF(ISNUMBER(B8),MAX(0,TODAY()-B8),""))</f>
        <v/>
      </c>
      <c r="J8" s="65" t="n"/>
      <c r="K8" s="65" t="n"/>
      <c r="L8" s="66" t="n">
        <v>46228</v>
      </c>
      <c r="M8" s="38">
        <f>IF(AND(H8="OCCUPIED",ISNUMBER(J8),K8=""),1,0)</f>
        <v/>
      </c>
      <c r="N8" s="41">
        <f>IF(M8=1,COUNTIF($M$2:M8,1),"")</f>
        <v/>
      </c>
      <c r="O8" s="41">
        <f>IF(AND(H8="OCCUPIED",ISNUMBER(J8),K8=""),--(TODAY()-J8&gt;5),0)</f>
        <v/>
      </c>
      <c r="P8" s="41">
        <f>IF(O8=1,COUNTIF($O$2:O8,1),"")</f>
        <v/>
      </c>
      <c r="Q8" s="49">
        <f>IF(OR(B8="",G8="",H8&lt;&gt;"OCCUPIED"),"",IF(ISNUMBER(SEARCH("WHEAT",G8)),SUMPRODUCT(--ISNUMBER(SEARCH("WHEAT",$G$2:$G$99)),--($H$2:$H$99="OCCUPIED"),--($B$2:$B$99&lt;&gt;""),--(IFERROR(VALUE(LEFT(RIGHT($G$2:$G$99,7),4)),999)&lt;IFERROR(VALUE(LEFT(RIGHT(G8,7),4)),999)))+SUMPRODUCT(--ISNUMBER(SEARCH("WHEAT",$G$2:$G$99)),--($H$2:$H$99="OCCUPIED"),--($B$2:$B$99&lt;&gt;""),--(IFERROR(VALUE(LEFT(RIGHT($G$2:$G$99,7),4)),999)=IFERROR(VALUE(LEFT(RIGHT(G8,7),4)),999)),--($B$2:$B$99&lt;B8))+SUMPRODUCT(--ISNUMBER(SEARCH("WHEAT",$G$2:$G$99)),--($H$2:$H$99="OCCUPIED"),--($B$2:$B$99&lt;&gt;""),--(IFERROR(VALUE(LEFT(RIGHT($G$2:$G$99,7),4)),999)=IFERROR(VALUE(LEFT(RIGHT(G8,7),4)),999)),--($B$2:$B$99=B8),--(ROW($B$2:$B$99)&lt;=ROW())),""))</f>
        <v/>
      </c>
      <c r="R8" s="49">
        <f>IF(OR(B8="",G8="",H8&lt;&gt;"OCCUPIED"),"",IF(ISERROR(SEARCH("WHEAT",G8)),SUMPRODUCT(--ISERROR(SEARCH("WHEAT",$G$2:$G$99)),--($H$2:$H$99="OCCUPIED"),--($B$2:$B$99&lt;&gt;""),--(IFERROR(VALUE(LEFT(RIGHT($G$2:$G$99,7),4)),999)&lt;IFERROR(VALUE(LEFT(RIGHT(G8,7),4)),999)))+SUMPRODUCT(--ISERROR(SEARCH("WHEAT",$G$2:$G$99)),--($H$2:$H$99="OCCUPIED"),--($B$2:$B$99&lt;&gt;""),--(IFERROR(VALUE(LEFT(RIGHT($G$2:$G$99,7),4)),999)=IFERROR(VALUE(LEFT(RIGHT(G8,7),4)),999)),--($B$2:$B$99&lt;B8))+SUMPRODUCT(--ISERROR(SEARCH("WHEAT",$G$2:$G$99)),--($H$2:$H$99="OCCUPIED"),--($B$2:$B$99&lt;&gt;""),--(IFERROR(VALUE(LEFT(RIGHT($G$2:$G$99,7),4)),999)=IFERROR(VALUE(LEFT(RIGHT(G8,7),4)),999)),--($B$2:$B$99=B8),--(ROW($B$2:$B$99)&lt;=ROW())),""))</f>
        <v/>
      </c>
      <c r="S8" s="54" t="n"/>
    </row>
    <row r="9" ht="15" customHeight="1" s="236">
      <c r="A9" s="56">
        <f>IF(D9="","",ROWS($D$2:D9))</f>
        <v/>
      </c>
      <c r="B9" s="65" t="n">
        <v>46107</v>
      </c>
      <c r="C9" s="99" t="n">
        <v>9</v>
      </c>
      <c r="D9" s="99" t="inlineStr">
        <is>
          <t>9A08</t>
        </is>
      </c>
      <c r="E9" s="99" t="n">
        <v>3501</v>
      </c>
      <c r="F9" s="100" t="n">
        <v>173.953365</v>
      </c>
      <c r="G9" s="99" t="inlineStr">
        <is>
          <t>FRK  RRA 2024-25</t>
        </is>
      </c>
      <c r="H9" s="62">
        <f>IF(AND(E9="",F9="",G9=""),"EMPTY","OCCUPIED")</f>
        <v/>
      </c>
      <c r="I9" s="63">
        <f>IF(B9="","",IF(ISNUMBER(B9),MAX(0,TODAY()-B9),""))</f>
        <v/>
      </c>
      <c r="J9" s="65" t="n"/>
      <c r="K9" s="65" t="n"/>
      <c r="L9" s="66" t="n">
        <v>46232</v>
      </c>
      <c r="M9" s="38">
        <f>IF(AND(H9="OCCUPIED",ISNUMBER(J9),K9=""),1,0)</f>
        <v/>
      </c>
      <c r="N9" s="41">
        <f>IF(M9=1,COUNTIF($M$2:M9,1),"")</f>
        <v/>
      </c>
      <c r="O9" s="41">
        <f>IF(AND(H9="OCCUPIED",ISNUMBER(J9),K9=""),--(TODAY()-J9&gt;5),0)</f>
        <v/>
      </c>
      <c r="P9" s="41">
        <f>IF(O9=1,COUNTIF($O$2:O9,1),"")</f>
        <v/>
      </c>
      <c r="Q9" s="49">
        <f>IF(OR(B9="",G9="",H9&lt;&gt;"OCCUPIED"),"",IF(ISNUMBER(SEARCH("WHEAT",G9)),SUMPRODUCT(--ISNUMBER(SEARCH("WHEAT",$G$2:$G$99)),--($H$2:$H$99="OCCUPIED"),--($B$2:$B$99&lt;&gt;""),--(IFERROR(VALUE(LEFT(RIGHT($G$2:$G$99,7),4)),999)&lt;IFERROR(VALUE(LEFT(RIGHT(G9,7),4)),999)))+SUMPRODUCT(--ISNUMBER(SEARCH("WHEAT",$G$2:$G$99)),--($H$2:$H$99="OCCUPIED"),--($B$2:$B$99&lt;&gt;""),--(IFERROR(VALUE(LEFT(RIGHT($G$2:$G$99,7),4)),999)=IFERROR(VALUE(LEFT(RIGHT(G9,7),4)),999)),--($B$2:$B$99&lt;B9))+SUMPRODUCT(--ISNUMBER(SEARCH("WHEAT",$G$2:$G$99)),--($H$2:$H$99="OCCUPIED"),--($B$2:$B$99&lt;&gt;""),--(IFERROR(VALUE(LEFT(RIGHT($G$2:$G$99,7),4)),999)=IFERROR(VALUE(LEFT(RIGHT(G9,7),4)),999)),--($B$2:$B$99=B9),--(ROW($B$2:$B$99)&lt;=ROW())),""))</f>
        <v/>
      </c>
      <c r="R9" s="49">
        <f>IF(OR(B9="",G9="",H9&lt;&gt;"OCCUPIED"),"",IF(ISERROR(SEARCH("WHEAT",G9)),SUMPRODUCT(--ISERROR(SEARCH("WHEAT",$G$2:$G$99)),--($H$2:$H$99="OCCUPIED"),--($B$2:$B$99&lt;&gt;""),--(IFERROR(VALUE(LEFT(RIGHT($G$2:$G$99,7),4)),999)&lt;IFERROR(VALUE(LEFT(RIGHT(G9,7),4)),999)))+SUMPRODUCT(--ISERROR(SEARCH("WHEAT",$G$2:$G$99)),--($H$2:$H$99="OCCUPIED"),--($B$2:$B$99&lt;&gt;""),--(IFERROR(VALUE(LEFT(RIGHT($G$2:$G$99,7),4)),999)=IFERROR(VALUE(LEFT(RIGHT(G9,7),4)),999)),--($B$2:$B$99&lt;B9))+SUMPRODUCT(--ISERROR(SEARCH("WHEAT",$G$2:$G$99)),--($H$2:$H$99="OCCUPIED"),--($B$2:$B$99&lt;&gt;""),--(IFERROR(VALUE(LEFT(RIGHT($G$2:$G$99,7),4)),999)=IFERROR(VALUE(LEFT(RIGHT(G9,7),4)),999)),--($B$2:$B$99=B9),--(ROW($B$2:$B$99)&lt;=ROW())),""))</f>
        <v/>
      </c>
      <c r="S9" s="54" t="n"/>
    </row>
    <row r="10" ht="15" customHeight="1" s="236">
      <c r="A10" s="56">
        <f>IF(D10="","",ROWS($D$2:D10))</f>
        <v/>
      </c>
      <c r="B10" s="65" t="n"/>
      <c r="C10" s="99" t="n">
        <v>9</v>
      </c>
      <c r="D10" s="99" t="inlineStr">
        <is>
          <t>9A09</t>
        </is>
      </c>
      <c r="E10" s="99" t="n"/>
      <c r="F10" s="100" t="n"/>
      <c r="G10" s="99" t="n"/>
      <c r="H10" s="62">
        <f>IF(AND(E10="",F10="",G10=""),"EMPTY","OCCUPIED")</f>
        <v/>
      </c>
      <c r="I10" s="63">
        <f>IF(B10="","",IF(ISNUMBER(B10),MAX(0,TODAY()-B10),""))</f>
        <v/>
      </c>
      <c r="J10" s="65" t="n"/>
      <c r="K10" s="65" t="n"/>
      <c r="L10" s="66" t="n"/>
      <c r="M10" s="38">
        <f>IF(AND(H10="OCCUPIED",ISNUMBER(J10),K10=""),1,0)</f>
        <v/>
      </c>
      <c r="N10" s="41">
        <f>IF(M10=1,COUNTIF($M$2:M10,1),"")</f>
        <v/>
      </c>
      <c r="O10" s="41">
        <f>IF(AND(H10="OCCUPIED",ISNUMBER(J10),K10=""),--(TODAY()-J10&gt;5),0)</f>
        <v/>
      </c>
      <c r="P10" s="41">
        <f>IF(O10=1,COUNTIF($O$2:O10,1),"")</f>
        <v/>
      </c>
      <c r="Q10" s="49">
        <f>IF(OR(B10="",G10="",H10&lt;&gt;"OCCUPIED"),"",IF(ISNUMBER(SEARCH("WHEAT",G10)),SUMPRODUCT(--ISNUMBER(SEARCH("WHEAT",$G$2:$G$99)),--($H$2:$H$99="OCCUPIED"),--($B$2:$B$99&lt;&gt;""),--(IFERROR(VALUE(LEFT(RIGHT($G$2:$G$99,7),4)),999)&lt;IFERROR(VALUE(LEFT(RIGHT(G10,7),4)),999)))+SUMPRODUCT(--ISNUMBER(SEARCH("WHEAT",$G$2:$G$99)),--($H$2:$H$99="OCCUPIED"),--($B$2:$B$99&lt;&gt;""),--(IFERROR(VALUE(LEFT(RIGHT($G$2:$G$99,7),4)),999)=IFERROR(VALUE(LEFT(RIGHT(G10,7),4)),999)),--($B$2:$B$99&lt;B10))+SUMPRODUCT(--ISNUMBER(SEARCH("WHEAT",$G$2:$G$99)),--($H$2:$H$99="OCCUPIED"),--($B$2:$B$99&lt;&gt;""),--(IFERROR(VALUE(LEFT(RIGHT($G$2:$G$99,7),4)),999)=IFERROR(VALUE(LEFT(RIGHT(G10,7),4)),999)),--($B$2:$B$99=B10),--(ROW($B$2:$B$99)&lt;=ROW())),""))</f>
        <v/>
      </c>
      <c r="R10" s="49">
        <f>IF(OR(B10="",G10="",H10&lt;&gt;"OCCUPIED"),"",IF(ISERROR(SEARCH("WHEAT",G10)),SUMPRODUCT(--ISERROR(SEARCH("WHEAT",$G$2:$G$99)),--($H$2:$H$99="OCCUPIED"),--($B$2:$B$99&lt;&gt;""),--(IFERROR(VALUE(LEFT(RIGHT($G$2:$G$99,7),4)),999)&lt;IFERROR(VALUE(LEFT(RIGHT(G10,7),4)),999)))+SUMPRODUCT(--ISERROR(SEARCH("WHEAT",$G$2:$G$99)),--($H$2:$H$99="OCCUPIED"),--($B$2:$B$99&lt;&gt;""),--(IFERROR(VALUE(LEFT(RIGHT($G$2:$G$99,7),4)),999)=IFERROR(VALUE(LEFT(RIGHT(G10,7),4)),999)),--($B$2:$B$99&lt;B10))+SUMPRODUCT(--ISERROR(SEARCH("WHEAT",$G$2:$G$99)),--($H$2:$H$99="OCCUPIED"),--($B$2:$B$99&lt;&gt;""),--(IFERROR(VALUE(LEFT(RIGHT($G$2:$G$99,7),4)),999)=IFERROR(VALUE(LEFT(RIGHT(G10,7),4)),999)),--($B$2:$B$99=B10),--(ROW($B$2:$B$99)&lt;=ROW())),""))</f>
        <v/>
      </c>
      <c r="S10" s="54" t="n"/>
    </row>
    <row r="11" ht="15" customHeight="1" s="236">
      <c r="A11" s="56">
        <f>IF(D11="","",ROWS($D$2:D11))</f>
        <v/>
      </c>
      <c r="B11" s="65" t="n">
        <v>46112</v>
      </c>
      <c r="C11" s="99" t="n">
        <v>9</v>
      </c>
      <c r="D11" s="99" t="inlineStr">
        <is>
          <t>9B10</t>
        </is>
      </c>
      <c r="E11" s="99" t="n">
        <v>3501</v>
      </c>
      <c r="F11" s="100" t="n">
        <v>170.647564</v>
      </c>
      <c r="G11" s="99" t="inlineStr">
        <is>
          <t>FRK  RRA 2024-25</t>
        </is>
      </c>
      <c r="H11" s="62">
        <f>IF(AND(E11="",F11="",G11=""),"EMPTY","OCCUPIED")</f>
        <v/>
      </c>
      <c r="I11" s="63">
        <f>IF(B11="","",IF(ISNUMBER(B11),MAX(0,TODAY()-B11),""))</f>
        <v/>
      </c>
      <c r="J11" s="65" t="n"/>
      <c r="K11" s="65" t="n"/>
      <c r="L11" s="66" t="n">
        <v>46255</v>
      </c>
      <c r="M11" s="38">
        <f>IF(AND(H11="OCCUPIED",ISNUMBER(J11),K11=""),1,0)</f>
        <v/>
      </c>
      <c r="N11" s="41">
        <f>IF(M11=1,COUNTIF($M$2:M11,1),"")</f>
        <v/>
      </c>
      <c r="O11" s="41">
        <f>IF(AND(H11="OCCUPIED",ISNUMBER(J11),K11=""),--(TODAY()-J11&gt;5),0)</f>
        <v/>
      </c>
      <c r="P11" s="41">
        <f>IF(O11=1,COUNTIF($O$2:O11,1),"")</f>
        <v/>
      </c>
      <c r="Q11" s="49">
        <f>IF(OR(B11="",G11="",H11&lt;&gt;"OCCUPIED"),"",IF(ISNUMBER(SEARCH("WHEAT",G11)),SUMPRODUCT(--ISNUMBER(SEARCH("WHEAT",$G$2:$G$99)),--($H$2:$H$99="OCCUPIED"),--($B$2:$B$99&lt;&gt;""),--(IFERROR(VALUE(LEFT(RIGHT($G$2:$G$99,7),4)),999)&lt;IFERROR(VALUE(LEFT(RIGHT(G11,7),4)),999)))+SUMPRODUCT(--ISNUMBER(SEARCH("WHEAT",$G$2:$G$99)),--($H$2:$H$99="OCCUPIED"),--($B$2:$B$99&lt;&gt;""),--(IFERROR(VALUE(LEFT(RIGHT($G$2:$G$99,7),4)),999)=IFERROR(VALUE(LEFT(RIGHT(G11,7),4)),999)),--($B$2:$B$99&lt;B11))+SUMPRODUCT(--ISNUMBER(SEARCH("WHEAT",$G$2:$G$99)),--($H$2:$H$99="OCCUPIED"),--($B$2:$B$99&lt;&gt;""),--(IFERROR(VALUE(LEFT(RIGHT($G$2:$G$99,7),4)),999)=IFERROR(VALUE(LEFT(RIGHT(G11,7),4)),999)),--($B$2:$B$99=B11),--(ROW($B$2:$B$99)&lt;=ROW())),""))</f>
        <v/>
      </c>
      <c r="R11" s="49">
        <f>IF(OR(B11="",G11="",H11&lt;&gt;"OCCUPIED"),"",IF(ISERROR(SEARCH("WHEAT",G11)),SUMPRODUCT(--ISERROR(SEARCH("WHEAT",$G$2:$G$99)),--($H$2:$H$99="OCCUPIED"),--($B$2:$B$99&lt;&gt;""),--(IFERROR(VALUE(LEFT(RIGHT($G$2:$G$99,7),4)),999)&lt;IFERROR(VALUE(LEFT(RIGHT(G11,7),4)),999)))+SUMPRODUCT(--ISERROR(SEARCH("WHEAT",$G$2:$G$99)),--($H$2:$H$99="OCCUPIED"),--($B$2:$B$99&lt;&gt;""),--(IFERROR(VALUE(LEFT(RIGHT($G$2:$G$99,7),4)),999)=IFERROR(VALUE(LEFT(RIGHT(G11,7),4)),999)),--($B$2:$B$99&lt;B11))+SUMPRODUCT(--ISERROR(SEARCH("WHEAT",$G$2:$G$99)),--($H$2:$H$99="OCCUPIED"),--($B$2:$B$99&lt;&gt;""),--(IFERROR(VALUE(LEFT(RIGHT($G$2:$G$99,7),4)),999)=IFERROR(VALUE(LEFT(RIGHT(G11,7),4)),999)),--($B$2:$B$99=B11),--(ROW($B$2:$B$99)&lt;=ROW())),""))</f>
        <v/>
      </c>
      <c r="S11" s="54" t="n"/>
    </row>
    <row r="12" ht="15" customHeight="1" s="236">
      <c r="A12" s="56">
        <f>IF(D12="","",ROWS($D$2:D12))</f>
        <v/>
      </c>
      <c r="B12" s="65" t="n">
        <v>45882</v>
      </c>
      <c r="C12" s="99" t="n">
        <v>9</v>
      </c>
      <c r="D12" s="99" t="inlineStr">
        <is>
          <t>9B11</t>
        </is>
      </c>
      <c r="E12" s="99" t="n">
        <v>3501</v>
      </c>
      <c r="F12" s="100" t="n">
        <v>177.259771</v>
      </c>
      <c r="G12" s="99" t="inlineStr">
        <is>
          <t>WHEAT FAQ 2025-26</t>
        </is>
      </c>
      <c r="H12" s="62">
        <f>IF(AND(E12="",F12="",G12=""),"EMPTY","OCCUPIED")</f>
        <v/>
      </c>
      <c r="I12" s="63">
        <f>IF(B12="","",IF(ISNUMBER(B12),MAX(0,TODAY()-B12),""))</f>
        <v/>
      </c>
      <c r="J12" s="65" t="n"/>
      <c r="K12" s="65" t="n"/>
      <c r="L12" s="66" t="n">
        <v>46255</v>
      </c>
      <c r="M12" s="38">
        <f>IF(AND(H12="OCCUPIED",ISNUMBER(J12),K12=""),1,0)</f>
        <v/>
      </c>
      <c r="N12" s="41">
        <f>IF(M12=1,COUNTIF($M$2:M12,1),"")</f>
        <v/>
      </c>
      <c r="O12" s="41">
        <f>IF(AND(H12="OCCUPIED",ISNUMBER(J12),K12=""),--(TODAY()-J12&gt;5),0)</f>
        <v/>
      </c>
      <c r="P12" s="41">
        <f>IF(O12=1,COUNTIF($O$2:O12,1),"")</f>
        <v/>
      </c>
      <c r="Q12" s="49">
        <f>IF(OR(B12="",G12="",H12&lt;&gt;"OCCUPIED"),"",IF(ISNUMBER(SEARCH("WHEAT",G12)),SUMPRODUCT(--ISNUMBER(SEARCH("WHEAT",$G$2:$G$99)),--($H$2:$H$99="OCCUPIED"),--($B$2:$B$99&lt;&gt;""),--(IFERROR(VALUE(LEFT(RIGHT($G$2:$G$99,7),4)),999)&lt;IFERROR(VALUE(LEFT(RIGHT(G12,7),4)),999)))+SUMPRODUCT(--ISNUMBER(SEARCH("WHEAT",$G$2:$G$99)),--($H$2:$H$99="OCCUPIED"),--($B$2:$B$99&lt;&gt;""),--(IFERROR(VALUE(LEFT(RIGHT($G$2:$G$99,7),4)),999)=IFERROR(VALUE(LEFT(RIGHT(G12,7),4)),999)),--($B$2:$B$99&lt;B12))+SUMPRODUCT(--ISNUMBER(SEARCH("WHEAT",$G$2:$G$99)),--($H$2:$H$99="OCCUPIED"),--($B$2:$B$99&lt;&gt;""),--(IFERROR(VALUE(LEFT(RIGHT($G$2:$G$99,7),4)),999)=IFERROR(VALUE(LEFT(RIGHT(G12,7),4)),999)),--($B$2:$B$99=B12),--(ROW($B$2:$B$99)&lt;=ROW())),""))</f>
        <v/>
      </c>
      <c r="R12" s="49">
        <f>IF(OR(B12="",G12="",H12&lt;&gt;"OCCUPIED"),"",IF(ISERROR(SEARCH("WHEAT",G12)),SUMPRODUCT(--ISERROR(SEARCH("WHEAT",$G$2:$G$99)),--($H$2:$H$99="OCCUPIED"),--($B$2:$B$99&lt;&gt;""),--(IFERROR(VALUE(LEFT(RIGHT($G$2:$G$99,7),4)),999)&lt;IFERROR(VALUE(LEFT(RIGHT(G12,7),4)),999)))+SUMPRODUCT(--ISERROR(SEARCH("WHEAT",$G$2:$G$99)),--($H$2:$H$99="OCCUPIED"),--($B$2:$B$99&lt;&gt;""),--(IFERROR(VALUE(LEFT(RIGHT($G$2:$G$99,7),4)),999)=IFERROR(VALUE(LEFT(RIGHT(G12,7),4)),999)),--($B$2:$B$99&lt;B12))+SUMPRODUCT(--ISERROR(SEARCH("WHEAT",$G$2:$G$99)),--($H$2:$H$99="OCCUPIED"),--($B$2:$B$99&lt;&gt;""),--(IFERROR(VALUE(LEFT(RIGHT($G$2:$G$99,7),4)),999)=IFERROR(VALUE(LEFT(RIGHT(G12,7),4)),999)),--($B$2:$B$99=B12),--(ROW($B$2:$B$99)&lt;=ROW())),""))</f>
        <v/>
      </c>
      <c r="S12" s="54" t="n"/>
    </row>
    <row r="13" ht="15" customHeight="1" s="236">
      <c r="A13" s="56">
        <f>IF(D13="","",ROWS($D$2:D13))</f>
        <v/>
      </c>
      <c r="B13" s="65" t="n">
        <v>45948</v>
      </c>
      <c r="C13" s="99" t="n">
        <v>9</v>
      </c>
      <c r="D13" s="99" t="inlineStr">
        <is>
          <t>9B12</t>
        </is>
      </c>
      <c r="E13" s="99" t="n">
        <v>3501</v>
      </c>
      <c r="F13" s="100" t="n">
        <v>172.85983</v>
      </c>
      <c r="G13" s="99" t="inlineStr">
        <is>
          <t>FRK  RRA 2024-25</t>
        </is>
      </c>
      <c r="H13" s="62">
        <f>IF(AND(E13="",F13="",G13=""),"EMPTY","OCCUPIED")</f>
        <v/>
      </c>
      <c r="I13" s="63">
        <f>IF(B13="","",IF(ISNUMBER(B13),MAX(0,TODAY()-B13),""))</f>
        <v/>
      </c>
      <c r="J13" s="65" t="n"/>
      <c r="K13" s="65" t="n"/>
      <c r="L13" s="66" t="n">
        <v>46235</v>
      </c>
      <c r="M13" s="38">
        <f>IF(AND(H13="OCCUPIED",ISNUMBER(J13),K13=""),1,0)</f>
        <v/>
      </c>
      <c r="N13" s="41">
        <f>IF(M13=1,COUNTIF($M$2:M13,1),"")</f>
        <v/>
      </c>
      <c r="O13" s="41">
        <f>IF(AND(H13="OCCUPIED",ISNUMBER(J13),K13=""),--(TODAY()-J13&gt;5),0)</f>
        <v/>
      </c>
      <c r="P13" s="41">
        <f>IF(O13=1,COUNTIF($O$2:O13,1),"")</f>
        <v/>
      </c>
      <c r="Q13" s="49">
        <f>IF(OR(B13="",G13="",H13&lt;&gt;"OCCUPIED"),"",IF(ISNUMBER(SEARCH("WHEAT",G13)),SUMPRODUCT(--ISNUMBER(SEARCH("WHEAT",$G$2:$G$99)),--($H$2:$H$99="OCCUPIED"),--($B$2:$B$99&lt;&gt;""),--(IFERROR(VALUE(LEFT(RIGHT($G$2:$G$99,7),4)),999)&lt;IFERROR(VALUE(LEFT(RIGHT(G13,7),4)),999)))+SUMPRODUCT(--ISNUMBER(SEARCH("WHEAT",$G$2:$G$99)),--($H$2:$H$99="OCCUPIED"),--($B$2:$B$99&lt;&gt;""),--(IFERROR(VALUE(LEFT(RIGHT($G$2:$G$99,7),4)),999)=IFERROR(VALUE(LEFT(RIGHT(G13,7),4)),999)),--($B$2:$B$99&lt;B13))+SUMPRODUCT(--ISNUMBER(SEARCH("WHEAT",$G$2:$G$99)),--($H$2:$H$99="OCCUPIED"),--($B$2:$B$99&lt;&gt;""),--(IFERROR(VALUE(LEFT(RIGHT($G$2:$G$99,7),4)),999)=IFERROR(VALUE(LEFT(RIGHT(G13,7),4)),999)),--($B$2:$B$99=B13),--(ROW($B$2:$B$99)&lt;=ROW())),""))</f>
        <v/>
      </c>
      <c r="R13" s="49">
        <f>IF(OR(B13="",G13="",H13&lt;&gt;"OCCUPIED"),"",IF(ISERROR(SEARCH("WHEAT",G13)),SUMPRODUCT(--ISERROR(SEARCH("WHEAT",$G$2:$G$99)),--($H$2:$H$99="OCCUPIED"),--($B$2:$B$99&lt;&gt;""),--(IFERROR(VALUE(LEFT(RIGHT($G$2:$G$99,7),4)),999)&lt;IFERROR(VALUE(LEFT(RIGHT(G13,7),4)),999)))+SUMPRODUCT(--ISERROR(SEARCH("WHEAT",$G$2:$G$99)),--($H$2:$H$99="OCCUPIED"),--($B$2:$B$99&lt;&gt;""),--(IFERROR(VALUE(LEFT(RIGHT($G$2:$G$99,7),4)),999)=IFERROR(VALUE(LEFT(RIGHT(G13,7),4)),999)),--($B$2:$B$99&lt;B13))+SUMPRODUCT(--ISERROR(SEARCH("WHEAT",$G$2:$G$99)),--($H$2:$H$99="OCCUPIED"),--($B$2:$B$99&lt;&gt;""),--(IFERROR(VALUE(LEFT(RIGHT($G$2:$G$99,7),4)),999)=IFERROR(VALUE(LEFT(RIGHT(G13,7),4)),999)),--($B$2:$B$99=B13),--(ROW($B$2:$B$99)&lt;=ROW())),""))</f>
        <v/>
      </c>
      <c r="S13" s="54" t="n"/>
    </row>
    <row r="14" ht="15" customHeight="1" s="236">
      <c r="A14" s="56">
        <f>IF(D14="","",ROWS($D$2:D14))</f>
        <v/>
      </c>
      <c r="B14" s="65" t="n">
        <v>46043</v>
      </c>
      <c r="C14" s="99" t="n">
        <v>9</v>
      </c>
      <c r="D14" s="99" t="inlineStr">
        <is>
          <t>9B13</t>
        </is>
      </c>
      <c r="E14" s="99" t="n">
        <v>3501</v>
      </c>
      <c r="F14" s="100" t="n">
        <v>172.480731</v>
      </c>
      <c r="G14" s="99" t="inlineStr">
        <is>
          <t>FRK  RRA 2024-25</t>
        </is>
      </c>
      <c r="H14" s="62">
        <f>IF(AND(E14="",F14="",G14=""),"EMPTY","OCCUPIED")</f>
        <v/>
      </c>
      <c r="I14" s="63">
        <f>IF(B14="","",IF(ISNUMBER(B14),MAX(0,TODAY()-B14),""))</f>
        <v/>
      </c>
      <c r="J14" s="65" t="n"/>
      <c r="K14" s="65" t="n"/>
      <c r="L14" s="66" t="n">
        <v>46204</v>
      </c>
      <c r="M14" s="38">
        <f>IF(AND(H14="OCCUPIED",ISNUMBER(J14),K14=""),1,0)</f>
        <v/>
      </c>
      <c r="N14" s="41">
        <f>IF(M14=1,COUNTIF($M$2:M14,1),"")</f>
        <v/>
      </c>
      <c r="O14" s="41">
        <f>IF(AND(H14="OCCUPIED",ISNUMBER(J14),K14=""),--(TODAY()-J14&gt;5),0)</f>
        <v/>
      </c>
      <c r="P14" s="41">
        <f>IF(O14=1,COUNTIF($O$2:O14,1),"")</f>
        <v/>
      </c>
      <c r="Q14" s="49">
        <f>IF(OR(B14="",G14="",H14&lt;&gt;"OCCUPIED"),"",IF(ISNUMBER(SEARCH("WHEAT",G14)),SUMPRODUCT(--ISNUMBER(SEARCH("WHEAT",$G$2:$G$99)),--($H$2:$H$99="OCCUPIED"),--($B$2:$B$99&lt;&gt;""),--(IFERROR(VALUE(LEFT(RIGHT($G$2:$G$99,7),4)),999)&lt;IFERROR(VALUE(LEFT(RIGHT(G14,7),4)),999)))+SUMPRODUCT(--ISNUMBER(SEARCH("WHEAT",$G$2:$G$99)),--($H$2:$H$99="OCCUPIED"),--($B$2:$B$99&lt;&gt;""),--(IFERROR(VALUE(LEFT(RIGHT($G$2:$G$99,7),4)),999)=IFERROR(VALUE(LEFT(RIGHT(G14,7),4)),999)),--($B$2:$B$99&lt;B14))+SUMPRODUCT(--ISNUMBER(SEARCH("WHEAT",$G$2:$G$99)),--($H$2:$H$99="OCCUPIED"),--($B$2:$B$99&lt;&gt;""),--(IFERROR(VALUE(LEFT(RIGHT($G$2:$G$99,7),4)),999)=IFERROR(VALUE(LEFT(RIGHT(G14,7),4)),999)),--($B$2:$B$99=B14),--(ROW($B$2:$B$99)&lt;=ROW())),""))</f>
        <v/>
      </c>
      <c r="R14" s="49">
        <f>IF(OR(B14="",G14="",H14&lt;&gt;"OCCUPIED"),"",IF(ISERROR(SEARCH("WHEAT",G14)),SUMPRODUCT(--ISERROR(SEARCH("WHEAT",$G$2:$G$99)),--($H$2:$H$99="OCCUPIED"),--($B$2:$B$99&lt;&gt;""),--(IFERROR(VALUE(LEFT(RIGHT($G$2:$G$99,7),4)),999)&lt;IFERROR(VALUE(LEFT(RIGHT(G14,7),4)),999)))+SUMPRODUCT(--ISERROR(SEARCH("WHEAT",$G$2:$G$99)),--($H$2:$H$99="OCCUPIED"),--($B$2:$B$99&lt;&gt;""),--(IFERROR(VALUE(LEFT(RIGHT($G$2:$G$99,7),4)),999)=IFERROR(VALUE(LEFT(RIGHT(G14,7),4)),999)),--($B$2:$B$99&lt;B14))+SUMPRODUCT(--ISERROR(SEARCH("WHEAT",$G$2:$G$99)),--($H$2:$H$99="OCCUPIED"),--($B$2:$B$99&lt;&gt;""),--(IFERROR(VALUE(LEFT(RIGHT($G$2:$G$99,7),4)),999)=IFERROR(VALUE(LEFT(RIGHT(G14,7),4)),999)),--($B$2:$B$99=B14),--(ROW($B$2:$B$99)&lt;=ROW())),""))</f>
        <v/>
      </c>
      <c r="S14" s="54" t="n"/>
    </row>
    <row r="15" ht="15" customHeight="1" s="236">
      <c r="A15" s="56">
        <f>IF(D15="","",ROWS($D$2:D15))</f>
        <v/>
      </c>
      <c r="B15" s="65" t="n">
        <v>46018</v>
      </c>
      <c r="C15" s="99" t="n">
        <v>9</v>
      </c>
      <c r="D15" s="99" t="inlineStr">
        <is>
          <t>9B14</t>
        </is>
      </c>
      <c r="E15" s="99" t="n">
        <v>3501</v>
      </c>
      <c r="F15" s="100" t="n">
        <v>173.251172</v>
      </c>
      <c r="G15" s="99" t="inlineStr">
        <is>
          <t>FRK  RRA 2024-25</t>
        </is>
      </c>
      <c r="H15" s="62">
        <f>IF(AND(E15="",F15="",G15=""),"EMPTY","OCCUPIED")</f>
        <v/>
      </c>
      <c r="I15" s="63">
        <f>IF(B15="","",IF(ISNUMBER(B15),MAX(0,TODAY()-B15),""))</f>
        <v/>
      </c>
      <c r="J15" s="65" t="n"/>
      <c r="K15" s="65" t="n"/>
      <c r="L15" s="66" t="n">
        <v>46255</v>
      </c>
      <c r="M15" s="38">
        <f>IF(AND(H15="OCCUPIED",ISNUMBER(J15),K15=""),1,0)</f>
        <v/>
      </c>
      <c r="N15" s="41">
        <f>IF(M15=1,COUNTIF($M$2:M15,1),"")</f>
        <v/>
      </c>
      <c r="O15" s="41">
        <f>IF(AND(H15="OCCUPIED",ISNUMBER(J15),K15=""),--(TODAY()-J15&gt;5),0)</f>
        <v/>
      </c>
      <c r="P15" s="41">
        <f>IF(O15=1,COUNTIF($O$2:O15,1),"")</f>
        <v/>
      </c>
      <c r="Q15" s="49">
        <f>IF(OR(B15="",G15="",H15&lt;&gt;"OCCUPIED"),"",IF(ISNUMBER(SEARCH("WHEAT",G15)),SUMPRODUCT(--ISNUMBER(SEARCH("WHEAT",$G$2:$G$99)),--($H$2:$H$99="OCCUPIED"),--($B$2:$B$99&lt;&gt;""),--(IFERROR(VALUE(LEFT(RIGHT($G$2:$G$99,7),4)),999)&lt;IFERROR(VALUE(LEFT(RIGHT(G15,7),4)),999)))+SUMPRODUCT(--ISNUMBER(SEARCH("WHEAT",$G$2:$G$99)),--($H$2:$H$99="OCCUPIED"),--($B$2:$B$99&lt;&gt;""),--(IFERROR(VALUE(LEFT(RIGHT($G$2:$G$99,7),4)),999)=IFERROR(VALUE(LEFT(RIGHT(G15,7),4)),999)),--($B$2:$B$99&lt;B15))+SUMPRODUCT(--ISNUMBER(SEARCH("WHEAT",$G$2:$G$99)),--($H$2:$H$99="OCCUPIED"),--($B$2:$B$99&lt;&gt;""),--(IFERROR(VALUE(LEFT(RIGHT($G$2:$G$99,7),4)),999)=IFERROR(VALUE(LEFT(RIGHT(G15,7),4)),999)),--($B$2:$B$99=B15),--(ROW($B$2:$B$99)&lt;=ROW())),""))</f>
        <v/>
      </c>
      <c r="R15" s="49">
        <f>IF(OR(B15="",G15="",H15&lt;&gt;"OCCUPIED"),"",IF(ISERROR(SEARCH("WHEAT",G15)),SUMPRODUCT(--ISERROR(SEARCH("WHEAT",$G$2:$G$99)),--($H$2:$H$99="OCCUPIED"),--($B$2:$B$99&lt;&gt;""),--(IFERROR(VALUE(LEFT(RIGHT($G$2:$G$99,7),4)),999)&lt;IFERROR(VALUE(LEFT(RIGHT(G15,7),4)),999)))+SUMPRODUCT(--ISERROR(SEARCH("WHEAT",$G$2:$G$99)),--($H$2:$H$99="OCCUPIED"),--($B$2:$B$99&lt;&gt;""),--(IFERROR(VALUE(LEFT(RIGHT($G$2:$G$99,7),4)),999)=IFERROR(VALUE(LEFT(RIGHT(G15,7),4)),999)),--($B$2:$B$99&lt;B15))+SUMPRODUCT(--ISERROR(SEARCH("WHEAT",$G$2:$G$99)),--($H$2:$H$99="OCCUPIED"),--($B$2:$B$99&lt;&gt;""),--(IFERROR(VALUE(LEFT(RIGHT($G$2:$G$99,7),4)),999)=IFERROR(VALUE(LEFT(RIGHT(G15,7),4)),999)),--($B$2:$B$99=B15),--(ROW($B$2:$B$99)&lt;=ROW())),""))</f>
        <v/>
      </c>
      <c r="S15" s="54" t="n"/>
    </row>
    <row r="16" ht="15" customHeight="1" s="236">
      <c r="A16" s="56">
        <f>IF(D16="","",ROWS($D$2:D16))</f>
        <v/>
      </c>
      <c r="B16" s="65" t="n">
        <v>45775</v>
      </c>
      <c r="C16" s="99" t="n">
        <v>9</v>
      </c>
      <c r="D16" s="99" t="inlineStr">
        <is>
          <t>9B15</t>
        </is>
      </c>
      <c r="E16" s="99" t="n">
        <v>3501</v>
      </c>
      <c r="F16" s="100" t="n">
        <v>174.491739</v>
      </c>
      <c r="G16" s="99" t="inlineStr">
        <is>
          <t>WHEAT FAQ 2025-26</t>
        </is>
      </c>
      <c r="H16" s="62">
        <f>IF(AND(E16="",F16="",G16=""),"EMPTY","OCCUPIED")</f>
        <v/>
      </c>
      <c r="I16" s="63">
        <f>IF(B16="","",IF(ISNUMBER(B16),MAX(0,TODAY()-B16),""))</f>
        <v/>
      </c>
      <c r="J16" s="65" t="n"/>
      <c r="K16" s="65" t="n"/>
      <c r="L16" s="66" t="n">
        <v>46235</v>
      </c>
      <c r="M16" s="38">
        <f>IF(AND(H16="OCCUPIED",ISNUMBER(J16),K16=""),1,0)</f>
        <v/>
      </c>
      <c r="N16" s="41">
        <f>IF(M16=1,COUNTIF($M$2:M16,1),"")</f>
        <v/>
      </c>
      <c r="O16" s="41">
        <f>IF(AND(H16="OCCUPIED",ISNUMBER(J16),K16=""),--(TODAY()-J16&gt;5),0)</f>
        <v/>
      </c>
      <c r="P16" s="41">
        <f>IF(O16=1,COUNTIF($O$2:O16,1),"")</f>
        <v/>
      </c>
      <c r="Q16" s="49">
        <f>IF(OR(B16="",G16="",H16&lt;&gt;"OCCUPIED"),"",IF(ISNUMBER(SEARCH("WHEAT",G16)),SUMPRODUCT(--ISNUMBER(SEARCH("WHEAT",$G$2:$G$99)),--($H$2:$H$99="OCCUPIED"),--($B$2:$B$99&lt;&gt;""),--(IFERROR(VALUE(LEFT(RIGHT($G$2:$G$99,7),4)),999)&lt;IFERROR(VALUE(LEFT(RIGHT(G16,7),4)),999)))+SUMPRODUCT(--ISNUMBER(SEARCH("WHEAT",$G$2:$G$99)),--($H$2:$H$99="OCCUPIED"),--($B$2:$B$99&lt;&gt;""),--(IFERROR(VALUE(LEFT(RIGHT($G$2:$G$99,7),4)),999)=IFERROR(VALUE(LEFT(RIGHT(G16,7),4)),999)),--($B$2:$B$99&lt;B16))+SUMPRODUCT(--ISNUMBER(SEARCH("WHEAT",$G$2:$G$99)),--($H$2:$H$99="OCCUPIED"),--($B$2:$B$99&lt;&gt;""),--(IFERROR(VALUE(LEFT(RIGHT($G$2:$G$99,7),4)),999)=IFERROR(VALUE(LEFT(RIGHT(G16,7),4)),999)),--($B$2:$B$99=B16),--(ROW($B$2:$B$99)&lt;=ROW())),""))</f>
        <v/>
      </c>
      <c r="R16" s="49">
        <f>IF(OR(B16="",G16="",H16&lt;&gt;"OCCUPIED"),"",IF(ISERROR(SEARCH("WHEAT",G16)),SUMPRODUCT(--ISERROR(SEARCH("WHEAT",$G$2:$G$99)),--($H$2:$H$99="OCCUPIED"),--($B$2:$B$99&lt;&gt;""),--(IFERROR(VALUE(LEFT(RIGHT($G$2:$G$99,7),4)),999)&lt;IFERROR(VALUE(LEFT(RIGHT(G16,7),4)),999)))+SUMPRODUCT(--ISERROR(SEARCH("WHEAT",$G$2:$G$99)),--($H$2:$H$99="OCCUPIED"),--($B$2:$B$99&lt;&gt;""),--(IFERROR(VALUE(LEFT(RIGHT($G$2:$G$99,7),4)),999)=IFERROR(VALUE(LEFT(RIGHT(G16,7),4)),999)),--($B$2:$B$99&lt;B16))+SUMPRODUCT(--ISERROR(SEARCH("WHEAT",$G$2:$G$99)),--($H$2:$H$99="OCCUPIED"),--($B$2:$B$99&lt;&gt;""),--(IFERROR(VALUE(LEFT(RIGHT($G$2:$G$99,7),4)),999)=IFERROR(VALUE(LEFT(RIGHT(G16,7),4)),999)),--($B$2:$B$99=B16),--(ROW($B$2:$B$99)&lt;=ROW())),""))</f>
        <v/>
      </c>
      <c r="S16" s="54" t="n"/>
    </row>
    <row r="17" ht="15" customHeight="1" s="236">
      <c r="A17" s="56">
        <f>IF(D17="","",ROWS($D$2:D17))</f>
        <v/>
      </c>
      <c r="B17" s="65" t="n">
        <v>46108</v>
      </c>
      <c r="C17" s="99" t="n">
        <v>9</v>
      </c>
      <c r="D17" s="99" t="inlineStr">
        <is>
          <t>9B16</t>
        </is>
      </c>
      <c r="E17" s="99" t="n">
        <v>3501</v>
      </c>
      <c r="F17" s="100" t="n">
        <v>172.736064</v>
      </c>
      <c r="G17" s="99" t="inlineStr">
        <is>
          <t>FRK  RRA 2024-25</t>
        </is>
      </c>
      <c r="H17" s="62">
        <f>IF(AND(E17="",F17="",G17=""),"EMPTY","OCCUPIED")</f>
        <v/>
      </c>
      <c r="I17" s="63">
        <f>IF(B17="","",IF(ISNUMBER(B17),MAX(0,TODAY()-B17),""))</f>
        <v/>
      </c>
      <c r="J17" s="65" t="n"/>
      <c r="K17" s="65" t="n"/>
      <c r="L17" s="66" t="n">
        <v>46255</v>
      </c>
      <c r="M17" s="38">
        <f>IF(AND(H17="OCCUPIED",ISNUMBER(J17),K17=""),1,0)</f>
        <v/>
      </c>
      <c r="N17" s="41">
        <f>IF(M17=1,COUNTIF($M$2:M17,1),"")</f>
        <v/>
      </c>
      <c r="O17" s="41">
        <f>IF(AND(H17="OCCUPIED",ISNUMBER(J17),K17=""),--(TODAY()-J17&gt;5),0)</f>
        <v/>
      </c>
      <c r="P17" s="41">
        <f>IF(O17=1,COUNTIF($O$2:O17,1),"")</f>
        <v/>
      </c>
      <c r="Q17" s="49">
        <f>IF(OR(B17="",G17="",H17&lt;&gt;"OCCUPIED"),"",IF(ISNUMBER(SEARCH("WHEAT",G17)),SUMPRODUCT(--ISNUMBER(SEARCH("WHEAT",$G$2:$G$99)),--($H$2:$H$99="OCCUPIED"),--($B$2:$B$99&lt;&gt;""),--(IFERROR(VALUE(LEFT(RIGHT($G$2:$G$99,7),4)),999)&lt;IFERROR(VALUE(LEFT(RIGHT(G17,7),4)),999)))+SUMPRODUCT(--ISNUMBER(SEARCH("WHEAT",$G$2:$G$99)),--($H$2:$H$99="OCCUPIED"),--($B$2:$B$99&lt;&gt;""),--(IFERROR(VALUE(LEFT(RIGHT($G$2:$G$99,7),4)),999)=IFERROR(VALUE(LEFT(RIGHT(G17,7),4)),999)),--($B$2:$B$99&lt;B17))+SUMPRODUCT(--ISNUMBER(SEARCH("WHEAT",$G$2:$G$99)),--($H$2:$H$99="OCCUPIED"),--($B$2:$B$99&lt;&gt;""),--(IFERROR(VALUE(LEFT(RIGHT($G$2:$G$99,7),4)),999)=IFERROR(VALUE(LEFT(RIGHT(G17,7),4)),999)),--($B$2:$B$99=B17),--(ROW($B$2:$B$99)&lt;=ROW())),""))</f>
        <v/>
      </c>
      <c r="R17" s="49">
        <f>IF(OR(B17="",G17="",H17&lt;&gt;"OCCUPIED"),"",IF(ISERROR(SEARCH("WHEAT",G17)),SUMPRODUCT(--ISERROR(SEARCH("WHEAT",$G$2:$G$99)),--($H$2:$H$99="OCCUPIED"),--($B$2:$B$99&lt;&gt;""),--(IFERROR(VALUE(LEFT(RIGHT($G$2:$G$99,7),4)),999)&lt;IFERROR(VALUE(LEFT(RIGHT(G17,7),4)),999)))+SUMPRODUCT(--ISERROR(SEARCH("WHEAT",$G$2:$G$99)),--($H$2:$H$99="OCCUPIED"),--($B$2:$B$99&lt;&gt;""),--(IFERROR(VALUE(LEFT(RIGHT($G$2:$G$99,7),4)),999)=IFERROR(VALUE(LEFT(RIGHT(G17,7),4)),999)),--($B$2:$B$99&lt;B17))+SUMPRODUCT(--ISERROR(SEARCH("WHEAT",$G$2:$G$99)),--($H$2:$H$99="OCCUPIED"),--($B$2:$B$99&lt;&gt;""),--(IFERROR(VALUE(LEFT(RIGHT($G$2:$G$99,7),4)),999)=IFERROR(VALUE(LEFT(RIGHT(G17,7),4)),999)),--($B$2:$B$99=B17),--(ROW($B$2:$B$99)&lt;=ROW())),""))</f>
        <v/>
      </c>
      <c r="S17" s="54" t="n"/>
    </row>
    <row r="18" ht="15" customHeight="1" s="236">
      <c r="A18" s="56">
        <f>IF(D18="","",ROWS($D$2:D18))</f>
        <v/>
      </c>
      <c r="B18" s="65" t="n"/>
      <c r="C18" s="99" t="n">
        <v>9</v>
      </c>
      <c r="D18" s="99" t="inlineStr">
        <is>
          <t>9B17</t>
        </is>
      </c>
      <c r="E18" s="99" t="n"/>
      <c r="F18" s="100" t="n"/>
      <c r="G18" s="99" t="n"/>
      <c r="H18" s="62">
        <f>IF(AND(E18="",F18="",G18=""),"EMPTY","OCCUPIED")</f>
        <v/>
      </c>
      <c r="I18" s="63">
        <f>IF(B18="","",IF(ISNUMBER(B18),MAX(0,TODAY()-B18),""))</f>
        <v/>
      </c>
      <c r="J18" s="65" t="n"/>
      <c r="K18" s="65" t="n"/>
      <c r="L18" s="66" t="n"/>
      <c r="M18" s="38">
        <f>IF(AND(H18="OCCUPIED",ISNUMBER(J18),K18=""),1,0)</f>
        <v/>
      </c>
      <c r="N18" s="41">
        <f>IF(M18=1,COUNTIF($M$2:M18,1),"")</f>
        <v/>
      </c>
      <c r="O18" s="41">
        <f>IF(AND(H18="OCCUPIED",ISNUMBER(J18),K18=""),--(TODAY()-J18&gt;5),0)</f>
        <v/>
      </c>
      <c r="P18" s="41">
        <f>IF(O18=1,COUNTIF($O$2:O18,1),"")</f>
        <v/>
      </c>
      <c r="Q18" s="49">
        <f>IF(OR(B18="",G18="",H18&lt;&gt;"OCCUPIED"),"",IF(ISNUMBER(SEARCH("WHEAT",G18)),SUMPRODUCT(--ISNUMBER(SEARCH("WHEAT",$G$2:$G$99)),--($H$2:$H$99="OCCUPIED"),--($B$2:$B$99&lt;&gt;""),--(IFERROR(VALUE(LEFT(RIGHT($G$2:$G$99,7),4)),999)&lt;IFERROR(VALUE(LEFT(RIGHT(G18,7),4)),999)))+SUMPRODUCT(--ISNUMBER(SEARCH("WHEAT",$G$2:$G$99)),--($H$2:$H$99="OCCUPIED"),--($B$2:$B$99&lt;&gt;""),--(IFERROR(VALUE(LEFT(RIGHT($G$2:$G$99,7),4)),999)=IFERROR(VALUE(LEFT(RIGHT(G18,7),4)),999)),--($B$2:$B$99&lt;B18))+SUMPRODUCT(--ISNUMBER(SEARCH("WHEAT",$G$2:$G$99)),--($H$2:$H$99="OCCUPIED"),--($B$2:$B$99&lt;&gt;""),--(IFERROR(VALUE(LEFT(RIGHT($G$2:$G$99,7),4)),999)=IFERROR(VALUE(LEFT(RIGHT(G18,7),4)),999)),--($B$2:$B$99=B18),--(ROW($B$2:$B$99)&lt;=ROW())),""))</f>
        <v/>
      </c>
      <c r="R18" s="49">
        <f>IF(OR(B18="",G18="",H18&lt;&gt;"OCCUPIED"),"",IF(ISERROR(SEARCH("WHEAT",G18)),SUMPRODUCT(--ISERROR(SEARCH("WHEAT",$G$2:$G$99)),--($H$2:$H$99="OCCUPIED"),--($B$2:$B$99&lt;&gt;""),--(IFERROR(VALUE(LEFT(RIGHT($G$2:$G$99,7),4)),999)&lt;IFERROR(VALUE(LEFT(RIGHT(G18,7),4)),999)))+SUMPRODUCT(--ISERROR(SEARCH("WHEAT",$G$2:$G$99)),--($H$2:$H$99="OCCUPIED"),--($B$2:$B$99&lt;&gt;""),--(IFERROR(VALUE(LEFT(RIGHT($G$2:$G$99,7),4)),999)=IFERROR(VALUE(LEFT(RIGHT(G18,7),4)),999)),--($B$2:$B$99&lt;B18))+SUMPRODUCT(--ISERROR(SEARCH("WHEAT",$G$2:$G$99)),--($H$2:$H$99="OCCUPIED"),--($B$2:$B$99&lt;&gt;""),--(IFERROR(VALUE(LEFT(RIGHT($G$2:$G$99,7),4)),999)=IFERROR(VALUE(LEFT(RIGHT(G18,7),4)),999)),--($B$2:$B$99=B18),--(ROW($B$2:$B$99)&lt;=ROW())),""))</f>
        <v/>
      </c>
      <c r="S18" s="54" t="n"/>
    </row>
    <row r="19" ht="15" customHeight="1" s="236">
      <c r="A19" s="56">
        <f>IF(D19="","",ROWS($D$2:D19))</f>
        <v/>
      </c>
      <c r="B19" s="65" t="n">
        <v>45812</v>
      </c>
      <c r="C19" s="99" t="n">
        <v>9</v>
      </c>
      <c r="D19" s="99" t="inlineStr">
        <is>
          <t>9B18</t>
        </is>
      </c>
      <c r="E19" s="99" t="n">
        <v>3501</v>
      </c>
      <c r="F19" s="100" t="n">
        <v>174.355417</v>
      </c>
      <c r="G19" s="99" t="inlineStr">
        <is>
          <t>WHEAT FAQ 2025-26</t>
        </is>
      </c>
      <c r="H19" s="62">
        <f>IF(AND(E19="",F19="",G19=""),"EMPTY","OCCUPIED")</f>
        <v/>
      </c>
      <c r="I19" s="63">
        <f>IF(B19="","",IF(ISNUMBER(B19),MAX(0,TODAY()-B19),""))</f>
        <v/>
      </c>
      <c r="J19" s="65" t="n"/>
      <c r="K19" s="65" t="n"/>
      <c r="L19" s="66" t="n">
        <v>46235</v>
      </c>
      <c r="M19" s="38">
        <f>IF(AND(H19="OCCUPIED",ISNUMBER(J19),K19=""),1,0)</f>
        <v/>
      </c>
      <c r="N19" s="41">
        <f>IF(M19=1,COUNTIF($M$2:M19,1),"")</f>
        <v/>
      </c>
      <c r="O19" s="41">
        <f>IF(AND(H19="OCCUPIED",ISNUMBER(J19),K19=""),--(TODAY()-J19&gt;5),0)</f>
        <v/>
      </c>
      <c r="P19" s="41">
        <f>IF(O19=1,COUNTIF($O$2:O19,1),"")</f>
        <v/>
      </c>
      <c r="Q19" s="49">
        <f>IF(OR(B19="",G19="",H19&lt;&gt;"OCCUPIED"),"",IF(ISNUMBER(SEARCH("WHEAT",G19)),SUMPRODUCT(--ISNUMBER(SEARCH("WHEAT",$G$2:$G$99)),--($H$2:$H$99="OCCUPIED"),--($B$2:$B$99&lt;&gt;""),--(IFERROR(VALUE(LEFT(RIGHT($G$2:$G$99,7),4)),999)&lt;IFERROR(VALUE(LEFT(RIGHT(G19,7),4)),999)))+SUMPRODUCT(--ISNUMBER(SEARCH("WHEAT",$G$2:$G$99)),--($H$2:$H$99="OCCUPIED"),--($B$2:$B$99&lt;&gt;""),--(IFERROR(VALUE(LEFT(RIGHT($G$2:$G$99,7),4)),999)=IFERROR(VALUE(LEFT(RIGHT(G19,7),4)),999)),--($B$2:$B$99&lt;B19))+SUMPRODUCT(--ISNUMBER(SEARCH("WHEAT",$G$2:$G$99)),--($H$2:$H$99="OCCUPIED"),--($B$2:$B$99&lt;&gt;""),--(IFERROR(VALUE(LEFT(RIGHT($G$2:$G$99,7),4)),999)=IFERROR(VALUE(LEFT(RIGHT(G19,7),4)),999)),--($B$2:$B$99=B19),--(ROW($B$2:$B$99)&lt;=ROW())),""))</f>
        <v/>
      </c>
      <c r="R19" s="49">
        <f>IF(OR(B19="",G19="",H19&lt;&gt;"OCCUPIED"),"",IF(ISERROR(SEARCH("WHEAT",G19)),SUMPRODUCT(--ISERROR(SEARCH("WHEAT",$G$2:$G$99)),--($H$2:$H$99="OCCUPIED"),--($B$2:$B$99&lt;&gt;""),--(IFERROR(VALUE(LEFT(RIGHT($G$2:$G$99,7),4)),999)&lt;IFERROR(VALUE(LEFT(RIGHT(G19,7),4)),999)))+SUMPRODUCT(--ISERROR(SEARCH("WHEAT",$G$2:$G$99)),--($H$2:$H$99="OCCUPIED"),--($B$2:$B$99&lt;&gt;""),--(IFERROR(VALUE(LEFT(RIGHT($G$2:$G$99,7),4)),999)=IFERROR(VALUE(LEFT(RIGHT(G19,7),4)),999)),--($B$2:$B$99&lt;B19))+SUMPRODUCT(--ISERROR(SEARCH("WHEAT",$G$2:$G$99)),--($H$2:$H$99="OCCUPIED"),--($B$2:$B$99&lt;&gt;""),--(IFERROR(VALUE(LEFT(RIGHT($G$2:$G$99,7),4)),999)=IFERROR(VALUE(LEFT(RIGHT(G19,7),4)),999)),--($B$2:$B$99=B19),--(ROW($B$2:$B$99)&lt;=ROW())),""))</f>
        <v/>
      </c>
      <c r="S19" s="54" t="n"/>
    </row>
    <row r="20" ht="15" customHeight="1" s="236">
      <c r="A20" s="56">
        <f>IF(D20="","",ROWS($D$2:D20))</f>
        <v/>
      </c>
      <c r="B20" s="65" t="n"/>
      <c r="C20" s="99" t="n">
        <v>14</v>
      </c>
      <c r="D20" s="99" t="inlineStr">
        <is>
          <t>14A01</t>
        </is>
      </c>
      <c r="E20" s="99" t="n"/>
      <c r="F20" s="100" t="n"/>
      <c r="G20" s="99" t="n"/>
      <c r="H20" s="62">
        <f>IF(AND(E20="",F20="",G20=""),"EMPTY","OCCUPIED")</f>
        <v/>
      </c>
      <c r="I20" s="63">
        <f>IF(B20="","",IF(ISNUMBER(B20),MAX(0,TODAY()-B20),""))</f>
        <v/>
      </c>
      <c r="J20" s="65" t="n"/>
      <c r="K20" s="65" t="n"/>
      <c r="L20" s="66" t="n"/>
      <c r="M20" s="38">
        <f>IF(AND(H20="OCCUPIED",ISNUMBER(J20),K20=""),1,0)</f>
        <v/>
      </c>
      <c r="N20" s="41">
        <f>IF(M20=1,COUNTIF($M$2:M20,1),"")</f>
        <v/>
      </c>
      <c r="O20" s="41">
        <f>IF(AND(H20="OCCUPIED",ISNUMBER(J20),K20=""),--(TODAY()-J20&gt;5),0)</f>
        <v/>
      </c>
      <c r="P20" s="41">
        <f>IF(O20=1,COUNTIF($O$2:O20,1),"")</f>
        <v/>
      </c>
      <c r="Q20" s="49">
        <f>IF(OR(B20="",G20="",H20&lt;&gt;"OCCUPIED"),"",IF(ISNUMBER(SEARCH("WHEAT",G20)),SUMPRODUCT(--ISNUMBER(SEARCH("WHEAT",$G$2:$G$99)),--($H$2:$H$99="OCCUPIED"),--($B$2:$B$99&lt;&gt;""),--(IFERROR(VALUE(LEFT(RIGHT($G$2:$G$99,7),4)),999)&lt;IFERROR(VALUE(LEFT(RIGHT(G20,7),4)),999)))+SUMPRODUCT(--ISNUMBER(SEARCH("WHEAT",$G$2:$G$99)),--($H$2:$H$99="OCCUPIED"),--($B$2:$B$99&lt;&gt;""),--(IFERROR(VALUE(LEFT(RIGHT($G$2:$G$99,7),4)),999)=IFERROR(VALUE(LEFT(RIGHT(G20,7),4)),999)),--($B$2:$B$99&lt;B20))+SUMPRODUCT(--ISNUMBER(SEARCH("WHEAT",$G$2:$G$99)),--($H$2:$H$99="OCCUPIED"),--($B$2:$B$99&lt;&gt;""),--(IFERROR(VALUE(LEFT(RIGHT($G$2:$G$99,7),4)),999)=IFERROR(VALUE(LEFT(RIGHT(G20,7),4)),999)),--($B$2:$B$99=B20),--(ROW($B$2:$B$99)&lt;=ROW())),""))</f>
        <v/>
      </c>
      <c r="R20" s="49">
        <f>IF(OR(B20="",G20="",H20&lt;&gt;"OCCUPIED"),"",IF(ISERROR(SEARCH("WHEAT",G20)),SUMPRODUCT(--ISERROR(SEARCH("WHEAT",$G$2:$G$99)),--($H$2:$H$99="OCCUPIED"),--($B$2:$B$99&lt;&gt;""),--(IFERROR(VALUE(LEFT(RIGHT($G$2:$G$99,7),4)),999)&lt;IFERROR(VALUE(LEFT(RIGHT(G20,7),4)),999)))+SUMPRODUCT(--ISERROR(SEARCH("WHEAT",$G$2:$G$99)),--($H$2:$H$99="OCCUPIED"),--($B$2:$B$99&lt;&gt;""),--(IFERROR(VALUE(LEFT(RIGHT($G$2:$G$99,7),4)),999)=IFERROR(VALUE(LEFT(RIGHT(G20,7),4)),999)),--($B$2:$B$99&lt;B20))+SUMPRODUCT(--ISERROR(SEARCH("WHEAT",$G$2:$G$99)),--($H$2:$H$99="OCCUPIED"),--($B$2:$B$99&lt;&gt;""),--(IFERROR(VALUE(LEFT(RIGHT($G$2:$G$99,7),4)),999)=IFERROR(VALUE(LEFT(RIGHT(G20,7),4)),999)),--($B$2:$B$99=B20),--(ROW($B$2:$B$99)&lt;=ROW())),""))</f>
        <v/>
      </c>
      <c r="S20" s="54" t="n"/>
    </row>
    <row r="21" ht="15" customHeight="1" s="236">
      <c r="A21" s="56">
        <f>IF(D21="","",ROWS($D$2:D21))</f>
        <v/>
      </c>
      <c r="B21" s="65" t="n">
        <v>45890</v>
      </c>
      <c r="C21" s="99" t="n">
        <v>14</v>
      </c>
      <c r="D21" s="99" t="inlineStr">
        <is>
          <t>14A02</t>
        </is>
      </c>
      <c r="E21" s="99" t="n">
        <v>3501</v>
      </c>
      <c r="F21" s="100" t="n">
        <v>175.283364</v>
      </c>
      <c r="G21" s="99" t="inlineStr">
        <is>
          <t>WHEAT FAQ 2025-26</t>
        </is>
      </c>
      <c r="H21" s="62">
        <f>IF(AND(E21="",F21="",G21=""),"EMPTY","OCCUPIED")</f>
        <v/>
      </c>
      <c r="I21" s="63">
        <f>IF(B21="","",IF(ISNUMBER(B21),MAX(0,TODAY()-B21),""))</f>
        <v/>
      </c>
      <c r="J21" s="65" t="n">
        <v>46265</v>
      </c>
      <c r="K21" s="65" t="n"/>
      <c r="L21" s="66" t="n"/>
      <c r="M21" s="38">
        <f>IF(AND(H21="OCCUPIED",ISNUMBER(J21),K21=""),1,0)</f>
        <v/>
      </c>
      <c r="N21" s="41">
        <f>IF(M21=1,COUNTIF($M$2:M21,1),"")</f>
        <v/>
      </c>
      <c r="O21" s="41">
        <f>IF(AND(H21="OCCUPIED",ISNUMBER(J21),K21=""),--(TODAY()-J21&gt;5),0)</f>
        <v/>
      </c>
      <c r="P21" s="41">
        <f>IF(O21=1,COUNTIF($O$2:O21,1),"")</f>
        <v/>
      </c>
      <c r="Q21" s="49">
        <f>IF(OR(B21="",G21="",H21&lt;&gt;"OCCUPIED"),"",IF(ISNUMBER(SEARCH("WHEAT",G21)),SUMPRODUCT(--ISNUMBER(SEARCH("WHEAT",$G$2:$G$99)),--($H$2:$H$99="OCCUPIED"),--($B$2:$B$99&lt;&gt;""),--(IFERROR(VALUE(LEFT(RIGHT($G$2:$G$99,7),4)),999)&lt;IFERROR(VALUE(LEFT(RIGHT(G21,7),4)),999)))+SUMPRODUCT(--ISNUMBER(SEARCH("WHEAT",$G$2:$G$99)),--($H$2:$H$99="OCCUPIED"),--($B$2:$B$99&lt;&gt;""),--(IFERROR(VALUE(LEFT(RIGHT($G$2:$G$99,7),4)),999)=IFERROR(VALUE(LEFT(RIGHT(G21,7),4)),999)),--($B$2:$B$99&lt;B21))+SUMPRODUCT(--ISNUMBER(SEARCH("WHEAT",$G$2:$G$99)),--($H$2:$H$99="OCCUPIED"),--($B$2:$B$99&lt;&gt;""),--(IFERROR(VALUE(LEFT(RIGHT($G$2:$G$99,7),4)),999)=IFERROR(VALUE(LEFT(RIGHT(G21,7),4)),999)),--($B$2:$B$99=B21),--(ROW($B$2:$B$99)&lt;=ROW())),""))</f>
        <v/>
      </c>
      <c r="R21" s="49">
        <f>IF(OR(B21="",G21="",H21&lt;&gt;"OCCUPIED"),"",IF(ISERROR(SEARCH("WHEAT",G21)),SUMPRODUCT(--ISERROR(SEARCH("WHEAT",$G$2:$G$99)),--($H$2:$H$99="OCCUPIED"),--($B$2:$B$99&lt;&gt;""),--(IFERROR(VALUE(LEFT(RIGHT($G$2:$G$99,7),4)),999)&lt;IFERROR(VALUE(LEFT(RIGHT(G21,7),4)),999)))+SUMPRODUCT(--ISERROR(SEARCH("WHEAT",$G$2:$G$99)),--($H$2:$H$99="OCCUPIED"),--($B$2:$B$99&lt;&gt;""),--(IFERROR(VALUE(LEFT(RIGHT($G$2:$G$99,7),4)),999)=IFERROR(VALUE(LEFT(RIGHT(G21,7),4)),999)),--($B$2:$B$99&lt;B21))+SUMPRODUCT(--ISERROR(SEARCH("WHEAT",$G$2:$G$99)),--($H$2:$H$99="OCCUPIED"),--($B$2:$B$99&lt;&gt;""),--(IFERROR(VALUE(LEFT(RIGHT($G$2:$G$99,7),4)),999)=IFERROR(VALUE(LEFT(RIGHT(G21,7),4)),999)),--($B$2:$B$99=B21),--(ROW($B$2:$B$99)&lt;=ROW())),""))</f>
        <v/>
      </c>
      <c r="S21" s="54" t="n"/>
    </row>
    <row r="22" ht="15" customHeight="1" s="236">
      <c r="A22" s="56">
        <f>IF(D22="","",ROWS($D$2:D22))</f>
        <v/>
      </c>
      <c r="B22" s="65" t="n">
        <v>45823</v>
      </c>
      <c r="C22" s="99" t="n">
        <v>14</v>
      </c>
      <c r="D22" s="99" t="inlineStr">
        <is>
          <t>14A03</t>
        </is>
      </c>
      <c r="E22" s="99" t="n">
        <v>3501</v>
      </c>
      <c r="F22" s="100" t="n">
        <v>174.155727</v>
      </c>
      <c r="G22" s="99" t="inlineStr">
        <is>
          <t>WHEAT FAQ 2025-26</t>
        </is>
      </c>
      <c r="H22" s="62">
        <f>IF(AND(E22="",F22="",G22=""),"EMPTY","OCCUPIED")</f>
        <v/>
      </c>
      <c r="I22" s="63">
        <f>IF(B22="","",IF(ISNUMBER(B22),MAX(0,TODAY()-B22),""))</f>
        <v/>
      </c>
      <c r="J22" s="65" t="n"/>
      <c r="K22" s="65" t="n"/>
      <c r="L22" s="66" t="n">
        <v>46255</v>
      </c>
      <c r="M22" s="38">
        <f>IF(AND(H22="OCCUPIED",ISNUMBER(J22),K22=""),1,0)</f>
        <v/>
      </c>
      <c r="N22" s="41">
        <f>IF(M22=1,COUNTIF($M$2:M22,1),"")</f>
        <v/>
      </c>
      <c r="O22" s="41">
        <f>IF(AND(H22="OCCUPIED",ISNUMBER(J22),K22=""),--(TODAY()-J22&gt;5),0)</f>
        <v/>
      </c>
      <c r="P22" s="41">
        <f>IF(O22=1,COUNTIF($O$2:O22,1),"")</f>
        <v/>
      </c>
      <c r="Q22" s="49">
        <f>IF(OR(B22="",G22="",H22&lt;&gt;"OCCUPIED"),"",IF(ISNUMBER(SEARCH("WHEAT",G22)),SUMPRODUCT(--ISNUMBER(SEARCH("WHEAT",$G$2:$G$99)),--($H$2:$H$99="OCCUPIED"),--($B$2:$B$99&lt;&gt;""),--(IFERROR(VALUE(LEFT(RIGHT($G$2:$G$99,7),4)),999)&lt;IFERROR(VALUE(LEFT(RIGHT(G22,7),4)),999)))+SUMPRODUCT(--ISNUMBER(SEARCH("WHEAT",$G$2:$G$99)),--($H$2:$H$99="OCCUPIED"),--($B$2:$B$99&lt;&gt;""),--(IFERROR(VALUE(LEFT(RIGHT($G$2:$G$99,7),4)),999)=IFERROR(VALUE(LEFT(RIGHT(G22,7),4)),999)),--($B$2:$B$99&lt;B22))+SUMPRODUCT(--ISNUMBER(SEARCH("WHEAT",$G$2:$G$99)),--($H$2:$H$99="OCCUPIED"),--($B$2:$B$99&lt;&gt;""),--(IFERROR(VALUE(LEFT(RIGHT($G$2:$G$99,7),4)),999)=IFERROR(VALUE(LEFT(RIGHT(G22,7),4)),999)),--($B$2:$B$99=B22),--(ROW($B$2:$B$99)&lt;=ROW())),""))</f>
        <v/>
      </c>
      <c r="R22" s="49">
        <f>IF(OR(B22="",G22="",H22&lt;&gt;"OCCUPIED"),"",IF(ISERROR(SEARCH("WHEAT",G22)),SUMPRODUCT(--ISERROR(SEARCH("WHEAT",$G$2:$G$99)),--($H$2:$H$99="OCCUPIED"),--($B$2:$B$99&lt;&gt;""),--(IFERROR(VALUE(LEFT(RIGHT($G$2:$G$99,7),4)),999)&lt;IFERROR(VALUE(LEFT(RIGHT(G22,7),4)),999)))+SUMPRODUCT(--ISERROR(SEARCH("WHEAT",$G$2:$G$99)),--($H$2:$H$99="OCCUPIED"),--($B$2:$B$99&lt;&gt;""),--(IFERROR(VALUE(LEFT(RIGHT($G$2:$G$99,7),4)),999)=IFERROR(VALUE(LEFT(RIGHT(G22,7),4)),999)),--($B$2:$B$99&lt;B22))+SUMPRODUCT(--ISERROR(SEARCH("WHEAT",$G$2:$G$99)),--($H$2:$H$99="OCCUPIED"),--($B$2:$B$99&lt;&gt;""),--(IFERROR(VALUE(LEFT(RIGHT($G$2:$G$99,7),4)),999)=IFERROR(VALUE(LEFT(RIGHT(G22,7),4)),999)),--($B$2:$B$99=B22),--(ROW($B$2:$B$99)&lt;=ROW())),""))</f>
        <v/>
      </c>
      <c r="S22" s="54" t="n"/>
    </row>
    <row r="23" ht="15" customHeight="1" s="236">
      <c r="A23" s="56">
        <f>IF(D23="","",ROWS($D$2:D23))</f>
        <v/>
      </c>
      <c r="B23" s="65" t="n"/>
      <c r="C23" s="99" t="n">
        <v>14</v>
      </c>
      <c r="D23" s="99" t="inlineStr">
        <is>
          <t>14A04</t>
        </is>
      </c>
      <c r="E23" s="99" t="n"/>
      <c r="F23" s="100" t="n"/>
      <c r="G23" s="99" t="n"/>
      <c r="H23" s="62">
        <f>IF(AND(E23="",F23="",G23=""),"EMPTY","OCCUPIED")</f>
        <v/>
      </c>
      <c r="I23" s="63">
        <f>IF(B23="","",IF(ISNUMBER(B23),MAX(0,TODAY()-B23),""))</f>
        <v/>
      </c>
      <c r="J23" s="65" t="n"/>
      <c r="K23" s="65" t="n"/>
      <c r="L23" s="66" t="n"/>
      <c r="M23" s="38">
        <f>IF(AND(H23="OCCUPIED",ISNUMBER(J23),K23=""),1,0)</f>
        <v/>
      </c>
      <c r="N23" s="41">
        <f>IF(M23=1,COUNTIF($M$2:M23,1),"")</f>
        <v/>
      </c>
      <c r="O23" s="41">
        <f>IF(AND(H23="OCCUPIED",ISNUMBER(J23),K23=""),--(TODAY()-J23&gt;5),0)</f>
        <v/>
      </c>
      <c r="P23" s="41">
        <f>IF(O23=1,COUNTIF($O$2:O23,1),"")</f>
        <v/>
      </c>
      <c r="Q23" s="49">
        <f>IF(OR(B23="",G23="",H23&lt;&gt;"OCCUPIED"),"",IF(ISNUMBER(SEARCH("WHEAT",G23)),SUMPRODUCT(--ISNUMBER(SEARCH("WHEAT",$G$2:$G$99)),--($H$2:$H$99="OCCUPIED"),--($B$2:$B$99&lt;&gt;""),--(IFERROR(VALUE(LEFT(RIGHT($G$2:$G$99,7),4)),999)&lt;IFERROR(VALUE(LEFT(RIGHT(G23,7),4)),999)))+SUMPRODUCT(--ISNUMBER(SEARCH("WHEAT",$G$2:$G$99)),--($H$2:$H$99="OCCUPIED"),--($B$2:$B$99&lt;&gt;""),--(IFERROR(VALUE(LEFT(RIGHT($G$2:$G$99,7),4)),999)=IFERROR(VALUE(LEFT(RIGHT(G23,7),4)),999)),--($B$2:$B$99&lt;B23))+SUMPRODUCT(--ISNUMBER(SEARCH("WHEAT",$G$2:$G$99)),--($H$2:$H$99="OCCUPIED"),--($B$2:$B$99&lt;&gt;""),--(IFERROR(VALUE(LEFT(RIGHT($G$2:$G$99,7),4)),999)=IFERROR(VALUE(LEFT(RIGHT(G23,7),4)),999)),--($B$2:$B$99=B23),--(ROW($B$2:$B$99)&lt;=ROW())),""))</f>
        <v/>
      </c>
      <c r="R23" s="49">
        <f>IF(OR(B23="",G23="",H23&lt;&gt;"OCCUPIED"),"",IF(ISERROR(SEARCH("WHEAT",G23)),SUMPRODUCT(--ISERROR(SEARCH("WHEAT",$G$2:$G$99)),--($H$2:$H$99="OCCUPIED"),--($B$2:$B$99&lt;&gt;""),--(IFERROR(VALUE(LEFT(RIGHT($G$2:$G$99,7),4)),999)&lt;IFERROR(VALUE(LEFT(RIGHT(G23,7),4)),999)))+SUMPRODUCT(--ISERROR(SEARCH("WHEAT",$G$2:$G$99)),--($H$2:$H$99="OCCUPIED"),--($B$2:$B$99&lt;&gt;""),--(IFERROR(VALUE(LEFT(RIGHT($G$2:$G$99,7),4)),999)=IFERROR(VALUE(LEFT(RIGHT(G23,7),4)),999)),--($B$2:$B$99&lt;B23))+SUMPRODUCT(--ISERROR(SEARCH("WHEAT",$G$2:$G$99)),--($H$2:$H$99="OCCUPIED"),--($B$2:$B$99&lt;&gt;""),--(IFERROR(VALUE(LEFT(RIGHT($G$2:$G$99,7),4)),999)=IFERROR(VALUE(LEFT(RIGHT(G23,7),4)),999)),--($B$2:$B$99=B23),--(ROW($B$2:$B$99)&lt;=ROW())),""))</f>
        <v/>
      </c>
      <c r="S23" s="54" t="n"/>
    </row>
    <row r="24" ht="15" customHeight="1" s="236">
      <c r="A24" s="56">
        <f>IF(D24="","",ROWS($D$2:D24))</f>
        <v/>
      </c>
      <c r="B24" s="65" t="n">
        <v>45906</v>
      </c>
      <c r="C24" s="99" t="n">
        <v>14</v>
      </c>
      <c r="D24" s="99" t="inlineStr">
        <is>
          <t>14A05</t>
        </is>
      </c>
      <c r="E24" s="99" t="n">
        <v>3501</v>
      </c>
      <c r="F24" s="100" t="n">
        <v>177.281405</v>
      </c>
      <c r="G24" s="99" t="inlineStr">
        <is>
          <t>WHEAT FAQ 2025-26</t>
        </is>
      </c>
      <c r="H24" s="62">
        <f>IF(AND(E24="",F24="",G24=""),"EMPTY","OCCUPIED")</f>
        <v/>
      </c>
      <c r="I24" s="63">
        <f>IF(B24="","",IF(ISNUMBER(B24),MAX(0,TODAY()-B24),""))</f>
        <v/>
      </c>
      <c r="J24" s="65" t="n"/>
      <c r="K24" s="65" t="n"/>
      <c r="L24" s="66" t="n">
        <v>46255</v>
      </c>
      <c r="M24" s="38">
        <f>IF(AND(H24="OCCUPIED",ISNUMBER(J24),K24=""),1,0)</f>
        <v/>
      </c>
      <c r="N24" s="41">
        <f>IF(M24=1,COUNTIF($M$2:M24,1),"")</f>
        <v/>
      </c>
      <c r="O24" s="41">
        <f>IF(AND(H24="OCCUPIED",ISNUMBER(J24),K24=""),--(TODAY()-J24&gt;5),0)</f>
        <v/>
      </c>
      <c r="P24" s="41">
        <f>IF(O24=1,COUNTIF($O$2:O24,1),"")</f>
        <v/>
      </c>
      <c r="Q24" s="49">
        <f>IF(OR(B24="",G24="",H24&lt;&gt;"OCCUPIED"),"",IF(ISNUMBER(SEARCH("WHEAT",G24)),SUMPRODUCT(--ISNUMBER(SEARCH("WHEAT",$G$2:$G$99)),--($H$2:$H$99="OCCUPIED"),--($B$2:$B$99&lt;&gt;""),--(IFERROR(VALUE(LEFT(RIGHT($G$2:$G$99,7),4)),999)&lt;IFERROR(VALUE(LEFT(RIGHT(G24,7),4)),999)))+SUMPRODUCT(--ISNUMBER(SEARCH("WHEAT",$G$2:$G$99)),--($H$2:$H$99="OCCUPIED"),--($B$2:$B$99&lt;&gt;""),--(IFERROR(VALUE(LEFT(RIGHT($G$2:$G$99,7),4)),999)=IFERROR(VALUE(LEFT(RIGHT(G24,7),4)),999)),--($B$2:$B$99&lt;B24))+SUMPRODUCT(--ISNUMBER(SEARCH("WHEAT",$G$2:$G$99)),--($H$2:$H$99="OCCUPIED"),--($B$2:$B$99&lt;&gt;""),--(IFERROR(VALUE(LEFT(RIGHT($G$2:$G$99,7),4)),999)=IFERROR(VALUE(LEFT(RIGHT(G24,7),4)),999)),--($B$2:$B$99=B24),--(ROW($B$2:$B$99)&lt;=ROW())),""))</f>
        <v/>
      </c>
      <c r="R24" s="49">
        <f>IF(OR(B24="",G24="",H24&lt;&gt;"OCCUPIED"),"",IF(ISERROR(SEARCH("WHEAT",G24)),SUMPRODUCT(--ISERROR(SEARCH("WHEAT",$G$2:$G$99)),--($H$2:$H$99="OCCUPIED"),--($B$2:$B$99&lt;&gt;""),--(IFERROR(VALUE(LEFT(RIGHT($G$2:$G$99,7),4)),999)&lt;IFERROR(VALUE(LEFT(RIGHT(G24,7),4)),999)))+SUMPRODUCT(--ISERROR(SEARCH("WHEAT",$G$2:$G$99)),--($H$2:$H$99="OCCUPIED"),--($B$2:$B$99&lt;&gt;""),--(IFERROR(VALUE(LEFT(RIGHT($G$2:$G$99,7),4)),999)=IFERROR(VALUE(LEFT(RIGHT(G24,7),4)),999)),--($B$2:$B$99&lt;B24))+SUMPRODUCT(--ISERROR(SEARCH("WHEAT",$G$2:$G$99)),--($H$2:$H$99="OCCUPIED"),--($B$2:$B$99&lt;&gt;""),--(IFERROR(VALUE(LEFT(RIGHT($G$2:$G$99,7),4)),999)=IFERROR(VALUE(LEFT(RIGHT(G24,7),4)),999)),--($B$2:$B$99=B24),--(ROW($B$2:$B$99)&lt;=ROW())),""))</f>
        <v/>
      </c>
      <c r="S24" s="54" t="n"/>
    </row>
    <row r="25" ht="15" customHeight="1" s="236">
      <c r="A25" s="56">
        <f>IF(D25="","",ROWS($D$2:D25))</f>
        <v/>
      </c>
      <c r="B25" s="65" t="n">
        <v>46175</v>
      </c>
      <c r="C25" s="99" t="n">
        <v>14</v>
      </c>
      <c r="D25" s="99" t="inlineStr">
        <is>
          <t>14A06</t>
        </is>
      </c>
      <c r="E25" s="99" t="n">
        <v>3501</v>
      </c>
      <c r="F25" s="100" t="n">
        <v>170.623897</v>
      </c>
      <c r="G25" s="99" t="inlineStr">
        <is>
          <t>FRK  RRA 2024-25</t>
        </is>
      </c>
      <c r="H25" s="62">
        <f>IF(AND(E25="",F25="",G25=""),"EMPTY","OCCUPIED")</f>
        <v/>
      </c>
      <c r="I25" s="63">
        <f>IF(B25="","",IF(ISNUMBER(B25),MAX(0,TODAY()-B25),""))</f>
        <v/>
      </c>
      <c r="J25" s="65" t="n"/>
      <c r="K25" s="65" t="n"/>
      <c r="L25" s="66" t="n">
        <v>46255</v>
      </c>
      <c r="M25" s="38">
        <f>IF(AND(H25="OCCUPIED",ISNUMBER(J25),K25=""),1,0)</f>
        <v/>
      </c>
      <c r="N25" s="41">
        <f>IF(M25=1,COUNTIF($M$2:M25,1),"")</f>
        <v/>
      </c>
      <c r="O25" s="41">
        <f>IF(AND(H25="OCCUPIED",ISNUMBER(J25),K25=""),--(TODAY()-J25&gt;5),0)</f>
        <v/>
      </c>
      <c r="P25" s="41">
        <f>IF(O25=1,COUNTIF($O$2:O25,1),"")</f>
        <v/>
      </c>
      <c r="Q25" s="49">
        <f>IF(OR(B25="",G25="",H25&lt;&gt;"OCCUPIED"),"",IF(ISNUMBER(SEARCH("WHEAT",G25)),SUMPRODUCT(--ISNUMBER(SEARCH("WHEAT",$G$2:$G$99)),--($H$2:$H$99="OCCUPIED"),--($B$2:$B$99&lt;&gt;""),--(IFERROR(VALUE(LEFT(RIGHT($G$2:$G$99,7),4)),999)&lt;IFERROR(VALUE(LEFT(RIGHT(G25,7),4)),999)))+SUMPRODUCT(--ISNUMBER(SEARCH("WHEAT",$G$2:$G$99)),--($H$2:$H$99="OCCUPIED"),--($B$2:$B$99&lt;&gt;""),--(IFERROR(VALUE(LEFT(RIGHT($G$2:$G$99,7),4)),999)=IFERROR(VALUE(LEFT(RIGHT(G25,7),4)),999)),--($B$2:$B$99&lt;B25))+SUMPRODUCT(--ISNUMBER(SEARCH("WHEAT",$G$2:$G$99)),--($H$2:$H$99="OCCUPIED"),--($B$2:$B$99&lt;&gt;""),--(IFERROR(VALUE(LEFT(RIGHT($G$2:$G$99,7),4)),999)=IFERROR(VALUE(LEFT(RIGHT(G25,7),4)),999)),--($B$2:$B$99=B25),--(ROW($B$2:$B$99)&lt;=ROW())),""))</f>
        <v/>
      </c>
      <c r="R25" s="49">
        <f>IF(OR(B25="",G25="",H25&lt;&gt;"OCCUPIED"),"",IF(ISERROR(SEARCH("WHEAT",G25)),SUMPRODUCT(--ISERROR(SEARCH("WHEAT",$G$2:$G$99)),--($H$2:$H$99="OCCUPIED"),--($B$2:$B$99&lt;&gt;""),--(IFERROR(VALUE(LEFT(RIGHT($G$2:$G$99,7),4)),999)&lt;IFERROR(VALUE(LEFT(RIGHT(G25,7),4)),999)))+SUMPRODUCT(--ISERROR(SEARCH("WHEAT",$G$2:$G$99)),--($H$2:$H$99="OCCUPIED"),--($B$2:$B$99&lt;&gt;""),--(IFERROR(VALUE(LEFT(RIGHT($G$2:$G$99,7),4)),999)=IFERROR(VALUE(LEFT(RIGHT(G25,7),4)),999)),--($B$2:$B$99&lt;B25))+SUMPRODUCT(--ISERROR(SEARCH("WHEAT",$G$2:$G$99)),--($H$2:$H$99="OCCUPIED"),--($B$2:$B$99&lt;&gt;""),--(IFERROR(VALUE(LEFT(RIGHT($G$2:$G$99,7),4)),999)=IFERROR(VALUE(LEFT(RIGHT(G25,7),4)),999)),--($B$2:$B$99=B25),--(ROW($B$2:$B$99)&lt;=ROW())),""))</f>
        <v/>
      </c>
      <c r="S25" s="54" t="n"/>
    </row>
    <row r="26" ht="15" customHeight="1" s="236">
      <c r="A26" s="56">
        <f>IF(D26="","",ROWS($D$2:D26))</f>
        <v/>
      </c>
      <c r="B26" s="65" t="n">
        <v>46098</v>
      </c>
      <c r="C26" s="99" t="n">
        <v>14</v>
      </c>
      <c r="D26" s="99" t="inlineStr">
        <is>
          <t>14A07</t>
        </is>
      </c>
      <c r="E26" s="99" t="n">
        <v>3501</v>
      </c>
      <c r="F26" s="100" t="n">
        <v>173.195651</v>
      </c>
      <c r="G26" s="99" t="inlineStr">
        <is>
          <t>FRK  RRA 2024-25</t>
        </is>
      </c>
      <c r="H26" s="62">
        <f>IF(AND(E26="",F26="",G26=""),"EMPTY","OCCUPIED")</f>
        <v/>
      </c>
      <c r="I26" s="63">
        <f>IF(B26="","",IF(ISNUMBER(B26),MAX(0,TODAY()-B26),""))</f>
        <v/>
      </c>
      <c r="J26" s="65" t="n"/>
      <c r="K26" s="65" t="n"/>
      <c r="L26" s="66" t="n">
        <v>46190</v>
      </c>
      <c r="M26" s="38">
        <f>IF(AND(H26="OCCUPIED",ISNUMBER(J26),K26=""),1,0)</f>
        <v/>
      </c>
      <c r="N26" s="41">
        <f>IF(M26=1,COUNTIF($M$2:M26,1),"")</f>
        <v/>
      </c>
      <c r="O26" s="41">
        <f>IF(AND(H26="OCCUPIED",ISNUMBER(J26),K26=""),--(TODAY()-J26&gt;5),0)</f>
        <v/>
      </c>
      <c r="P26" s="41">
        <f>IF(O26=1,COUNTIF($O$2:O26,1),"")</f>
        <v/>
      </c>
      <c r="Q26" s="49">
        <f>IF(OR(B26="",G26="",H26&lt;&gt;"OCCUPIED"),"",IF(ISNUMBER(SEARCH("WHEAT",G26)),SUMPRODUCT(--ISNUMBER(SEARCH("WHEAT",$G$2:$G$99)),--($H$2:$H$99="OCCUPIED"),--($B$2:$B$99&lt;&gt;""),--(IFERROR(VALUE(LEFT(RIGHT($G$2:$G$99,7),4)),999)&lt;IFERROR(VALUE(LEFT(RIGHT(G26,7),4)),999)))+SUMPRODUCT(--ISNUMBER(SEARCH("WHEAT",$G$2:$G$99)),--($H$2:$H$99="OCCUPIED"),--($B$2:$B$99&lt;&gt;""),--(IFERROR(VALUE(LEFT(RIGHT($G$2:$G$99,7),4)),999)=IFERROR(VALUE(LEFT(RIGHT(G26,7),4)),999)),--($B$2:$B$99&lt;B26))+SUMPRODUCT(--ISNUMBER(SEARCH("WHEAT",$G$2:$G$99)),--($H$2:$H$99="OCCUPIED"),--($B$2:$B$99&lt;&gt;""),--(IFERROR(VALUE(LEFT(RIGHT($G$2:$G$99,7),4)),999)=IFERROR(VALUE(LEFT(RIGHT(G26,7),4)),999)),--($B$2:$B$99=B26),--(ROW($B$2:$B$99)&lt;=ROW())),""))</f>
        <v/>
      </c>
      <c r="R26" s="49">
        <f>IF(OR(B26="",G26="",H26&lt;&gt;"OCCUPIED"),"",IF(ISERROR(SEARCH("WHEAT",G26)),SUMPRODUCT(--ISERROR(SEARCH("WHEAT",$G$2:$G$99)),--($H$2:$H$99="OCCUPIED"),--($B$2:$B$99&lt;&gt;""),--(IFERROR(VALUE(LEFT(RIGHT($G$2:$G$99,7),4)),999)&lt;IFERROR(VALUE(LEFT(RIGHT(G26,7),4)),999)))+SUMPRODUCT(--ISERROR(SEARCH("WHEAT",$G$2:$G$99)),--($H$2:$H$99="OCCUPIED"),--($B$2:$B$99&lt;&gt;""),--(IFERROR(VALUE(LEFT(RIGHT($G$2:$G$99,7),4)),999)=IFERROR(VALUE(LEFT(RIGHT(G26,7),4)),999)),--($B$2:$B$99&lt;B26))+SUMPRODUCT(--ISERROR(SEARCH("WHEAT",$G$2:$G$99)),--($H$2:$H$99="OCCUPIED"),--($B$2:$B$99&lt;&gt;""),--(IFERROR(VALUE(LEFT(RIGHT($G$2:$G$99,7),4)),999)=IFERROR(VALUE(LEFT(RIGHT(G26,7),4)),999)),--($B$2:$B$99=B26),--(ROW($B$2:$B$99)&lt;=ROW())),""))</f>
        <v/>
      </c>
      <c r="S26" s="54" t="n"/>
    </row>
    <row r="27" ht="15" customHeight="1" s="236">
      <c r="A27" s="56">
        <f>IF(D27="","",ROWS($D$2:D27))</f>
        <v/>
      </c>
      <c r="B27" s="65" t="n">
        <v>46104</v>
      </c>
      <c r="C27" s="99" t="n">
        <v>14</v>
      </c>
      <c r="D27" s="99" t="inlineStr">
        <is>
          <t>14A08</t>
        </is>
      </c>
      <c r="E27" s="99" t="n">
        <v>3497</v>
      </c>
      <c r="F27" s="100" t="n">
        <v>172.786144</v>
      </c>
      <c r="G27" s="99" t="inlineStr">
        <is>
          <t>FRK  RRA 2024-25</t>
        </is>
      </c>
      <c r="H27" s="62">
        <f>IF(AND(E27="",F27="",G27=""),"EMPTY","OCCUPIED")</f>
        <v/>
      </c>
      <c r="I27" s="63">
        <f>IF(B27="","",IF(ISNUMBER(B27),MAX(0,TODAY()-B27),""))</f>
        <v/>
      </c>
      <c r="J27" s="65" t="n"/>
      <c r="K27" s="65" t="n"/>
      <c r="L27" s="66" t="n">
        <v>46190</v>
      </c>
      <c r="M27" s="38">
        <f>IF(AND(H27="OCCUPIED",ISNUMBER(J27),K27=""),1,0)</f>
        <v/>
      </c>
      <c r="N27" s="41">
        <f>IF(M27=1,COUNTIF($M$2:M27,1),"")</f>
        <v/>
      </c>
      <c r="O27" s="41">
        <f>IF(AND(H27="OCCUPIED",ISNUMBER(J27),K27=""),--(TODAY()-J27&gt;5),0)</f>
        <v/>
      </c>
      <c r="P27" s="41">
        <f>IF(O27=1,COUNTIF($O$2:O27,1),"")</f>
        <v/>
      </c>
      <c r="Q27" s="49">
        <f>IF(OR(B27="",G27="",H27&lt;&gt;"OCCUPIED"),"",IF(ISNUMBER(SEARCH("WHEAT",G27)),SUMPRODUCT(--ISNUMBER(SEARCH("WHEAT",$G$2:$G$99)),--($H$2:$H$99="OCCUPIED"),--($B$2:$B$99&lt;&gt;""),--(IFERROR(VALUE(LEFT(RIGHT($G$2:$G$99,7),4)),999)&lt;IFERROR(VALUE(LEFT(RIGHT(G27,7),4)),999)))+SUMPRODUCT(--ISNUMBER(SEARCH("WHEAT",$G$2:$G$99)),--($H$2:$H$99="OCCUPIED"),--($B$2:$B$99&lt;&gt;""),--(IFERROR(VALUE(LEFT(RIGHT($G$2:$G$99,7),4)),999)=IFERROR(VALUE(LEFT(RIGHT(G27,7),4)),999)),--($B$2:$B$99&lt;B27))+SUMPRODUCT(--ISNUMBER(SEARCH("WHEAT",$G$2:$G$99)),--($H$2:$H$99="OCCUPIED"),--($B$2:$B$99&lt;&gt;""),--(IFERROR(VALUE(LEFT(RIGHT($G$2:$G$99,7),4)),999)=IFERROR(VALUE(LEFT(RIGHT(G27,7),4)),999)),--($B$2:$B$99=B27),--(ROW($B$2:$B$99)&lt;=ROW())),""))</f>
        <v/>
      </c>
      <c r="R27" s="49">
        <f>IF(OR(B27="",G27="",H27&lt;&gt;"OCCUPIED"),"",IF(ISERROR(SEARCH("WHEAT",G27)),SUMPRODUCT(--ISERROR(SEARCH("WHEAT",$G$2:$G$99)),--($H$2:$H$99="OCCUPIED"),--($B$2:$B$99&lt;&gt;""),--(IFERROR(VALUE(LEFT(RIGHT($G$2:$G$99,7),4)),999)&lt;IFERROR(VALUE(LEFT(RIGHT(G27,7),4)),999)))+SUMPRODUCT(--ISERROR(SEARCH("WHEAT",$G$2:$G$99)),--($H$2:$H$99="OCCUPIED"),--($B$2:$B$99&lt;&gt;""),--(IFERROR(VALUE(LEFT(RIGHT($G$2:$G$99,7),4)),999)=IFERROR(VALUE(LEFT(RIGHT(G27,7),4)),999)),--($B$2:$B$99&lt;B27))+SUMPRODUCT(--ISERROR(SEARCH("WHEAT",$G$2:$G$99)),--($H$2:$H$99="OCCUPIED"),--($B$2:$B$99&lt;&gt;""),--(IFERROR(VALUE(LEFT(RIGHT($G$2:$G$99,7),4)),999)=IFERROR(VALUE(LEFT(RIGHT(G27,7),4)),999)),--($B$2:$B$99=B27),--(ROW($B$2:$B$99)&lt;=ROW())),""))</f>
        <v/>
      </c>
      <c r="S27" s="54" t="n"/>
    </row>
    <row r="28" ht="15" customHeight="1" s="236">
      <c r="A28" s="56">
        <f>IF(D28="","",ROWS($D$2:D28))</f>
        <v/>
      </c>
      <c r="B28" s="65" t="n">
        <v>46175</v>
      </c>
      <c r="C28" s="99" t="n">
        <v>14</v>
      </c>
      <c r="D28" s="99" t="inlineStr">
        <is>
          <t>14A09</t>
        </is>
      </c>
      <c r="E28" s="99" t="n">
        <v>3501</v>
      </c>
      <c r="F28" s="100" t="n">
        <v>170.650613</v>
      </c>
      <c r="G28" s="99" t="inlineStr">
        <is>
          <t>FRK  RRA 2024-25</t>
        </is>
      </c>
      <c r="H28" s="62">
        <f>IF(AND(E28="",F28="",G28=""),"EMPTY","OCCUPIED")</f>
        <v/>
      </c>
      <c r="I28" s="63">
        <f>IF(B28="","",IF(ISNUMBER(B28),MAX(0,TODAY()-B28),""))</f>
        <v/>
      </c>
      <c r="J28" s="65" t="n"/>
      <c r="K28" s="65" t="n"/>
      <c r="L28" s="66" t="n">
        <v>46190</v>
      </c>
      <c r="M28" s="38">
        <f>IF(AND(H28="OCCUPIED",ISNUMBER(J28),K28=""),1,0)</f>
        <v/>
      </c>
      <c r="N28" s="41">
        <f>IF(M28=1,COUNTIF($M$2:M28,1),"")</f>
        <v/>
      </c>
      <c r="O28" s="41">
        <f>IF(AND(H28="OCCUPIED",ISNUMBER(J28),K28=""),--(TODAY()-J28&gt;5),0)</f>
        <v/>
      </c>
      <c r="P28" s="41">
        <f>IF(O28=1,COUNTIF($O$2:O28,1),"")</f>
        <v/>
      </c>
      <c r="Q28" s="49">
        <f>IF(OR(B28="",G28="",H28&lt;&gt;"OCCUPIED"),"",IF(ISNUMBER(SEARCH("WHEAT",G28)),SUMPRODUCT(--ISNUMBER(SEARCH("WHEAT",$G$2:$G$99)),--($H$2:$H$99="OCCUPIED"),--($B$2:$B$99&lt;&gt;""),--(IFERROR(VALUE(LEFT(RIGHT($G$2:$G$99,7),4)),999)&lt;IFERROR(VALUE(LEFT(RIGHT(G28,7),4)),999)))+SUMPRODUCT(--ISNUMBER(SEARCH("WHEAT",$G$2:$G$99)),--($H$2:$H$99="OCCUPIED"),--($B$2:$B$99&lt;&gt;""),--(IFERROR(VALUE(LEFT(RIGHT($G$2:$G$99,7),4)),999)=IFERROR(VALUE(LEFT(RIGHT(G28,7),4)),999)),--($B$2:$B$99&lt;B28))+SUMPRODUCT(--ISNUMBER(SEARCH("WHEAT",$G$2:$G$99)),--($H$2:$H$99="OCCUPIED"),--($B$2:$B$99&lt;&gt;""),--(IFERROR(VALUE(LEFT(RIGHT($G$2:$G$99,7),4)),999)=IFERROR(VALUE(LEFT(RIGHT(G28,7),4)),999)),--($B$2:$B$99=B28),--(ROW($B$2:$B$99)&lt;=ROW())),""))</f>
        <v/>
      </c>
      <c r="R28" s="49">
        <f>IF(OR(B28="",G28="",H28&lt;&gt;"OCCUPIED"),"",IF(ISERROR(SEARCH("WHEAT",G28)),SUMPRODUCT(--ISERROR(SEARCH("WHEAT",$G$2:$G$99)),--($H$2:$H$99="OCCUPIED"),--($B$2:$B$99&lt;&gt;""),--(IFERROR(VALUE(LEFT(RIGHT($G$2:$G$99,7),4)),999)&lt;IFERROR(VALUE(LEFT(RIGHT(G28,7),4)),999)))+SUMPRODUCT(--ISERROR(SEARCH("WHEAT",$G$2:$G$99)),--($H$2:$H$99="OCCUPIED"),--($B$2:$B$99&lt;&gt;""),--(IFERROR(VALUE(LEFT(RIGHT($G$2:$G$99,7),4)),999)=IFERROR(VALUE(LEFT(RIGHT(G28,7),4)),999)),--($B$2:$B$99&lt;B28))+SUMPRODUCT(--ISERROR(SEARCH("WHEAT",$G$2:$G$99)),--($H$2:$H$99="OCCUPIED"),--($B$2:$B$99&lt;&gt;""),--(IFERROR(VALUE(LEFT(RIGHT($G$2:$G$99,7),4)),999)=IFERROR(VALUE(LEFT(RIGHT(G28,7),4)),999)),--($B$2:$B$99=B28),--(ROW($B$2:$B$99)&lt;=ROW())),""))</f>
        <v/>
      </c>
      <c r="S28" s="54" t="n"/>
    </row>
    <row r="29" ht="15" customHeight="1" s="236">
      <c r="A29" s="56">
        <f>IF(D29="","",ROWS($D$2:D29))</f>
        <v/>
      </c>
      <c r="B29" s="65" t="n">
        <v>46098</v>
      </c>
      <c r="C29" s="99" t="n">
        <v>14</v>
      </c>
      <c r="D29" s="99" t="inlineStr">
        <is>
          <t>14B10</t>
        </is>
      </c>
      <c r="E29" s="99" t="n">
        <v>3501</v>
      </c>
      <c r="F29" s="100" t="n">
        <v>172.303651</v>
      </c>
      <c r="G29" s="99" t="inlineStr">
        <is>
          <t>FRK  RRA 2024-25</t>
        </is>
      </c>
      <c r="H29" s="62">
        <f>IF(AND(E29="",F29="",G29=""),"EMPTY","OCCUPIED")</f>
        <v/>
      </c>
      <c r="I29" s="63">
        <f>IF(B29="","",IF(ISNUMBER(B29),MAX(0,TODAY()-B29),""))</f>
        <v/>
      </c>
      <c r="J29" s="65" t="n"/>
      <c r="K29" s="65" t="n"/>
      <c r="L29" s="66" t="n">
        <v>46179</v>
      </c>
      <c r="M29" s="38">
        <f>IF(AND(H29="OCCUPIED",ISNUMBER(J29),K29=""),1,0)</f>
        <v/>
      </c>
      <c r="N29" s="41">
        <f>IF(M29=1,COUNTIF($M$2:M29,1),"")</f>
        <v/>
      </c>
      <c r="O29" s="41">
        <f>IF(AND(H29="OCCUPIED",ISNUMBER(J29),K29=""),--(TODAY()-J29&gt;5),0)</f>
        <v/>
      </c>
      <c r="P29" s="41">
        <f>IF(O29=1,COUNTIF($O$2:O29,1),"")</f>
        <v/>
      </c>
      <c r="Q29" s="49">
        <f>IF(OR(B29="",G29="",H29&lt;&gt;"OCCUPIED"),"",IF(ISNUMBER(SEARCH("WHEAT",G29)),SUMPRODUCT(--ISNUMBER(SEARCH("WHEAT",$G$2:$G$99)),--($H$2:$H$99="OCCUPIED"),--($B$2:$B$99&lt;&gt;""),--(IFERROR(VALUE(LEFT(RIGHT($G$2:$G$99,7),4)),999)&lt;IFERROR(VALUE(LEFT(RIGHT(G29,7),4)),999)))+SUMPRODUCT(--ISNUMBER(SEARCH("WHEAT",$G$2:$G$99)),--($H$2:$H$99="OCCUPIED"),--($B$2:$B$99&lt;&gt;""),--(IFERROR(VALUE(LEFT(RIGHT($G$2:$G$99,7),4)),999)=IFERROR(VALUE(LEFT(RIGHT(G29,7),4)),999)),--($B$2:$B$99&lt;B29))+SUMPRODUCT(--ISNUMBER(SEARCH("WHEAT",$G$2:$G$99)),--($H$2:$H$99="OCCUPIED"),--($B$2:$B$99&lt;&gt;""),--(IFERROR(VALUE(LEFT(RIGHT($G$2:$G$99,7),4)),999)=IFERROR(VALUE(LEFT(RIGHT(G29,7),4)),999)),--($B$2:$B$99=B29),--(ROW($B$2:$B$99)&lt;=ROW())),""))</f>
        <v/>
      </c>
      <c r="R29" s="49">
        <f>IF(OR(B29="",G29="",H29&lt;&gt;"OCCUPIED"),"",IF(ISERROR(SEARCH("WHEAT",G29)),SUMPRODUCT(--ISERROR(SEARCH("WHEAT",$G$2:$G$99)),--($H$2:$H$99="OCCUPIED"),--($B$2:$B$99&lt;&gt;""),--(IFERROR(VALUE(LEFT(RIGHT($G$2:$G$99,7),4)),999)&lt;IFERROR(VALUE(LEFT(RIGHT(G29,7),4)),999)))+SUMPRODUCT(--ISERROR(SEARCH("WHEAT",$G$2:$G$99)),--($H$2:$H$99="OCCUPIED"),--($B$2:$B$99&lt;&gt;""),--(IFERROR(VALUE(LEFT(RIGHT($G$2:$G$99,7),4)),999)=IFERROR(VALUE(LEFT(RIGHT(G29,7),4)),999)),--($B$2:$B$99&lt;B29))+SUMPRODUCT(--ISERROR(SEARCH("WHEAT",$G$2:$G$99)),--($H$2:$H$99="OCCUPIED"),--($B$2:$B$99&lt;&gt;""),--(IFERROR(VALUE(LEFT(RIGHT($G$2:$G$99,7),4)),999)=IFERROR(VALUE(LEFT(RIGHT(G29,7),4)),999)),--($B$2:$B$99=B29),--(ROW($B$2:$B$99)&lt;=ROW())),""))</f>
        <v/>
      </c>
      <c r="S29" s="54" t="n"/>
    </row>
    <row r="30" ht="15" customHeight="1" s="236">
      <c r="A30" s="56">
        <f>IF(D30="","",ROWS($D$2:D30))</f>
        <v/>
      </c>
      <c r="B30" s="65" t="n">
        <v>46172</v>
      </c>
      <c r="C30" s="99" t="n">
        <v>14</v>
      </c>
      <c r="D30" s="99" t="inlineStr">
        <is>
          <t>14B11</t>
        </is>
      </c>
      <c r="E30" s="99" t="n">
        <v>3259</v>
      </c>
      <c r="F30" s="100" t="n">
        <v>160.88036</v>
      </c>
      <c r="G30" s="99" t="inlineStr">
        <is>
          <t>FRK  RRA 2024-25</t>
        </is>
      </c>
      <c r="H30" s="62">
        <f>IF(AND(E30="",F30="",G30=""),"EMPTY","OCCUPIED")</f>
        <v/>
      </c>
      <c r="I30" s="63">
        <f>IF(B30="","",IF(ISNUMBER(B30),MAX(0,TODAY()-B30),""))</f>
        <v/>
      </c>
      <c r="J30" s="65" t="n"/>
      <c r="K30" s="65" t="n"/>
      <c r="L30" s="66" t="n">
        <v>46179</v>
      </c>
      <c r="M30" s="38">
        <f>IF(AND(H30="OCCUPIED",ISNUMBER(J30),K30=""),1,0)</f>
        <v/>
      </c>
      <c r="N30" s="41">
        <f>IF(M30=1,COUNTIF($M$2:M30,1),"")</f>
        <v/>
      </c>
      <c r="O30" s="41">
        <f>IF(AND(H30="OCCUPIED",ISNUMBER(J30),K30=""),--(TODAY()-J30&gt;5),0)</f>
        <v/>
      </c>
      <c r="P30" s="41">
        <f>IF(O30=1,COUNTIF($O$2:O30,1),"")</f>
        <v/>
      </c>
      <c r="Q30" s="49">
        <f>IF(OR(B30="",G30="",H30&lt;&gt;"OCCUPIED"),"",IF(ISNUMBER(SEARCH("WHEAT",G30)),SUMPRODUCT(--ISNUMBER(SEARCH("WHEAT",$G$2:$G$99)),--($H$2:$H$99="OCCUPIED"),--($B$2:$B$99&lt;&gt;""),--(IFERROR(VALUE(LEFT(RIGHT($G$2:$G$99,7),4)),999)&lt;IFERROR(VALUE(LEFT(RIGHT(G30,7),4)),999)))+SUMPRODUCT(--ISNUMBER(SEARCH("WHEAT",$G$2:$G$99)),--($H$2:$H$99="OCCUPIED"),--($B$2:$B$99&lt;&gt;""),--(IFERROR(VALUE(LEFT(RIGHT($G$2:$G$99,7),4)),999)=IFERROR(VALUE(LEFT(RIGHT(G30,7),4)),999)),--($B$2:$B$99&lt;B30))+SUMPRODUCT(--ISNUMBER(SEARCH("WHEAT",$G$2:$G$99)),--($H$2:$H$99="OCCUPIED"),--($B$2:$B$99&lt;&gt;""),--(IFERROR(VALUE(LEFT(RIGHT($G$2:$G$99,7),4)),999)=IFERROR(VALUE(LEFT(RIGHT(G30,7),4)),999)),--($B$2:$B$99=B30),--(ROW($B$2:$B$99)&lt;=ROW())),""))</f>
        <v/>
      </c>
      <c r="R30" s="49">
        <f>IF(OR(B30="",G30="",H30&lt;&gt;"OCCUPIED"),"",IF(ISERROR(SEARCH("WHEAT",G30)),SUMPRODUCT(--ISERROR(SEARCH("WHEAT",$G$2:$G$99)),--($H$2:$H$99="OCCUPIED"),--($B$2:$B$99&lt;&gt;""),--(IFERROR(VALUE(LEFT(RIGHT($G$2:$G$99,7),4)),999)&lt;IFERROR(VALUE(LEFT(RIGHT(G30,7),4)),999)))+SUMPRODUCT(--ISERROR(SEARCH("WHEAT",$G$2:$G$99)),--($H$2:$H$99="OCCUPIED"),--($B$2:$B$99&lt;&gt;""),--(IFERROR(VALUE(LEFT(RIGHT($G$2:$G$99,7),4)),999)=IFERROR(VALUE(LEFT(RIGHT(G30,7),4)),999)),--($B$2:$B$99&lt;B30))+SUMPRODUCT(--ISERROR(SEARCH("WHEAT",$G$2:$G$99)),--($H$2:$H$99="OCCUPIED"),--($B$2:$B$99&lt;&gt;""),--(IFERROR(VALUE(LEFT(RIGHT($G$2:$G$99,7),4)),999)=IFERROR(VALUE(LEFT(RIGHT(G30,7),4)),999)),--($B$2:$B$99=B30),--(ROW($B$2:$B$99)&lt;=ROW())),""))</f>
        <v/>
      </c>
      <c r="S30" s="54" t="n"/>
    </row>
    <row r="31" ht="15" customHeight="1" s="236">
      <c r="A31" s="56">
        <f>IF(D31="","",ROWS($D$2:D31))</f>
        <v/>
      </c>
      <c r="B31" s="65" t="n">
        <v>46108</v>
      </c>
      <c r="C31" s="99" t="n">
        <v>14</v>
      </c>
      <c r="D31" s="99" t="inlineStr">
        <is>
          <t>14B12</t>
        </is>
      </c>
      <c r="E31" s="99" t="n">
        <v>3501</v>
      </c>
      <c r="F31" s="100" t="n">
        <v>173.878683</v>
      </c>
      <c r="G31" s="99" t="inlineStr">
        <is>
          <t>FRK  RRA 2024-25</t>
        </is>
      </c>
      <c r="H31" s="62">
        <f>IF(AND(E31="",F31="",G31=""),"EMPTY","OCCUPIED")</f>
        <v/>
      </c>
      <c r="I31" s="63">
        <f>IF(B31="","",IF(ISNUMBER(B31),MAX(0,TODAY()-B31),""))</f>
        <v/>
      </c>
      <c r="J31" s="65" t="n"/>
      <c r="K31" s="65" t="n"/>
      <c r="L31" s="66" t="n">
        <v>46179</v>
      </c>
      <c r="M31" s="38">
        <f>IF(AND(H31="OCCUPIED",ISNUMBER(J31),K31=""),1,0)</f>
        <v/>
      </c>
      <c r="N31" s="41">
        <f>IF(M31=1,COUNTIF($M$2:M31,1),"")</f>
        <v/>
      </c>
      <c r="O31" s="41">
        <f>IF(AND(H31="OCCUPIED",ISNUMBER(J31),K31=""),--(TODAY()-J31&gt;5),0)</f>
        <v/>
      </c>
      <c r="P31" s="41">
        <f>IF(O31=1,COUNTIF($O$2:O31,1),"")</f>
        <v/>
      </c>
      <c r="Q31" s="49">
        <f>IF(OR(B31="",G31="",H31&lt;&gt;"OCCUPIED"),"",IF(ISNUMBER(SEARCH("WHEAT",G31)),SUMPRODUCT(--ISNUMBER(SEARCH("WHEAT",$G$2:$G$99)),--($H$2:$H$99="OCCUPIED"),--($B$2:$B$99&lt;&gt;""),--(IFERROR(VALUE(LEFT(RIGHT($G$2:$G$99,7),4)),999)&lt;IFERROR(VALUE(LEFT(RIGHT(G31,7),4)),999)))+SUMPRODUCT(--ISNUMBER(SEARCH("WHEAT",$G$2:$G$99)),--($H$2:$H$99="OCCUPIED"),--($B$2:$B$99&lt;&gt;""),--(IFERROR(VALUE(LEFT(RIGHT($G$2:$G$99,7),4)),999)=IFERROR(VALUE(LEFT(RIGHT(G31,7),4)),999)),--($B$2:$B$99&lt;B31))+SUMPRODUCT(--ISNUMBER(SEARCH("WHEAT",$G$2:$G$99)),--($H$2:$H$99="OCCUPIED"),--($B$2:$B$99&lt;&gt;""),--(IFERROR(VALUE(LEFT(RIGHT($G$2:$G$99,7),4)),999)=IFERROR(VALUE(LEFT(RIGHT(G31,7),4)),999)),--($B$2:$B$99=B31),--(ROW($B$2:$B$99)&lt;=ROW())),""))</f>
        <v/>
      </c>
      <c r="R31" s="49">
        <f>IF(OR(B31="",G31="",H31&lt;&gt;"OCCUPIED"),"",IF(ISERROR(SEARCH("WHEAT",G31)),SUMPRODUCT(--ISERROR(SEARCH("WHEAT",$G$2:$G$99)),--($H$2:$H$99="OCCUPIED"),--($B$2:$B$99&lt;&gt;""),--(IFERROR(VALUE(LEFT(RIGHT($G$2:$G$99,7),4)),999)&lt;IFERROR(VALUE(LEFT(RIGHT(G31,7),4)),999)))+SUMPRODUCT(--ISERROR(SEARCH("WHEAT",$G$2:$G$99)),--($H$2:$H$99="OCCUPIED"),--($B$2:$B$99&lt;&gt;""),--(IFERROR(VALUE(LEFT(RIGHT($G$2:$G$99,7),4)),999)=IFERROR(VALUE(LEFT(RIGHT(G31,7),4)),999)),--($B$2:$B$99&lt;B31))+SUMPRODUCT(--ISERROR(SEARCH("WHEAT",$G$2:$G$99)),--($H$2:$H$99="OCCUPIED"),--($B$2:$B$99&lt;&gt;""),--(IFERROR(VALUE(LEFT(RIGHT($G$2:$G$99,7),4)),999)=IFERROR(VALUE(LEFT(RIGHT(G31,7),4)),999)),--($B$2:$B$99=B31),--(ROW($B$2:$B$99)&lt;=ROW())),""))</f>
        <v/>
      </c>
      <c r="S31" s="54" t="n"/>
    </row>
    <row r="32" ht="15" customHeight="1" s="236">
      <c r="A32" s="56">
        <f>IF(D32="","",ROWS($D$2:D32))</f>
        <v/>
      </c>
      <c r="B32" s="65" t="n">
        <v>45944</v>
      </c>
      <c r="C32" s="99" t="n">
        <v>14</v>
      </c>
      <c r="D32" s="99" t="inlineStr">
        <is>
          <t>14B13</t>
        </is>
      </c>
      <c r="E32" s="99" t="n">
        <v>3029</v>
      </c>
      <c r="F32" s="100" t="n">
        <v>149.676154</v>
      </c>
      <c r="G32" s="99" t="inlineStr">
        <is>
          <t>FRK  RRA 2024-25</t>
        </is>
      </c>
      <c r="H32" s="62">
        <f>IF(AND(E32="",F32="",G32=""),"EMPTY","OCCUPIED")</f>
        <v/>
      </c>
      <c r="I32" s="63">
        <f>IF(B32="","",IF(ISNUMBER(B32),MAX(0,TODAY()-B32),""))</f>
        <v/>
      </c>
      <c r="J32" s="65" t="n"/>
      <c r="K32" s="65" t="n"/>
      <c r="L32" s="66" t="n">
        <v>46179</v>
      </c>
      <c r="M32" s="38">
        <f>IF(AND(H32="OCCUPIED",ISNUMBER(J32),K32=""),1,0)</f>
        <v/>
      </c>
      <c r="N32" s="41">
        <f>IF(M32=1,COUNTIF($M$2:M32,1),"")</f>
        <v/>
      </c>
      <c r="O32" s="41">
        <f>IF(AND(H32="OCCUPIED",ISNUMBER(J32),K32=""),--(TODAY()-J32&gt;5),0)</f>
        <v/>
      </c>
      <c r="P32" s="41">
        <f>IF(O32=1,COUNTIF($O$2:O32,1),"")</f>
        <v/>
      </c>
      <c r="Q32" s="49">
        <f>IF(OR(B32="",G32="",H32&lt;&gt;"OCCUPIED"),"",IF(ISNUMBER(SEARCH("WHEAT",G32)),SUMPRODUCT(--ISNUMBER(SEARCH("WHEAT",$G$2:$G$99)),--($H$2:$H$99="OCCUPIED"),--($B$2:$B$99&lt;&gt;""),--(IFERROR(VALUE(LEFT(RIGHT($G$2:$G$99,7),4)),999)&lt;IFERROR(VALUE(LEFT(RIGHT(G32,7),4)),999)))+SUMPRODUCT(--ISNUMBER(SEARCH("WHEAT",$G$2:$G$99)),--($H$2:$H$99="OCCUPIED"),--($B$2:$B$99&lt;&gt;""),--(IFERROR(VALUE(LEFT(RIGHT($G$2:$G$99,7),4)),999)=IFERROR(VALUE(LEFT(RIGHT(G32,7),4)),999)),--($B$2:$B$99&lt;B32))+SUMPRODUCT(--ISNUMBER(SEARCH("WHEAT",$G$2:$G$99)),--($H$2:$H$99="OCCUPIED"),--($B$2:$B$99&lt;&gt;""),--(IFERROR(VALUE(LEFT(RIGHT($G$2:$G$99,7),4)),999)=IFERROR(VALUE(LEFT(RIGHT(G32,7),4)),999)),--($B$2:$B$99=B32),--(ROW($B$2:$B$99)&lt;=ROW())),""))</f>
        <v/>
      </c>
      <c r="R32" s="49">
        <f>IF(OR(B32="",G32="",H32&lt;&gt;"OCCUPIED"),"",IF(ISERROR(SEARCH("WHEAT",G32)),SUMPRODUCT(--ISERROR(SEARCH("WHEAT",$G$2:$G$99)),--($H$2:$H$99="OCCUPIED"),--($B$2:$B$99&lt;&gt;""),--(IFERROR(VALUE(LEFT(RIGHT($G$2:$G$99,7),4)),999)&lt;IFERROR(VALUE(LEFT(RIGHT(G32,7),4)),999)))+SUMPRODUCT(--ISERROR(SEARCH("WHEAT",$G$2:$G$99)),--($H$2:$H$99="OCCUPIED"),--($B$2:$B$99&lt;&gt;""),--(IFERROR(VALUE(LEFT(RIGHT($G$2:$G$99,7),4)),999)=IFERROR(VALUE(LEFT(RIGHT(G32,7),4)),999)),--($B$2:$B$99&lt;B32))+SUMPRODUCT(--ISERROR(SEARCH("WHEAT",$G$2:$G$99)),--($H$2:$H$99="OCCUPIED"),--($B$2:$B$99&lt;&gt;""),--(IFERROR(VALUE(LEFT(RIGHT($G$2:$G$99,7),4)),999)=IFERROR(VALUE(LEFT(RIGHT(G32,7),4)),999)),--($B$2:$B$99=B32),--(ROW($B$2:$B$99)&lt;=ROW())),""))</f>
        <v/>
      </c>
      <c r="S32" s="54" t="n"/>
    </row>
    <row r="33" ht="15" customHeight="1" s="236">
      <c r="A33" s="56">
        <f>IF(D33="","",ROWS($D$2:D33))</f>
        <v/>
      </c>
      <c r="B33" s="65" t="n">
        <v>45927</v>
      </c>
      <c r="C33" s="99" t="n">
        <v>14</v>
      </c>
      <c r="D33" s="99" t="inlineStr">
        <is>
          <t>14B14</t>
        </is>
      </c>
      <c r="E33" s="99" t="n">
        <v>3501</v>
      </c>
      <c r="F33" s="100" t="n">
        <v>176.111963</v>
      </c>
      <c r="G33" s="99" t="inlineStr">
        <is>
          <t>WHEAT FAQ 2025-26</t>
        </is>
      </c>
      <c r="H33" s="62">
        <f>IF(AND(E33="",F33="",G33=""),"EMPTY","OCCUPIED")</f>
        <v/>
      </c>
      <c r="I33" s="63">
        <f>IF(B33="","",IF(ISNUMBER(B33),MAX(0,TODAY()-B33),""))</f>
        <v/>
      </c>
      <c r="J33" s="65" t="n">
        <v>46265</v>
      </c>
      <c r="K33" s="65" t="n"/>
      <c r="L33" s="66" t="n"/>
      <c r="M33" s="38">
        <f>IF(AND(H33="OCCUPIED",ISNUMBER(J33),K33=""),1,0)</f>
        <v/>
      </c>
      <c r="N33" s="41">
        <f>IF(M33=1,COUNTIF($M$2:M33,1),"")</f>
        <v/>
      </c>
      <c r="O33" s="41">
        <f>IF(AND(H33="OCCUPIED",ISNUMBER(J33),K33=""),--(TODAY()-J33&gt;5),0)</f>
        <v/>
      </c>
      <c r="P33" s="41">
        <f>IF(O33=1,COUNTIF($O$2:O33,1),"")</f>
        <v/>
      </c>
      <c r="Q33" s="49">
        <f>IF(OR(B33="",G33="",H33&lt;&gt;"OCCUPIED"),"",IF(ISNUMBER(SEARCH("WHEAT",G33)),SUMPRODUCT(--ISNUMBER(SEARCH("WHEAT",$G$2:$G$99)),--($H$2:$H$99="OCCUPIED"),--($B$2:$B$99&lt;&gt;""),--(IFERROR(VALUE(LEFT(RIGHT($G$2:$G$99,7),4)),999)&lt;IFERROR(VALUE(LEFT(RIGHT(G33,7),4)),999)))+SUMPRODUCT(--ISNUMBER(SEARCH("WHEAT",$G$2:$G$99)),--($H$2:$H$99="OCCUPIED"),--($B$2:$B$99&lt;&gt;""),--(IFERROR(VALUE(LEFT(RIGHT($G$2:$G$99,7),4)),999)=IFERROR(VALUE(LEFT(RIGHT(G33,7),4)),999)),--($B$2:$B$99&lt;B33))+SUMPRODUCT(--ISNUMBER(SEARCH("WHEAT",$G$2:$G$99)),--($H$2:$H$99="OCCUPIED"),--($B$2:$B$99&lt;&gt;""),--(IFERROR(VALUE(LEFT(RIGHT($G$2:$G$99,7),4)),999)=IFERROR(VALUE(LEFT(RIGHT(G33,7),4)),999)),--($B$2:$B$99=B33),--(ROW($B$2:$B$99)&lt;=ROW())),""))</f>
        <v/>
      </c>
      <c r="R33" s="49">
        <f>IF(OR(B33="",G33="",H33&lt;&gt;"OCCUPIED"),"",IF(ISERROR(SEARCH("WHEAT",G33)),SUMPRODUCT(--ISERROR(SEARCH("WHEAT",$G$2:$G$99)),--($H$2:$H$99="OCCUPIED"),--($B$2:$B$99&lt;&gt;""),--(IFERROR(VALUE(LEFT(RIGHT($G$2:$G$99,7),4)),999)&lt;IFERROR(VALUE(LEFT(RIGHT(G33,7),4)),999)))+SUMPRODUCT(--ISERROR(SEARCH("WHEAT",$G$2:$G$99)),--($H$2:$H$99="OCCUPIED"),--($B$2:$B$99&lt;&gt;""),--(IFERROR(VALUE(LEFT(RIGHT($G$2:$G$99,7),4)),999)=IFERROR(VALUE(LEFT(RIGHT(G33,7),4)),999)),--($B$2:$B$99&lt;B33))+SUMPRODUCT(--ISERROR(SEARCH("WHEAT",$G$2:$G$99)),--($H$2:$H$99="OCCUPIED"),--($B$2:$B$99&lt;&gt;""),--(IFERROR(VALUE(LEFT(RIGHT($G$2:$G$99,7),4)),999)=IFERROR(VALUE(LEFT(RIGHT(G33,7),4)),999)),--($B$2:$B$99=B33),--(ROW($B$2:$B$99)&lt;=ROW())),""))</f>
        <v/>
      </c>
      <c r="S33" s="54" t="n"/>
    </row>
    <row r="34" ht="15" customHeight="1" s="236">
      <c r="A34" s="56">
        <f>IF(D34="","",ROWS($D$2:D34))</f>
        <v/>
      </c>
      <c r="B34" s="65" t="n">
        <v>45925</v>
      </c>
      <c r="C34" s="99" t="n">
        <v>14</v>
      </c>
      <c r="D34" s="99" t="inlineStr">
        <is>
          <t>14B15</t>
        </is>
      </c>
      <c r="E34" s="99" t="n">
        <v>3501</v>
      </c>
      <c r="F34" s="100" t="n">
        <v>176.077448</v>
      </c>
      <c r="G34" s="99" t="inlineStr">
        <is>
          <t>WHEAT FAQ 2025-26</t>
        </is>
      </c>
      <c r="H34" s="62">
        <f>IF(AND(E34="",F34="",G34=""),"EMPTY","OCCUPIED")</f>
        <v/>
      </c>
      <c r="I34" s="63">
        <f>IF(B34="","",IF(ISNUMBER(B34),MAX(0,TODAY()-B34),""))</f>
        <v/>
      </c>
      <c r="J34" s="65" t="n">
        <v>46265</v>
      </c>
      <c r="K34" s="65" t="n"/>
      <c r="L34" s="66" t="n"/>
      <c r="M34" s="38">
        <f>IF(AND(H34="OCCUPIED",ISNUMBER(J34),K34=""),1,0)</f>
        <v/>
      </c>
      <c r="N34" s="41">
        <f>IF(M34=1,COUNTIF($M$2:M34,1),"")</f>
        <v/>
      </c>
      <c r="O34" s="41">
        <f>IF(AND(H34="OCCUPIED",ISNUMBER(J34),K34=""),--(TODAY()-J34&gt;5),0)</f>
        <v/>
      </c>
      <c r="P34" s="41">
        <f>IF(O34=1,COUNTIF($O$2:O34,1),"")</f>
        <v/>
      </c>
      <c r="Q34" s="49">
        <f>IF(OR(B34="",G34="",H34&lt;&gt;"OCCUPIED"),"",IF(ISNUMBER(SEARCH("WHEAT",G34)),SUMPRODUCT(--ISNUMBER(SEARCH("WHEAT",$G$2:$G$99)),--($H$2:$H$99="OCCUPIED"),--($B$2:$B$99&lt;&gt;""),--(IFERROR(VALUE(LEFT(RIGHT($G$2:$G$99,7),4)),999)&lt;IFERROR(VALUE(LEFT(RIGHT(G34,7),4)),999)))+SUMPRODUCT(--ISNUMBER(SEARCH("WHEAT",$G$2:$G$99)),--($H$2:$H$99="OCCUPIED"),--($B$2:$B$99&lt;&gt;""),--(IFERROR(VALUE(LEFT(RIGHT($G$2:$G$99,7),4)),999)=IFERROR(VALUE(LEFT(RIGHT(G34,7),4)),999)),--($B$2:$B$99&lt;B34))+SUMPRODUCT(--ISNUMBER(SEARCH("WHEAT",$G$2:$G$99)),--($H$2:$H$99="OCCUPIED"),--($B$2:$B$99&lt;&gt;""),--(IFERROR(VALUE(LEFT(RIGHT($G$2:$G$99,7),4)),999)=IFERROR(VALUE(LEFT(RIGHT(G34,7),4)),999)),--($B$2:$B$99=B34),--(ROW($B$2:$B$99)&lt;=ROW())),""))</f>
        <v/>
      </c>
      <c r="R34" s="49">
        <f>IF(OR(B34="",G34="",H34&lt;&gt;"OCCUPIED"),"",IF(ISERROR(SEARCH("WHEAT",G34)),SUMPRODUCT(--ISERROR(SEARCH("WHEAT",$G$2:$G$99)),--($H$2:$H$99="OCCUPIED"),--($B$2:$B$99&lt;&gt;""),--(IFERROR(VALUE(LEFT(RIGHT($G$2:$G$99,7),4)),999)&lt;IFERROR(VALUE(LEFT(RIGHT(G34,7),4)),999)))+SUMPRODUCT(--ISERROR(SEARCH("WHEAT",$G$2:$G$99)),--($H$2:$H$99="OCCUPIED"),--($B$2:$B$99&lt;&gt;""),--(IFERROR(VALUE(LEFT(RIGHT($G$2:$G$99,7),4)),999)=IFERROR(VALUE(LEFT(RIGHT(G34,7),4)),999)),--($B$2:$B$99&lt;B34))+SUMPRODUCT(--ISERROR(SEARCH("WHEAT",$G$2:$G$99)),--($H$2:$H$99="OCCUPIED"),--($B$2:$B$99&lt;&gt;""),--(IFERROR(VALUE(LEFT(RIGHT($G$2:$G$99,7),4)),999)=IFERROR(VALUE(LEFT(RIGHT(G34,7),4)),999)),--($B$2:$B$99=B34),--(ROW($B$2:$B$99)&lt;=ROW())),""))</f>
        <v/>
      </c>
      <c r="S34" s="54" t="n"/>
    </row>
    <row r="35" ht="15" customHeight="1" s="236">
      <c r="A35" s="56">
        <f>IF(D35="","",ROWS($D$2:D35))</f>
        <v/>
      </c>
      <c r="B35" s="65" t="n">
        <v>46043</v>
      </c>
      <c r="C35" s="99" t="n">
        <v>18</v>
      </c>
      <c r="D35" s="99" t="inlineStr">
        <is>
          <t>18A01</t>
        </is>
      </c>
      <c r="E35" s="99" t="n">
        <v>3501</v>
      </c>
      <c r="F35" s="100" t="n">
        <v>172.480731</v>
      </c>
      <c r="G35" s="99" t="inlineStr">
        <is>
          <t>FRK  RRA 2024-25</t>
        </is>
      </c>
      <c r="H35" s="62">
        <f>IF(AND(E35="",F35="",G35=""),"EMPTY","OCCUPIED")</f>
        <v/>
      </c>
      <c r="I35" s="63">
        <f>IF(B35="","",IF(ISNUMBER(B35),MAX(0,TODAY()-B35),""))</f>
        <v/>
      </c>
      <c r="J35" s="65" t="n"/>
      <c r="K35" s="65" t="n"/>
      <c r="L35" s="66" t="n">
        <v>46172</v>
      </c>
      <c r="M35" s="38">
        <f>IF(AND(H35="OCCUPIED",ISNUMBER(J35),K35=""),1,0)</f>
        <v/>
      </c>
      <c r="N35" s="41">
        <f>IF(M35=1,COUNTIF($M$2:M35,1),"")</f>
        <v/>
      </c>
      <c r="O35" s="41">
        <f>IF(AND(H35="OCCUPIED",ISNUMBER(J35),K35=""),--(TODAY()-J35&gt;5),0)</f>
        <v/>
      </c>
      <c r="P35" s="41">
        <f>IF(O35=1,COUNTIF($O$2:O35,1),"")</f>
        <v/>
      </c>
      <c r="Q35" s="49">
        <f>IF(OR(B35="",G35="",H35&lt;&gt;"OCCUPIED"),"",IF(ISNUMBER(SEARCH("WHEAT",G35)),SUMPRODUCT(--ISNUMBER(SEARCH("WHEAT",$G$2:$G$99)),--($H$2:$H$99="OCCUPIED"),--($B$2:$B$99&lt;&gt;""),--(IFERROR(VALUE(LEFT(RIGHT($G$2:$G$99,7),4)),999)&lt;IFERROR(VALUE(LEFT(RIGHT(G35,7),4)),999)))+SUMPRODUCT(--ISNUMBER(SEARCH("WHEAT",$G$2:$G$99)),--($H$2:$H$99="OCCUPIED"),--($B$2:$B$99&lt;&gt;""),--(IFERROR(VALUE(LEFT(RIGHT($G$2:$G$99,7),4)),999)=IFERROR(VALUE(LEFT(RIGHT(G35,7),4)),999)),--($B$2:$B$99&lt;B35))+SUMPRODUCT(--ISNUMBER(SEARCH("WHEAT",$G$2:$G$99)),--($H$2:$H$99="OCCUPIED"),--($B$2:$B$99&lt;&gt;""),--(IFERROR(VALUE(LEFT(RIGHT($G$2:$G$99,7),4)),999)=IFERROR(VALUE(LEFT(RIGHT(G35,7),4)),999)),--($B$2:$B$99=B35),--(ROW($B$2:$B$99)&lt;=ROW())),""))</f>
        <v/>
      </c>
      <c r="R35" s="49">
        <f>IF(OR(B35="",G35="",H35&lt;&gt;"OCCUPIED"),"",IF(ISERROR(SEARCH("WHEAT",G35)),SUMPRODUCT(--ISERROR(SEARCH("WHEAT",$G$2:$G$99)),--($H$2:$H$99="OCCUPIED"),--($B$2:$B$99&lt;&gt;""),--(IFERROR(VALUE(LEFT(RIGHT($G$2:$G$99,7),4)),999)&lt;IFERROR(VALUE(LEFT(RIGHT(G35,7),4)),999)))+SUMPRODUCT(--ISERROR(SEARCH("WHEAT",$G$2:$G$99)),--($H$2:$H$99="OCCUPIED"),--($B$2:$B$99&lt;&gt;""),--(IFERROR(VALUE(LEFT(RIGHT($G$2:$G$99,7),4)),999)=IFERROR(VALUE(LEFT(RIGHT(G35,7),4)),999)),--($B$2:$B$99&lt;B35))+SUMPRODUCT(--ISERROR(SEARCH("WHEAT",$G$2:$G$99)),--($H$2:$H$99="OCCUPIED"),--($B$2:$B$99&lt;&gt;""),--(IFERROR(VALUE(LEFT(RIGHT($G$2:$G$99,7),4)),999)=IFERROR(VALUE(LEFT(RIGHT(G35,7),4)),999)),--($B$2:$B$99=B35),--(ROW($B$2:$B$99)&lt;=ROW())),""))</f>
        <v/>
      </c>
      <c r="S35" s="54" t="n"/>
    </row>
    <row r="36" ht="15" customHeight="1" s="236">
      <c r="A36" s="56">
        <f>IF(D36="","",ROWS($D$2:D36))</f>
        <v/>
      </c>
      <c r="B36" s="65" t="n">
        <v>46118</v>
      </c>
      <c r="C36" s="99" t="n">
        <v>18</v>
      </c>
      <c r="D36" s="99" t="inlineStr">
        <is>
          <t>18A02</t>
        </is>
      </c>
      <c r="E36" s="99" t="n">
        <v>3501</v>
      </c>
      <c r="F36" s="100" t="n">
        <v>173.348281</v>
      </c>
      <c r="G36" s="99" t="inlineStr">
        <is>
          <t>FRK  RRA 2024-25</t>
        </is>
      </c>
      <c r="H36" s="62">
        <f>IF(AND(E36="",F36="",G36=""),"EMPTY","OCCUPIED")</f>
        <v/>
      </c>
      <c r="I36" s="63">
        <f>IF(B36="","",IF(ISNUMBER(B36),MAX(0,TODAY()-B36),""))</f>
        <v/>
      </c>
      <c r="J36" s="65" t="n">
        <v>46265</v>
      </c>
      <c r="K36" s="65" t="n"/>
      <c r="L36" s="66" t="n"/>
      <c r="M36" s="38">
        <f>IF(AND(H36="OCCUPIED",ISNUMBER(J36),K36=""),1,0)</f>
        <v/>
      </c>
      <c r="N36" s="41">
        <f>IF(M36=1,COUNTIF($M$2:M36,1),"")</f>
        <v/>
      </c>
      <c r="O36" s="41">
        <f>IF(AND(H36="OCCUPIED",ISNUMBER(J36),K36=""),--(TODAY()-J36&gt;5),0)</f>
        <v/>
      </c>
      <c r="P36" s="41">
        <f>IF(O36=1,COUNTIF($O$2:O36,1),"")</f>
        <v/>
      </c>
      <c r="Q36" s="49">
        <f>IF(OR(B36="",G36="",H36&lt;&gt;"OCCUPIED"),"",IF(ISNUMBER(SEARCH("WHEAT",G36)),SUMPRODUCT(--ISNUMBER(SEARCH("WHEAT",$G$2:$G$99)),--($H$2:$H$99="OCCUPIED"),--($B$2:$B$99&lt;&gt;""),--(IFERROR(VALUE(LEFT(RIGHT($G$2:$G$99,7),4)),999)&lt;IFERROR(VALUE(LEFT(RIGHT(G36,7),4)),999)))+SUMPRODUCT(--ISNUMBER(SEARCH("WHEAT",$G$2:$G$99)),--($H$2:$H$99="OCCUPIED"),--($B$2:$B$99&lt;&gt;""),--(IFERROR(VALUE(LEFT(RIGHT($G$2:$G$99,7),4)),999)=IFERROR(VALUE(LEFT(RIGHT(G36,7),4)),999)),--($B$2:$B$99&lt;B36))+SUMPRODUCT(--ISNUMBER(SEARCH("WHEAT",$G$2:$G$99)),--($H$2:$H$99="OCCUPIED"),--($B$2:$B$99&lt;&gt;""),--(IFERROR(VALUE(LEFT(RIGHT($G$2:$G$99,7),4)),999)=IFERROR(VALUE(LEFT(RIGHT(G36,7),4)),999)),--($B$2:$B$99=B36),--(ROW($B$2:$B$99)&lt;=ROW())),""))</f>
        <v/>
      </c>
      <c r="R36" s="49">
        <f>IF(OR(B36="",G36="",H36&lt;&gt;"OCCUPIED"),"",IF(ISERROR(SEARCH("WHEAT",G36)),SUMPRODUCT(--ISERROR(SEARCH("WHEAT",$G$2:$G$99)),--($H$2:$H$99="OCCUPIED"),--($B$2:$B$99&lt;&gt;""),--(IFERROR(VALUE(LEFT(RIGHT($G$2:$G$99,7),4)),999)&lt;IFERROR(VALUE(LEFT(RIGHT(G36,7),4)),999)))+SUMPRODUCT(--ISERROR(SEARCH("WHEAT",$G$2:$G$99)),--($H$2:$H$99="OCCUPIED"),--($B$2:$B$99&lt;&gt;""),--(IFERROR(VALUE(LEFT(RIGHT($G$2:$G$99,7),4)),999)=IFERROR(VALUE(LEFT(RIGHT(G36,7),4)),999)),--($B$2:$B$99&lt;B36))+SUMPRODUCT(--ISERROR(SEARCH("WHEAT",$G$2:$G$99)),--($H$2:$H$99="OCCUPIED"),--($B$2:$B$99&lt;&gt;""),--(IFERROR(VALUE(LEFT(RIGHT($G$2:$G$99,7),4)),999)=IFERROR(VALUE(LEFT(RIGHT(G36,7),4)),999)),--($B$2:$B$99=B36),--(ROW($B$2:$B$99)&lt;=ROW())),""))</f>
        <v/>
      </c>
      <c r="S36" s="54" t="n"/>
    </row>
    <row r="37" ht="15" customHeight="1" s="236">
      <c r="A37" s="56">
        <f>IF(D37="","",ROWS($D$2:D37))</f>
        <v/>
      </c>
      <c r="B37" s="65" t="n">
        <v>45964</v>
      </c>
      <c r="C37" s="99" t="n">
        <v>18</v>
      </c>
      <c r="D37" s="99" t="inlineStr">
        <is>
          <t>18A03</t>
        </is>
      </c>
      <c r="E37" s="99" t="n">
        <v>3501</v>
      </c>
      <c r="F37" s="100" t="n">
        <v>172.986342</v>
      </c>
      <c r="G37" s="99" t="inlineStr">
        <is>
          <t>FRK  RRA 2024-25</t>
        </is>
      </c>
      <c r="H37" s="62">
        <f>IF(AND(E37="",F37="",G37=""),"EMPTY","OCCUPIED")</f>
        <v/>
      </c>
      <c r="I37" s="63">
        <f>IF(B37="","",IF(ISNUMBER(B37),MAX(0,TODAY()-B37),""))</f>
        <v/>
      </c>
      <c r="J37" s="65" t="n"/>
      <c r="K37" s="65" t="n"/>
      <c r="L37" s="66" t="n">
        <v>46202</v>
      </c>
      <c r="M37" s="38">
        <f>IF(AND(H37="OCCUPIED",ISNUMBER(J37),K37=""),1,0)</f>
        <v/>
      </c>
      <c r="N37" s="41">
        <f>IF(M37=1,COUNTIF($M$2:M37,1),"")</f>
        <v/>
      </c>
      <c r="O37" s="41">
        <f>IF(AND(H37="OCCUPIED",ISNUMBER(J37),K37=""),--(TODAY()-J37&gt;5),0)</f>
        <v/>
      </c>
      <c r="P37" s="41">
        <f>IF(O37=1,COUNTIF($O$2:O37,1),"")</f>
        <v/>
      </c>
      <c r="Q37" s="49">
        <f>IF(OR(B37="",G37="",H37&lt;&gt;"OCCUPIED"),"",IF(ISNUMBER(SEARCH("WHEAT",G37)),SUMPRODUCT(--ISNUMBER(SEARCH("WHEAT",$G$2:$G$99)),--($H$2:$H$99="OCCUPIED"),--($B$2:$B$99&lt;&gt;""),--(IFERROR(VALUE(LEFT(RIGHT($G$2:$G$99,7),4)),999)&lt;IFERROR(VALUE(LEFT(RIGHT(G37,7),4)),999)))+SUMPRODUCT(--ISNUMBER(SEARCH("WHEAT",$G$2:$G$99)),--($H$2:$H$99="OCCUPIED"),--($B$2:$B$99&lt;&gt;""),--(IFERROR(VALUE(LEFT(RIGHT($G$2:$G$99,7),4)),999)=IFERROR(VALUE(LEFT(RIGHT(G37,7),4)),999)),--($B$2:$B$99&lt;B37))+SUMPRODUCT(--ISNUMBER(SEARCH("WHEAT",$G$2:$G$99)),--($H$2:$H$99="OCCUPIED"),--($B$2:$B$99&lt;&gt;""),--(IFERROR(VALUE(LEFT(RIGHT($G$2:$G$99,7),4)),999)=IFERROR(VALUE(LEFT(RIGHT(G37,7),4)),999)),--($B$2:$B$99=B37),--(ROW($B$2:$B$99)&lt;=ROW())),""))</f>
        <v/>
      </c>
      <c r="R37" s="49">
        <f>IF(OR(B37="",G37="",H37&lt;&gt;"OCCUPIED"),"",IF(ISERROR(SEARCH("WHEAT",G37)),SUMPRODUCT(--ISERROR(SEARCH("WHEAT",$G$2:$G$99)),--($H$2:$H$99="OCCUPIED"),--($B$2:$B$99&lt;&gt;""),--(IFERROR(VALUE(LEFT(RIGHT($G$2:$G$99,7),4)),999)&lt;IFERROR(VALUE(LEFT(RIGHT(G37,7),4)),999)))+SUMPRODUCT(--ISERROR(SEARCH("WHEAT",$G$2:$G$99)),--($H$2:$H$99="OCCUPIED"),--($B$2:$B$99&lt;&gt;""),--(IFERROR(VALUE(LEFT(RIGHT($G$2:$G$99,7),4)),999)=IFERROR(VALUE(LEFT(RIGHT(G37,7),4)),999)),--($B$2:$B$99&lt;B37))+SUMPRODUCT(--ISERROR(SEARCH("WHEAT",$G$2:$G$99)),--($H$2:$H$99="OCCUPIED"),--($B$2:$B$99&lt;&gt;""),--(IFERROR(VALUE(LEFT(RIGHT($G$2:$G$99,7),4)),999)=IFERROR(VALUE(LEFT(RIGHT(G37,7),4)),999)),--($B$2:$B$99=B37),--(ROW($B$2:$B$99)&lt;=ROW())),""))</f>
        <v/>
      </c>
      <c r="S37" s="54" t="n"/>
    </row>
    <row r="38" ht="15" customHeight="1" s="236">
      <c r="A38" s="56">
        <f>IF(D38="","",ROWS($D$2:D38))</f>
        <v/>
      </c>
      <c r="B38" s="65" t="n">
        <v>46112</v>
      </c>
      <c r="C38" s="99" t="n">
        <v>18</v>
      </c>
      <c r="D38" s="99" t="inlineStr">
        <is>
          <t>18A04</t>
        </is>
      </c>
      <c r="E38" s="99" t="n">
        <v>3501</v>
      </c>
      <c r="F38" s="100" t="n">
        <v>170.648875</v>
      </c>
      <c r="G38" s="99" t="inlineStr">
        <is>
          <t>FRK  RRA 2024-25</t>
        </is>
      </c>
      <c r="H38" s="62">
        <f>IF(AND(E38="",F38="",G38=""),"EMPTY","OCCUPIED")</f>
        <v/>
      </c>
      <c r="I38" s="63">
        <f>IF(B38="","",IF(ISNUMBER(B38),MAX(0,TODAY()-B38),""))</f>
        <v/>
      </c>
      <c r="J38" s="65" t="n"/>
      <c r="K38" s="65" t="n"/>
      <c r="L38" s="66" t="n">
        <v>46211</v>
      </c>
      <c r="M38" s="38">
        <f>IF(AND(H38="OCCUPIED",ISNUMBER(J38),K38=""),1,0)</f>
        <v/>
      </c>
      <c r="N38" s="41">
        <f>IF(M38=1,COUNTIF($M$2:M38,1),"")</f>
        <v/>
      </c>
      <c r="O38" s="41">
        <f>IF(AND(H38="OCCUPIED",ISNUMBER(J38),K38=""),--(TODAY()-J38&gt;5),0)</f>
        <v/>
      </c>
      <c r="P38" s="41">
        <f>IF(O38=1,COUNTIF($O$2:O38,1),"")</f>
        <v/>
      </c>
      <c r="Q38" s="49">
        <f>IF(OR(B38="",G38="",H38&lt;&gt;"OCCUPIED"),"",IF(ISNUMBER(SEARCH("WHEAT",G38)),SUMPRODUCT(--ISNUMBER(SEARCH("WHEAT",$G$2:$G$99)),--($H$2:$H$99="OCCUPIED"),--($B$2:$B$99&lt;&gt;""),--(IFERROR(VALUE(LEFT(RIGHT($G$2:$G$99,7),4)),999)&lt;IFERROR(VALUE(LEFT(RIGHT(G38,7),4)),999)))+SUMPRODUCT(--ISNUMBER(SEARCH("WHEAT",$G$2:$G$99)),--($H$2:$H$99="OCCUPIED"),--($B$2:$B$99&lt;&gt;""),--(IFERROR(VALUE(LEFT(RIGHT($G$2:$G$99,7),4)),999)=IFERROR(VALUE(LEFT(RIGHT(G38,7),4)),999)),--($B$2:$B$99&lt;B38))+SUMPRODUCT(--ISNUMBER(SEARCH("WHEAT",$G$2:$G$99)),--($H$2:$H$99="OCCUPIED"),--($B$2:$B$99&lt;&gt;""),--(IFERROR(VALUE(LEFT(RIGHT($G$2:$G$99,7),4)),999)=IFERROR(VALUE(LEFT(RIGHT(G38,7),4)),999)),--($B$2:$B$99=B38),--(ROW($B$2:$B$99)&lt;=ROW())),""))</f>
        <v/>
      </c>
      <c r="R38" s="49">
        <f>IF(OR(B38="",G38="",H38&lt;&gt;"OCCUPIED"),"",IF(ISERROR(SEARCH("WHEAT",G38)),SUMPRODUCT(--ISERROR(SEARCH("WHEAT",$G$2:$G$99)),--($H$2:$H$99="OCCUPIED"),--($B$2:$B$99&lt;&gt;""),--(IFERROR(VALUE(LEFT(RIGHT($G$2:$G$99,7),4)),999)&lt;IFERROR(VALUE(LEFT(RIGHT(G38,7),4)),999)))+SUMPRODUCT(--ISERROR(SEARCH("WHEAT",$G$2:$G$99)),--($H$2:$H$99="OCCUPIED"),--($B$2:$B$99&lt;&gt;""),--(IFERROR(VALUE(LEFT(RIGHT($G$2:$G$99,7),4)),999)=IFERROR(VALUE(LEFT(RIGHT(G38,7),4)),999)),--($B$2:$B$99&lt;B38))+SUMPRODUCT(--ISERROR(SEARCH("WHEAT",$G$2:$G$99)),--($H$2:$H$99="OCCUPIED"),--($B$2:$B$99&lt;&gt;""),--(IFERROR(VALUE(LEFT(RIGHT($G$2:$G$99,7),4)),999)=IFERROR(VALUE(LEFT(RIGHT(G38,7),4)),999)),--($B$2:$B$99=B38),--(ROW($B$2:$B$99)&lt;=ROW())),""))</f>
        <v/>
      </c>
      <c r="S38" s="54" t="n"/>
    </row>
    <row r="39" ht="15" customHeight="1" s="236">
      <c r="A39" s="56">
        <f>IF(D39="","",ROWS($D$2:D39))</f>
        <v/>
      </c>
      <c r="B39" s="65" t="n"/>
      <c r="C39" s="99" t="n">
        <v>18</v>
      </c>
      <c r="D39" s="99" t="inlineStr">
        <is>
          <t>18A05</t>
        </is>
      </c>
      <c r="E39" s="99" t="n"/>
      <c r="F39" s="100" t="n"/>
      <c r="G39" s="99" t="n"/>
      <c r="H39" s="62">
        <f>IF(AND(E39="",F39="",G39=""),"EMPTY","OCCUPIED")</f>
        <v/>
      </c>
      <c r="I39" s="63">
        <f>IF(B39="","",IF(ISNUMBER(B39),MAX(0,TODAY()-B39),""))</f>
        <v/>
      </c>
      <c r="J39" s="65" t="n"/>
      <c r="K39" s="65" t="n"/>
      <c r="L39" s="66" t="n"/>
      <c r="M39" s="38">
        <f>IF(AND(H39="OCCUPIED",ISNUMBER(J39),K39=""),1,0)</f>
        <v/>
      </c>
      <c r="N39" s="41">
        <f>IF(M39=1,COUNTIF($M$2:M39,1),"")</f>
        <v/>
      </c>
      <c r="O39" s="41">
        <f>IF(AND(H39="OCCUPIED",ISNUMBER(J39),K39=""),--(TODAY()-J39&gt;5),0)</f>
        <v/>
      </c>
      <c r="P39" s="41">
        <f>IF(O39=1,COUNTIF($O$2:O39,1),"")</f>
        <v/>
      </c>
      <c r="Q39" s="49">
        <f>IF(OR(B39="",G39="",H39&lt;&gt;"OCCUPIED"),"",IF(ISNUMBER(SEARCH("WHEAT",G39)),SUMPRODUCT(--ISNUMBER(SEARCH("WHEAT",$G$2:$G$99)),--($H$2:$H$99="OCCUPIED"),--($B$2:$B$99&lt;&gt;""),--(IFERROR(VALUE(LEFT(RIGHT($G$2:$G$99,7),4)),999)&lt;IFERROR(VALUE(LEFT(RIGHT(G39,7),4)),999)))+SUMPRODUCT(--ISNUMBER(SEARCH("WHEAT",$G$2:$G$99)),--($H$2:$H$99="OCCUPIED"),--($B$2:$B$99&lt;&gt;""),--(IFERROR(VALUE(LEFT(RIGHT($G$2:$G$99,7),4)),999)=IFERROR(VALUE(LEFT(RIGHT(G39,7),4)),999)),--($B$2:$B$99&lt;B39))+SUMPRODUCT(--ISNUMBER(SEARCH("WHEAT",$G$2:$G$99)),--($H$2:$H$99="OCCUPIED"),--($B$2:$B$99&lt;&gt;""),--(IFERROR(VALUE(LEFT(RIGHT($G$2:$G$99,7),4)),999)=IFERROR(VALUE(LEFT(RIGHT(G39,7),4)),999)),--($B$2:$B$99=B39),--(ROW($B$2:$B$99)&lt;=ROW())),""))</f>
        <v/>
      </c>
      <c r="R39" s="49">
        <f>IF(OR(B39="",G39="",H39&lt;&gt;"OCCUPIED"),"",IF(ISERROR(SEARCH("WHEAT",G39)),SUMPRODUCT(--ISERROR(SEARCH("WHEAT",$G$2:$G$99)),--($H$2:$H$99="OCCUPIED"),--($B$2:$B$99&lt;&gt;""),--(IFERROR(VALUE(LEFT(RIGHT($G$2:$G$99,7),4)),999)&lt;IFERROR(VALUE(LEFT(RIGHT(G39,7),4)),999)))+SUMPRODUCT(--ISERROR(SEARCH("WHEAT",$G$2:$G$99)),--($H$2:$H$99="OCCUPIED"),--($B$2:$B$99&lt;&gt;""),--(IFERROR(VALUE(LEFT(RIGHT($G$2:$G$99,7),4)),999)=IFERROR(VALUE(LEFT(RIGHT(G39,7),4)),999)),--($B$2:$B$99&lt;B39))+SUMPRODUCT(--ISERROR(SEARCH("WHEAT",$G$2:$G$99)),--($H$2:$H$99="OCCUPIED"),--($B$2:$B$99&lt;&gt;""),--(IFERROR(VALUE(LEFT(RIGHT($G$2:$G$99,7),4)),999)=IFERROR(VALUE(LEFT(RIGHT(G39,7),4)),999)),--($B$2:$B$99=B39),--(ROW($B$2:$B$99)&lt;=ROW())),""))</f>
        <v/>
      </c>
      <c r="S39" s="54" t="n"/>
    </row>
    <row r="40" ht="15" customHeight="1" s="236">
      <c r="A40" s="56">
        <f>IF(D40="","",ROWS($D$2:D40))</f>
        <v/>
      </c>
      <c r="B40" s="65" t="n"/>
      <c r="C40" s="99" t="n">
        <v>18</v>
      </c>
      <c r="D40" s="99" t="inlineStr">
        <is>
          <t>18A06</t>
        </is>
      </c>
      <c r="E40" s="99" t="n"/>
      <c r="F40" s="100" t="n"/>
      <c r="G40" s="99" t="n"/>
      <c r="H40" s="62">
        <f>IF(AND(E40="",F40="",G40=""),"EMPTY","OCCUPIED")</f>
        <v/>
      </c>
      <c r="I40" s="63">
        <f>IF(B40="","",IF(ISNUMBER(B40),MAX(0,TODAY()-B40),""))</f>
        <v/>
      </c>
      <c r="J40" s="65" t="n"/>
      <c r="K40" s="65" t="n"/>
      <c r="L40" s="66" t="n"/>
      <c r="M40" s="38">
        <f>IF(AND(H40="OCCUPIED",ISNUMBER(J40),K40=""),1,0)</f>
        <v/>
      </c>
      <c r="N40" s="41">
        <f>IF(M40=1,COUNTIF($M$2:M40,1),"")</f>
        <v/>
      </c>
      <c r="O40" s="41">
        <f>IF(AND(H40="OCCUPIED",ISNUMBER(J40),K40=""),--(TODAY()-J40&gt;5),0)</f>
        <v/>
      </c>
      <c r="P40" s="41">
        <f>IF(O40=1,COUNTIF($O$2:O40,1),"")</f>
        <v/>
      </c>
      <c r="Q40" s="49">
        <f>IF(OR(B40="",G40="",H40&lt;&gt;"OCCUPIED"),"",IF(ISNUMBER(SEARCH("WHEAT",G40)),SUMPRODUCT(--ISNUMBER(SEARCH("WHEAT",$G$2:$G$99)),--($H$2:$H$99="OCCUPIED"),--($B$2:$B$99&lt;&gt;""),--(IFERROR(VALUE(LEFT(RIGHT($G$2:$G$99,7),4)),999)&lt;IFERROR(VALUE(LEFT(RIGHT(G40,7),4)),999)))+SUMPRODUCT(--ISNUMBER(SEARCH("WHEAT",$G$2:$G$99)),--($H$2:$H$99="OCCUPIED"),--($B$2:$B$99&lt;&gt;""),--(IFERROR(VALUE(LEFT(RIGHT($G$2:$G$99,7),4)),999)=IFERROR(VALUE(LEFT(RIGHT(G40,7),4)),999)),--($B$2:$B$99&lt;B40))+SUMPRODUCT(--ISNUMBER(SEARCH("WHEAT",$G$2:$G$99)),--($H$2:$H$99="OCCUPIED"),--($B$2:$B$99&lt;&gt;""),--(IFERROR(VALUE(LEFT(RIGHT($G$2:$G$99,7),4)),999)=IFERROR(VALUE(LEFT(RIGHT(G40,7),4)),999)),--($B$2:$B$99=B40),--(ROW($B$2:$B$99)&lt;=ROW())),""))</f>
        <v/>
      </c>
      <c r="R40" s="49">
        <f>IF(OR(B40="",G40="",H40&lt;&gt;"OCCUPIED"),"",IF(ISERROR(SEARCH("WHEAT",G40)),SUMPRODUCT(--ISERROR(SEARCH("WHEAT",$G$2:$G$99)),--($H$2:$H$99="OCCUPIED"),--($B$2:$B$99&lt;&gt;""),--(IFERROR(VALUE(LEFT(RIGHT($G$2:$G$99,7),4)),999)&lt;IFERROR(VALUE(LEFT(RIGHT(G40,7),4)),999)))+SUMPRODUCT(--ISERROR(SEARCH("WHEAT",$G$2:$G$99)),--($H$2:$H$99="OCCUPIED"),--($B$2:$B$99&lt;&gt;""),--(IFERROR(VALUE(LEFT(RIGHT($G$2:$G$99,7),4)),999)=IFERROR(VALUE(LEFT(RIGHT(G40,7),4)),999)),--($B$2:$B$99&lt;B40))+SUMPRODUCT(--ISERROR(SEARCH("WHEAT",$G$2:$G$99)),--($H$2:$H$99="OCCUPIED"),--($B$2:$B$99&lt;&gt;""),--(IFERROR(VALUE(LEFT(RIGHT($G$2:$G$99,7),4)),999)=IFERROR(VALUE(LEFT(RIGHT(G40,7),4)),999)),--($B$2:$B$99=B40),--(ROW($B$2:$B$99)&lt;=ROW())),""))</f>
        <v/>
      </c>
      <c r="S40" s="54" t="n"/>
    </row>
    <row r="41" ht="15" customHeight="1" s="236">
      <c r="A41" s="56">
        <f>IF(D41="","",ROWS($D$2:D41))</f>
        <v/>
      </c>
      <c r="B41" s="65" t="n">
        <v>46207</v>
      </c>
      <c r="C41" s="99" t="n">
        <v>18</v>
      </c>
      <c r="D41" s="99" t="inlineStr">
        <is>
          <t>18A07</t>
        </is>
      </c>
      <c r="E41" s="99" t="n">
        <v>1897</v>
      </c>
      <c r="F41" s="100" t="n">
        <v>92.47653800000001</v>
      </c>
      <c r="G41" s="99" t="inlineStr">
        <is>
          <t>FRK  RRA 2024-25</t>
        </is>
      </c>
      <c r="H41" s="62">
        <f>IF(AND(E41="",F41="",G41=""),"EMPTY","OCCUPIED")</f>
        <v/>
      </c>
      <c r="I41" s="63">
        <f>IF(B41="","",IF(ISNUMBER(B41),MAX(0,TODAY()-B41),""))</f>
        <v/>
      </c>
      <c r="J41" s="65" t="n"/>
      <c r="K41" s="65" t="n"/>
      <c r="L41" s="65" t="n">
        <v>46207</v>
      </c>
      <c r="M41" s="38">
        <f>IF(AND(H41="OCCUPIED",ISNUMBER(J41),K41=""),1,0)</f>
        <v/>
      </c>
      <c r="N41" s="41">
        <f>IF(M41=1,COUNTIF($M$2:M41,1),"")</f>
        <v/>
      </c>
      <c r="O41" s="41">
        <f>IF(AND(H41="OCCUPIED",ISNUMBER(J41),K41=""),--(TODAY()-J41&gt;5),0)</f>
        <v/>
      </c>
      <c r="P41" s="41">
        <f>IF(O41=1,COUNTIF($O$2:O41,1),"")</f>
        <v/>
      </c>
      <c r="Q41" s="49">
        <f>IF(OR(B41="",G41="",H41&lt;&gt;"OCCUPIED"),"",IF(ISNUMBER(SEARCH("WHEAT",G41)),SUMPRODUCT(--ISNUMBER(SEARCH("WHEAT",$G$2:$G$99)),--($H$2:$H$99="OCCUPIED"),--($B$2:$B$99&lt;&gt;""),--(IFERROR(VALUE(LEFT(RIGHT($G$2:$G$99,7),4)),999)&lt;IFERROR(VALUE(LEFT(RIGHT(G41,7),4)),999)))+SUMPRODUCT(--ISNUMBER(SEARCH("WHEAT",$G$2:$G$99)),--($H$2:$H$99="OCCUPIED"),--($B$2:$B$99&lt;&gt;""),--(IFERROR(VALUE(LEFT(RIGHT($G$2:$G$99,7),4)),999)=IFERROR(VALUE(LEFT(RIGHT(G41,7),4)),999)),--($B$2:$B$99&lt;B41))+SUMPRODUCT(--ISNUMBER(SEARCH("WHEAT",$G$2:$G$99)),--($H$2:$H$99="OCCUPIED"),--($B$2:$B$99&lt;&gt;""),--(IFERROR(VALUE(LEFT(RIGHT($G$2:$G$99,7),4)),999)=IFERROR(VALUE(LEFT(RIGHT(G41,7),4)),999)),--($B$2:$B$99=B41),--(ROW($B$2:$B$99)&lt;=ROW())),""))</f>
        <v/>
      </c>
      <c r="R41" s="49">
        <f>IF(OR(B41="",G41="",H41&lt;&gt;"OCCUPIED"),"",IF(ISERROR(SEARCH("WHEAT",G41)),SUMPRODUCT(--ISERROR(SEARCH("WHEAT",$G$2:$G$99)),--($H$2:$H$99="OCCUPIED"),--($B$2:$B$99&lt;&gt;""),--(IFERROR(VALUE(LEFT(RIGHT($G$2:$G$99,7),4)),999)&lt;IFERROR(VALUE(LEFT(RIGHT(G41,7),4)),999)))+SUMPRODUCT(--ISERROR(SEARCH("WHEAT",$G$2:$G$99)),--($H$2:$H$99="OCCUPIED"),--($B$2:$B$99&lt;&gt;""),--(IFERROR(VALUE(LEFT(RIGHT($G$2:$G$99,7),4)),999)=IFERROR(VALUE(LEFT(RIGHT(G41,7),4)),999)),--($B$2:$B$99&lt;B41))+SUMPRODUCT(--ISERROR(SEARCH("WHEAT",$G$2:$G$99)),--($H$2:$H$99="OCCUPIED"),--($B$2:$B$99&lt;&gt;""),--(IFERROR(VALUE(LEFT(RIGHT($G$2:$G$99,7),4)),999)=IFERROR(VALUE(LEFT(RIGHT(G41,7),4)),999)),--($B$2:$B$99=B41),--(ROW($B$2:$B$99)&lt;=ROW())),""))</f>
        <v/>
      </c>
      <c r="S41" s="54" t="n"/>
    </row>
    <row r="42" ht="15" customHeight="1" s="236">
      <c r="A42" s="56">
        <f>IF(D42="","",ROWS($D$2:D42))</f>
        <v/>
      </c>
      <c r="B42" s="65" t="n">
        <v>45833</v>
      </c>
      <c r="C42" s="99" t="n">
        <v>18</v>
      </c>
      <c r="D42" s="99" t="inlineStr">
        <is>
          <t>18A08</t>
        </is>
      </c>
      <c r="E42" s="99" t="n">
        <v>3501</v>
      </c>
      <c r="F42" s="100" t="n">
        <v>174.481049</v>
      </c>
      <c r="G42" s="99" t="inlineStr">
        <is>
          <t>WHEAT FAQ 2025-26</t>
        </is>
      </c>
      <c r="H42" s="62">
        <f>IF(AND(E42="",F42="",G42=""),"EMPTY","OCCUPIED")</f>
        <v/>
      </c>
      <c r="I42" s="63">
        <f>IF(B42="","",IF(ISNUMBER(B42),MAX(0,TODAY()-B42),""))</f>
        <v/>
      </c>
      <c r="J42" s="65" t="n"/>
      <c r="K42" s="65" t="n"/>
      <c r="L42" s="66" t="n">
        <v>46211</v>
      </c>
      <c r="M42" s="38">
        <f>IF(AND(H42="OCCUPIED",ISNUMBER(J42),K42=""),1,0)</f>
        <v/>
      </c>
      <c r="N42" s="41">
        <f>IF(M42=1,COUNTIF($M$2:M42,1),"")</f>
        <v/>
      </c>
      <c r="O42" s="41">
        <f>IF(AND(H42="OCCUPIED",ISNUMBER(J42),K42=""),--(TODAY()-J42&gt;5),0)</f>
        <v/>
      </c>
      <c r="P42" s="41">
        <f>IF(O42=1,COUNTIF($O$2:O42,1),"")</f>
        <v/>
      </c>
      <c r="Q42" s="49">
        <f>IF(OR(B42="",G42="",H42&lt;&gt;"OCCUPIED"),"",IF(ISNUMBER(SEARCH("WHEAT",G42)),SUMPRODUCT(--ISNUMBER(SEARCH("WHEAT",$G$2:$G$99)),--($H$2:$H$99="OCCUPIED"),--($B$2:$B$99&lt;&gt;""),--(IFERROR(VALUE(LEFT(RIGHT($G$2:$G$99,7),4)),999)&lt;IFERROR(VALUE(LEFT(RIGHT(G42,7),4)),999)))+SUMPRODUCT(--ISNUMBER(SEARCH("WHEAT",$G$2:$G$99)),--($H$2:$H$99="OCCUPIED"),--($B$2:$B$99&lt;&gt;""),--(IFERROR(VALUE(LEFT(RIGHT($G$2:$G$99,7),4)),999)=IFERROR(VALUE(LEFT(RIGHT(G42,7),4)),999)),--($B$2:$B$99&lt;B42))+SUMPRODUCT(--ISNUMBER(SEARCH("WHEAT",$G$2:$G$99)),--($H$2:$H$99="OCCUPIED"),--($B$2:$B$99&lt;&gt;""),--(IFERROR(VALUE(LEFT(RIGHT($G$2:$G$99,7),4)),999)=IFERROR(VALUE(LEFT(RIGHT(G42,7),4)),999)),--($B$2:$B$99=B42),--(ROW($B$2:$B$99)&lt;=ROW())),""))</f>
        <v/>
      </c>
      <c r="R42" s="49">
        <f>IF(OR(B42="",G42="",H42&lt;&gt;"OCCUPIED"),"",IF(ISERROR(SEARCH("WHEAT",G42)),SUMPRODUCT(--ISERROR(SEARCH("WHEAT",$G$2:$G$99)),--($H$2:$H$99="OCCUPIED"),--($B$2:$B$99&lt;&gt;""),--(IFERROR(VALUE(LEFT(RIGHT($G$2:$G$99,7),4)),999)&lt;IFERROR(VALUE(LEFT(RIGHT(G42,7),4)),999)))+SUMPRODUCT(--ISERROR(SEARCH("WHEAT",$G$2:$G$99)),--($H$2:$H$99="OCCUPIED"),--($B$2:$B$99&lt;&gt;""),--(IFERROR(VALUE(LEFT(RIGHT($G$2:$G$99,7),4)),999)=IFERROR(VALUE(LEFT(RIGHT(G42,7),4)),999)),--($B$2:$B$99&lt;B42))+SUMPRODUCT(--ISERROR(SEARCH("WHEAT",$G$2:$G$99)),--($H$2:$H$99="OCCUPIED"),--($B$2:$B$99&lt;&gt;""),--(IFERROR(VALUE(LEFT(RIGHT($G$2:$G$99,7),4)),999)=IFERROR(VALUE(LEFT(RIGHT(G42,7),4)),999)),--($B$2:$B$99=B42),--(ROW($B$2:$B$99)&lt;=ROW())),""))</f>
        <v/>
      </c>
      <c r="S42" s="54" t="n"/>
    </row>
    <row r="43" ht="15" customHeight="1" s="236">
      <c r="A43" s="56">
        <f>IF(D43="","",ROWS($D$2:D43))</f>
        <v/>
      </c>
      <c r="B43" s="65" t="n">
        <v>46100</v>
      </c>
      <c r="C43" s="99" t="n">
        <v>18</v>
      </c>
      <c r="D43" s="99" t="inlineStr">
        <is>
          <t>18A09</t>
        </is>
      </c>
      <c r="E43" s="99" t="n">
        <v>3501</v>
      </c>
      <c r="F43" s="100" t="n">
        <v>173.324292</v>
      </c>
      <c r="G43" s="99" t="inlineStr">
        <is>
          <t>FRK  RRA 2024-25</t>
        </is>
      </c>
      <c r="H43" s="62">
        <f>IF(AND(E43="",F43="",G43=""),"EMPTY","OCCUPIED")</f>
        <v/>
      </c>
      <c r="I43" s="63">
        <f>IF(B43="","",IF(ISNUMBER(B43),MAX(0,TODAY()-B43),""))</f>
        <v/>
      </c>
      <c r="J43" s="65" t="n"/>
      <c r="K43" s="65" t="n"/>
      <c r="L43" s="66" t="n">
        <v>46211</v>
      </c>
      <c r="M43" s="38">
        <f>IF(AND(H43="OCCUPIED",ISNUMBER(J43),K43=""),1,0)</f>
        <v/>
      </c>
      <c r="N43" s="41">
        <f>IF(M43=1,COUNTIF($M$2:M43,1),"")</f>
        <v/>
      </c>
      <c r="O43" s="41">
        <f>IF(AND(H43="OCCUPIED",ISNUMBER(J43),K43=""),--(TODAY()-J43&gt;5),0)</f>
        <v/>
      </c>
      <c r="P43" s="41">
        <f>IF(O43=1,COUNTIF($O$2:O43,1),"")</f>
        <v/>
      </c>
      <c r="Q43" s="49">
        <f>IF(OR(B43="",G43="",H43&lt;&gt;"OCCUPIED"),"",IF(ISNUMBER(SEARCH("WHEAT",G43)),SUMPRODUCT(--ISNUMBER(SEARCH("WHEAT",$G$2:$G$99)),--($H$2:$H$99="OCCUPIED"),--($B$2:$B$99&lt;&gt;""),--(IFERROR(VALUE(LEFT(RIGHT($G$2:$G$99,7),4)),999)&lt;IFERROR(VALUE(LEFT(RIGHT(G43,7),4)),999)))+SUMPRODUCT(--ISNUMBER(SEARCH("WHEAT",$G$2:$G$99)),--($H$2:$H$99="OCCUPIED"),--($B$2:$B$99&lt;&gt;""),--(IFERROR(VALUE(LEFT(RIGHT($G$2:$G$99,7),4)),999)=IFERROR(VALUE(LEFT(RIGHT(G43,7),4)),999)),--($B$2:$B$99&lt;B43))+SUMPRODUCT(--ISNUMBER(SEARCH("WHEAT",$G$2:$G$99)),--($H$2:$H$99="OCCUPIED"),--($B$2:$B$99&lt;&gt;""),--(IFERROR(VALUE(LEFT(RIGHT($G$2:$G$99,7),4)),999)=IFERROR(VALUE(LEFT(RIGHT(G43,7),4)),999)),--($B$2:$B$99=B43),--(ROW($B$2:$B$99)&lt;=ROW())),""))</f>
        <v/>
      </c>
      <c r="R43" s="49">
        <f>IF(OR(B43="",G43="",H43&lt;&gt;"OCCUPIED"),"",IF(ISERROR(SEARCH("WHEAT",G43)),SUMPRODUCT(--ISERROR(SEARCH("WHEAT",$G$2:$G$99)),--($H$2:$H$99="OCCUPIED"),--($B$2:$B$99&lt;&gt;""),--(IFERROR(VALUE(LEFT(RIGHT($G$2:$G$99,7),4)),999)&lt;IFERROR(VALUE(LEFT(RIGHT(G43,7),4)),999)))+SUMPRODUCT(--ISERROR(SEARCH("WHEAT",$G$2:$G$99)),--($H$2:$H$99="OCCUPIED"),--($B$2:$B$99&lt;&gt;""),--(IFERROR(VALUE(LEFT(RIGHT($G$2:$G$99,7),4)),999)=IFERROR(VALUE(LEFT(RIGHT(G43,7),4)),999)),--($B$2:$B$99&lt;B43))+SUMPRODUCT(--ISERROR(SEARCH("WHEAT",$G$2:$G$99)),--($H$2:$H$99="OCCUPIED"),--($B$2:$B$99&lt;&gt;""),--(IFERROR(VALUE(LEFT(RIGHT($G$2:$G$99,7),4)),999)=IFERROR(VALUE(LEFT(RIGHT(G43,7),4)),999)),--($B$2:$B$99=B43),--(ROW($B$2:$B$99)&lt;=ROW())),""))</f>
        <v/>
      </c>
      <c r="S43" s="54" t="n"/>
    </row>
    <row r="44" ht="15" customHeight="1" s="236">
      <c r="A44" s="56">
        <f>IF(D44="","",ROWS($D$2:D44))</f>
        <v/>
      </c>
      <c r="B44" s="65" t="n">
        <v>46027</v>
      </c>
      <c r="C44" s="99" t="n">
        <v>20</v>
      </c>
      <c r="D44" s="99" t="inlineStr">
        <is>
          <t>M6A01</t>
        </is>
      </c>
      <c r="E44" s="99" t="n">
        <v>3456</v>
      </c>
      <c r="F44" s="100" t="n">
        <v>174.908</v>
      </c>
      <c r="G44" s="99" t="inlineStr">
        <is>
          <t>WHEAT FAQ 2025-26</t>
        </is>
      </c>
      <c r="H44" s="62">
        <f>IF(AND(E44="",F44="",G44=""),"EMPTY","OCCUPIED")</f>
        <v/>
      </c>
      <c r="I44" s="63">
        <f>IF(B44="","",IF(ISNUMBER(B44),MAX(0,TODAY()-B44),""))</f>
        <v/>
      </c>
      <c r="J44" s="65" t="n"/>
      <c r="K44" s="65" t="n"/>
      <c r="L44" s="66" t="n">
        <v>46255</v>
      </c>
      <c r="M44" s="38">
        <f>IF(AND(H44="OCCUPIED",ISNUMBER(J44),K44=""),1,0)</f>
        <v/>
      </c>
      <c r="N44" s="41">
        <f>IF(M44=1,COUNTIF($M$2:M44,1),"")</f>
        <v/>
      </c>
      <c r="O44" s="41">
        <f>IF(AND(H44="OCCUPIED",ISNUMBER(J44),K44=""),--(TODAY()-J44&gt;5),0)</f>
        <v/>
      </c>
      <c r="P44" s="41">
        <f>IF(O44=1,COUNTIF($O$2:O44,1),"")</f>
        <v/>
      </c>
      <c r="Q44" s="49">
        <f>IF(OR(B44="",G44="",H44&lt;&gt;"OCCUPIED"),"",IF(ISNUMBER(SEARCH("WHEAT",G44)),SUMPRODUCT(--ISNUMBER(SEARCH("WHEAT",$G$2:$G$99)),--($H$2:$H$99="OCCUPIED"),--($B$2:$B$99&lt;&gt;""),--(IFERROR(VALUE(LEFT(RIGHT($G$2:$G$99,7),4)),999)&lt;IFERROR(VALUE(LEFT(RIGHT(G44,7),4)),999)))+SUMPRODUCT(--ISNUMBER(SEARCH("WHEAT",$G$2:$G$99)),--($H$2:$H$99="OCCUPIED"),--($B$2:$B$99&lt;&gt;""),--(IFERROR(VALUE(LEFT(RIGHT($G$2:$G$99,7),4)),999)=IFERROR(VALUE(LEFT(RIGHT(G44,7),4)),999)),--($B$2:$B$99&lt;B44))+SUMPRODUCT(--ISNUMBER(SEARCH("WHEAT",$G$2:$G$99)),--($H$2:$H$99="OCCUPIED"),--($B$2:$B$99&lt;&gt;""),--(IFERROR(VALUE(LEFT(RIGHT($G$2:$G$99,7),4)),999)=IFERROR(VALUE(LEFT(RIGHT(G44,7),4)),999)),--($B$2:$B$99=B44),--(ROW($B$2:$B$99)&lt;=ROW())),""))</f>
        <v/>
      </c>
      <c r="R44" s="49">
        <f>IF(OR(B44="",G44="",H44&lt;&gt;"OCCUPIED"),"",IF(ISERROR(SEARCH("WHEAT",G44)),SUMPRODUCT(--ISERROR(SEARCH("WHEAT",$G$2:$G$99)),--($H$2:$H$99="OCCUPIED"),--($B$2:$B$99&lt;&gt;""),--(IFERROR(VALUE(LEFT(RIGHT($G$2:$G$99,7),4)),999)&lt;IFERROR(VALUE(LEFT(RIGHT(G44,7),4)),999)))+SUMPRODUCT(--ISERROR(SEARCH("WHEAT",$G$2:$G$99)),--($H$2:$H$99="OCCUPIED"),--($B$2:$B$99&lt;&gt;""),--(IFERROR(VALUE(LEFT(RIGHT($G$2:$G$99,7),4)),999)=IFERROR(VALUE(LEFT(RIGHT(G44,7),4)),999)),--($B$2:$B$99&lt;B44))+SUMPRODUCT(--ISERROR(SEARCH("WHEAT",$G$2:$G$99)),--($H$2:$H$99="OCCUPIED"),--($B$2:$B$99&lt;&gt;""),--(IFERROR(VALUE(LEFT(RIGHT($G$2:$G$99,7),4)),999)=IFERROR(VALUE(LEFT(RIGHT(G44,7),4)),999)),--($B$2:$B$99=B44),--(ROW($B$2:$B$99)&lt;=ROW())),""))</f>
        <v/>
      </c>
      <c r="S44" s="54" t="n"/>
    </row>
    <row r="45" ht="15" customHeight="1" s="236">
      <c r="A45" s="56">
        <f>IF(D45="","",ROWS($D$2:D45))</f>
        <v/>
      </c>
      <c r="B45" s="65" t="n"/>
      <c r="C45" s="99" t="n">
        <v>20</v>
      </c>
      <c r="D45" s="99" t="inlineStr">
        <is>
          <t>M6A02</t>
        </is>
      </c>
      <c r="E45" s="99" t="n"/>
      <c r="F45" s="100" t="n"/>
      <c r="G45" s="99" t="n"/>
      <c r="H45" s="62">
        <f>IF(AND(E45="",F45="",G45=""),"EMPTY","OCCUPIED")</f>
        <v/>
      </c>
      <c r="I45" s="63">
        <f>IF(B45="","",IF(ISNUMBER(B45),MAX(0,TODAY()-B45),""))</f>
        <v/>
      </c>
      <c r="J45" s="65" t="n"/>
      <c r="K45" s="65" t="n"/>
      <c r="L45" s="66" t="n"/>
      <c r="M45" s="38">
        <f>IF(AND(H45="OCCUPIED",ISNUMBER(J45),K45=""),1,0)</f>
        <v/>
      </c>
      <c r="N45" s="41">
        <f>IF(M45=1,COUNTIF($M$2:M45,1),"")</f>
        <v/>
      </c>
      <c r="O45" s="41">
        <f>IF(AND(H45="OCCUPIED",ISNUMBER(J45),K45=""),--(TODAY()-J45&gt;5),0)</f>
        <v/>
      </c>
      <c r="P45" s="41">
        <f>IF(O45=1,COUNTIF($O$2:O45,1),"")</f>
        <v/>
      </c>
      <c r="Q45" s="49">
        <f>IF(OR(B45="",G45="",H45&lt;&gt;"OCCUPIED"),"",IF(ISNUMBER(SEARCH("WHEAT",G45)),SUMPRODUCT(--ISNUMBER(SEARCH("WHEAT",$G$2:$G$99)),--($H$2:$H$99="OCCUPIED"),--($B$2:$B$99&lt;&gt;""),--(IFERROR(VALUE(LEFT(RIGHT($G$2:$G$99,7),4)),999)&lt;IFERROR(VALUE(LEFT(RIGHT(G45,7),4)),999)))+SUMPRODUCT(--ISNUMBER(SEARCH("WHEAT",$G$2:$G$99)),--($H$2:$H$99="OCCUPIED"),--($B$2:$B$99&lt;&gt;""),--(IFERROR(VALUE(LEFT(RIGHT($G$2:$G$99,7),4)),999)=IFERROR(VALUE(LEFT(RIGHT(G45,7),4)),999)),--($B$2:$B$99&lt;B45))+SUMPRODUCT(--ISNUMBER(SEARCH("WHEAT",$G$2:$G$99)),--($H$2:$H$99="OCCUPIED"),--($B$2:$B$99&lt;&gt;""),--(IFERROR(VALUE(LEFT(RIGHT($G$2:$G$99,7),4)),999)=IFERROR(VALUE(LEFT(RIGHT(G45,7),4)),999)),--($B$2:$B$99=B45),--(ROW($B$2:$B$99)&lt;=ROW())),""))</f>
        <v/>
      </c>
      <c r="R45" s="49">
        <f>IF(OR(B45="",G45="",H45&lt;&gt;"OCCUPIED"),"",IF(ISERROR(SEARCH("WHEAT",G45)),SUMPRODUCT(--ISERROR(SEARCH("WHEAT",$G$2:$G$99)),--($H$2:$H$99="OCCUPIED"),--($B$2:$B$99&lt;&gt;""),--(IFERROR(VALUE(LEFT(RIGHT($G$2:$G$99,7),4)),999)&lt;IFERROR(VALUE(LEFT(RIGHT(G45,7),4)),999)))+SUMPRODUCT(--ISERROR(SEARCH("WHEAT",$G$2:$G$99)),--($H$2:$H$99="OCCUPIED"),--($B$2:$B$99&lt;&gt;""),--(IFERROR(VALUE(LEFT(RIGHT($G$2:$G$99,7),4)),999)=IFERROR(VALUE(LEFT(RIGHT(G45,7),4)),999)),--($B$2:$B$99&lt;B45))+SUMPRODUCT(--ISERROR(SEARCH("WHEAT",$G$2:$G$99)),--($H$2:$H$99="OCCUPIED"),--($B$2:$B$99&lt;&gt;""),--(IFERROR(VALUE(LEFT(RIGHT($G$2:$G$99,7),4)),999)=IFERROR(VALUE(LEFT(RIGHT(G45,7),4)),999)),--($B$2:$B$99=B45),--(ROW($B$2:$B$99)&lt;=ROW())),""))</f>
        <v/>
      </c>
      <c r="S45" s="54" t="n"/>
    </row>
    <row r="46" ht="15" customHeight="1" s="236">
      <c r="A46" s="82">
        <f>IF(D46="","",ROWS($D$2:D46))</f>
        <v/>
      </c>
      <c r="B46" s="88" t="n">
        <v>45978</v>
      </c>
      <c r="C46" s="84" t="n">
        <v>20</v>
      </c>
      <c r="D46" s="84" t="inlineStr">
        <is>
          <t>M6A03</t>
        </is>
      </c>
      <c r="E46" s="84" t="n">
        <v>3501</v>
      </c>
      <c r="F46" s="85" t="n">
        <v>177.099</v>
      </c>
      <c r="G46" s="84" t="inlineStr">
        <is>
          <t>WHEAT FAQ 2025-26</t>
        </is>
      </c>
      <c r="H46" s="86">
        <f>IF(AND(E46="",F46="",G46=""),"EMPTY","OCCUPIED")</f>
        <v/>
      </c>
      <c r="I46" s="87">
        <f>IF(B46="","",IF(ISNUMBER(B46),MAX(0,TODAY()-B46),""))</f>
        <v/>
      </c>
      <c r="J46" s="88" t="n"/>
      <c r="K46" s="88" t="n"/>
      <c r="L46" s="89" t="n">
        <v>46255</v>
      </c>
      <c r="M46" s="38">
        <f>IF(AND(H46="OCCUPIED",ISNUMBER(J46),K46=""),1,0)</f>
        <v/>
      </c>
      <c r="N46" s="41">
        <f>IF(M46=1,COUNTIF($M$2:M46,1),"")</f>
        <v/>
      </c>
      <c r="O46" s="41">
        <f>IF(AND(H46="OCCUPIED",ISNUMBER(J46),K46=""),--(TODAY()-J46&gt;5),0)</f>
        <v/>
      </c>
      <c r="P46" s="41">
        <f>IF(O46=1,COUNTIF($O$2:O46,1),"")</f>
        <v/>
      </c>
      <c r="Q46" s="49">
        <f>IF(OR(B46="",G46="",H46&lt;&gt;"OCCUPIED"),"",IF(ISNUMBER(SEARCH("WHEAT",G46)),SUMPRODUCT(--ISNUMBER(SEARCH("WHEAT",$G$2:$G$99)),--($H$2:$H$99="OCCUPIED"),--($B$2:$B$99&lt;&gt;""),--(IFERROR(VALUE(LEFT(RIGHT($G$2:$G$99,7),4)),999)&lt;IFERROR(VALUE(LEFT(RIGHT(G46,7),4)),999)))+SUMPRODUCT(--ISNUMBER(SEARCH("WHEAT",$G$2:$G$99)),--($H$2:$H$99="OCCUPIED"),--($B$2:$B$99&lt;&gt;""),--(IFERROR(VALUE(LEFT(RIGHT($G$2:$G$99,7),4)),999)=IFERROR(VALUE(LEFT(RIGHT(G46,7),4)),999)),--($B$2:$B$99&lt;B46))+SUMPRODUCT(--ISNUMBER(SEARCH("WHEAT",$G$2:$G$99)),--($H$2:$H$99="OCCUPIED"),--($B$2:$B$99&lt;&gt;""),--(IFERROR(VALUE(LEFT(RIGHT($G$2:$G$99,7),4)),999)=IFERROR(VALUE(LEFT(RIGHT(G46,7),4)),999)),--($B$2:$B$99=B46),--(ROW($B$2:$B$99)&lt;=ROW())),""))</f>
        <v/>
      </c>
      <c r="R46" s="49">
        <f>IF(OR(B46="",G46="",H46&lt;&gt;"OCCUPIED"),"",IF(ISERROR(SEARCH("WHEAT",G46)),SUMPRODUCT(--ISERROR(SEARCH("WHEAT",$G$2:$G$99)),--($H$2:$H$99="OCCUPIED"),--($B$2:$B$99&lt;&gt;""),--(IFERROR(VALUE(LEFT(RIGHT($G$2:$G$99,7),4)),999)&lt;IFERROR(VALUE(LEFT(RIGHT(G46,7),4)),999)))+SUMPRODUCT(--ISERROR(SEARCH("WHEAT",$G$2:$G$99)),--($H$2:$H$99="OCCUPIED"),--($B$2:$B$99&lt;&gt;""),--(IFERROR(VALUE(LEFT(RIGHT($G$2:$G$99,7),4)),999)=IFERROR(VALUE(LEFT(RIGHT(G46,7),4)),999)),--($B$2:$B$99&lt;B46))+SUMPRODUCT(--ISERROR(SEARCH("WHEAT",$G$2:$G$99)),--($H$2:$H$99="OCCUPIED"),--($B$2:$B$99&lt;&gt;""),--(IFERROR(VALUE(LEFT(RIGHT($G$2:$G$99,7),4)),999)=IFERROR(VALUE(LEFT(RIGHT(G46,7),4)),999)),--($B$2:$B$99=B46),--(ROW($B$2:$B$99)&lt;=ROW())),""))</f>
        <v/>
      </c>
      <c r="S46" s="54" t="n"/>
    </row>
    <row r="47" ht="15" customHeight="1" s="236">
      <c r="A47" s="90">
        <f>IF(D47="","",ROWS($D$2:D47))</f>
        <v/>
      </c>
      <c r="B47" s="96" t="n">
        <v>46265</v>
      </c>
      <c r="C47" s="92" t="inlineStr">
        <is>
          <t>9TS</t>
        </is>
      </c>
      <c r="D47" s="92" t="inlineStr">
        <is>
          <t>9TS14</t>
        </is>
      </c>
      <c r="E47" s="92" t="n">
        <v>3874</v>
      </c>
      <c r="F47" s="93" t="n">
        <v>188</v>
      </c>
      <c r="G47" s="92" t="inlineStr">
        <is>
          <t>FRK RRA 2023-24</t>
        </is>
      </c>
      <c r="H47" s="94">
        <f>IF(AND(E47="",F47="",G47=""),"EMPTY","OCCUPIED")</f>
        <v/>
      </c>
      <c r="I47" s="95">
        <f>IF(B47="","",IF(ISNUMBER(B47),MAX(0,TODAY()-B47),""))</f>
        <v/>
      </c>
      <c r="J47" s="96" t="n"/>
      <c r="K47" s="96" t="n"/>
      <c r="L47" s="97" t="n"/>
      <c r="M47" s="38">
        <f>IF(AND(H47="OCCUPIED",ISNUMBER(J47),K47=""),1,0)</f>
        <v/>
      </c>
      <c r="N47" s="41">
        <f>IF(M47=1,COUNTIF($M$2:M47,1),"")</f>
        <v/>
      </c>
      <c r="O47" s="41">
        <f>IF(AND(H47="OCCUPIED",ISNUMBER(J47),K47=""),--(TODAY()-J47&gt;5),0)</f>
        <v/>
      </c>
      <c r="P47" s="41">
        <f>IF(O47=1,COUNTIF($O$2:O47,1),"")</f>
        <v/>
      </c>
      <c r="Q47" s="49">
        <f>IF(OR(B47="",G47="",H47&lt;&gt;"OCCUPIED"),"",IF(ISNUMBER(SEARCH("WHEAT",G47)),SUMPRODUCT(--ISNUMBER(SEARCH("WHEAT",$G$2:$G$99)),--($H$2:$H$99="OCCUPIED"),--($B$2:$B$99&lt;&gt;""),--(IFERROR(VALUE(LEFT(RIGHT($G$2:$G$99,7),4)),999)&lt;IFERROR(VALUE(LEFT(RIGHT(G47,7),4)),999)))+SUMPRODUCT(--ISNUMBER(SEARCH("WHEAT",$G$2:$G$99)),--($H$2:$H$99="OCCUPIED"),--($B$2:$B$99&lt;&gt;""),--(IFERROR(VALUE(LEFT(RIGHT($G$2:$G$99,7),4)),999)=IFERROR(VALUE(LEFT(RIGHT(G47,7),4)),999)),--($B$2:$B$99&lt;B47))+SUMPRODUCT(--ISNUMBER(SEARCH("WHEAT",$G$2:$G$99)),--($H$2:$H$99="OCCUPIED"),--($B$2:$B$99&lt;&gt;""),--(IFERROR(VALUE(LEFT(RIGHT($G$2:$G$99,7),4)),999)=IFERROR(VALUE(LEFT(RIGHT(G47,7),4)),999)),--($B$2:$B$99=B47),--(ROW($B$2:$B$99)&lt;=ROW())),""))</f>
        <v/>
      </c>
      <c r="R47" s="49">
        <f>IF(OR(B47="",G47="",H47&lt;&gt;"OCCUPIED"),"",IF(ISERROR(SEARCH("WHEAT",G47)),SUMPRODUCT(--ISERROR(SEARCH("WHEAT",$G$2:$G$99)),--($H$2:$H$99="OCCUPIED"),--($B$2:$B$99&lt;&gt;""),--(IFERROR(VALUE(LEFT(RIGHT($G$2:$G$99,7),4)),999)&lt;IFERROR(VALUE(LEFT(RIGHT(G47,7),4)),999)))+SUMPRODUCT(--ISERROR(SEARCH("WHEAT",$G$2:$G$99)),--($H$2:$H$99="OCCUPIED"),--($B$2:$B$99&lt;&gt;""),--(IFERROR(VALUE(LEFT(RIGHT($G$2:$G$99,7),4)),999)=IFERROR(VALUE(LEFT(RIGHT(G47,7),4)),999)),--($B$2:$B$99&lt;B47))+SUMPRODUCT(--ISERROR(SEARCH("WHEAT",$G$2:$G$99)),--($H$2:$H$99="OCCUPIED"),--($B$2:$B$99&lt;&gt;""),--(IFERROR(VALUE(LEFT(RIGHT($G$2:$G$99,7),4)),999)=IFERROR(VALUE(LEFT(RIGHT(G47,7),4)),999)),--($B$2:$B$99=B47),--(ROW($B$2:$B$99)&lt;=ROW())),""))</f>
        <v/>
      </c>
      <c r="S47" s="54" t="n"/>
    </row>
    <row r="48" ht="15.75" customHeight="1" s="236">
      <c r="A48" s="98">
        <f>IF(D48="","",ROWS($D$2:D48))</f>
        <v/>
      </c>
      <c r="B48" s="65" t="n">
        <v>46265</v>
      </c>
      <c r="C48" s="99" t="inlineStr">
        <is>
          <t>18TS</t>
        </is>
      </c>
      <c r="D48" s="99" t="inlineStr">
        <is>
          <t>18TS20</t>
        </is>
      </c>
      <c r="E48" s="99" t="n">
        <v>3869</v>
      </c>
      <c r="F48" s="100" t="n">
        <v>188</v>
      </c>
      <c r="G48" s="99" t="inlineStr">
        <is>
          <t>FRK RRA 2023-24</t>
        </is>
      </c>
      <c r="H48" s="62">
        <f>IF(AND(E48="",F48="",G48=""),"EMPTY","OCCUPIED")</f>
        <v/>
      </c>
      <c r="I48" s="63">
        <f>IF(B48="","",IF(ISNUMBER(B48),MAX(0,TODAY()-B48),""))</f>
        <v/>
      </c>
      <c r="J48" s="65" t="n"/>
      <c r="K48" s="65" t="n"/>
      <c r="L48" s="101" t="n"/>
      <c r="M48" s="38">
        <f>IF(AND(H48="OCCUPIED",ISNUMBER(J48),K48=""),1,0)</f>
        <v/>
      </c>
      <c r="N48" s="41">
        <f>IF(M48=1,COUNTIF($M$2:M48,1),"")</f>
        <v/>
      </c>
      <c r="O48" s="41">
        <f>IF(AND(H48="OCCUPIED",ISNUMBER(J48),K48=""),--(TODAY()-J48&gt;5),0)</f>
        <v/>
      </c>
      <c r="P48" s="41">
        <f>IF(O48=1,COUNTIF($O$2:O48,1),"")</f>
        <v/>
      </c>
      <c r="Q48" s="49">
        <f>IF(OR(B48="",G48="",H48&lt;&gt;"OCCUPIED"),"",IF(ISNUMBER(SEARCH("WHEAT",G48)),SUMPRODUCT(--ISNUMBER(SEARCH("WHEAT",$G$2:$G$99)),--($H$2:$H$99="OCCUPIED"),--($B$2:$B$99&lt;&gt;""),--(IFERROR(VALUE(LEFT(RIGHT($G$2:$G$99,7),4)),999)&lt;IFERROR(VALUE(LEFT(RIGHT(G48,7),4)),999)))+SUMPRODUCT(--ISNUMBER(SEARCH("WHEAT",$G$2:$G$99)),--($H$2:$H$99="OCCUPIED"),--($B$2:$B$99&lt;&gt;""),--(IFERROR(VALUE(LEFT(RIGHT($G$2:$G$99,7),4)),999)=IFERROR(VALUE(LEFT(RIGHT(G48,7),4)),999)),--($B$2:$B$99&lt;B48))+SUMPRODUCT(--ISNUMBER(SEARCH("WHEAT",$G$2:$G$99)),--($H$2:$H$99="OCCUPIED"),--($B$2:$B$99&lt;&gt;""),--(IFERROR(VALUE(LEFT(RIGHT($G$2:$G$99,7),4)),999)=IFERROR(VALUE(LEFT(RIGHT(G48,7),4)),999)),--($B$2:$B$99=B48),--(ROW($B$2:$B$99)&lt;=ROW())),""))</f>
        <v/>
      </c>
      <c r="R48" s="49">
        <f>IF(OR(B48="",G48="",H48&lt;&gt;"OCCUPIED"),"",IF(ISERROR(SEARCH("WHEAT",G48)),SUMPRODUCT(--ISERROR(SEARCH("WHEAT",$G$2:$G$99)),--($H$2:$H$99="OCCUPIED"),--($B$2:$B$99&lt;&gt;""),--(IFERROR(VALUE(LEFT(RIGHT($G$2:$G$99,7),4)),999)&lt;IFERROR(VALUE(LEFT(RIGHT(G48,7),4)),999)))+SUMPRODUCT(--ISERROR(SEARCH("WHEAT",$G$2:$G$99)),--($H$2:$H$99="OCCUPIED"),--($B$2:$B$99&lt;&gt;""),--(IFERROR(VALUE(LEFT(RIGHT($G$2:$G$99,7),4)),999)=IFERROR(VALUE(LEFT(RIGHT(G48,7),4)),999)),--($B$2:$B$99&lt;B48))+SUMPRODUCT(--ISERROR(SEARCH("WHEAT",$G$2:$G$99)),--($H$2:$H$99="OCCUPIED"),--($B$2:$B$99&lt;&gt;""),--(IFERROR(VALUE(LEFT(RIGHT($G$2:$G$99,7),4)),999)=IFERROR(VALUE(LEFT(RIGHT(G48,7),4)),999)),--($B$2:$B$99=B48),--(ROW($B$2:$B$99)&lt;=ROW())),""))</f>
        <v/>
      </c>
      <c r="S48" s="54" t="n"/>
    </row>
    <row r="49" ht="15.75" customHeight="1" s="236">
      <c r="A49" s="98">
        <f>IF(D49="","",ROWS($D$2:D49))</f>
        <v/>
      </c>
      <c r="B49" s="65" t="n"/>
      <c r="C49" s="99" t="n"/>
      <c r="D49" s="99" t="n"/>
      <c r="E49" s="99" t="n"/>
      <c r="F49" s="100" t="n"/>
      <c r="G49" s="99" t="n"/>
      <c r="H49" s="62">
        <f>IF(AND(E49="",F49="",G49=""),"EMPTY","OCCUPIED")</f>
        <v/>
      </c>
      <c r="I49" s="63">
        <f>IF(B49="","",IF(ISNUMBER(B49),MAX(0,TODAY()-B49),""))</f>
        <v/>
      </c>
      <c r="J49" s="65" t="n"/>
      <c r="K49" s="65" t="n"/>
      <c r="L49" s="101" t="n"/>
      <c r="M49" s="38">
        <f>IF(AND(H49="OCCUPIED",ISNUMBER(J49),K49=""),1,0)</f>
        <v/>
      </c>
      <c r="N49" s="41">
        <f>IF(M49=1,COUNTIF($M$2:M49,1),"")</f>
        <v/>
      </c>
      <c r="O49" s="41">
        <f>IF(AND(H49="OCCUPIED",ISNUMBER(J49),K49=""),--(TODAY()-J49&gt;5),0)</f>
        <v/>
      </c>
      <c r="P49" s="41">
        <f>IF(O49=1,COUNTIF($O$2:O49,1),"")</f>
        <v/>
      </c>
      <c r="Q49" s="49">
        <f>IF(OR(B49="",G49="",H49&lt;&gt;"OCCUPIED"),"",IF(ISNUMBER(SEARCH("WHEAT",G49)),SUMPRODUCT(--ISNUMBER(SEARCH("WHEAT",$G$2:$G$99)),--($H$2:$H$99="OCCUPIED"),--($B$2:$B$99&lt;&gt;""),--(IFERROR(VALUE(LEFT(RIGHT($G$2:$G$99,7),4)),999)&lt;IFERROR(VALUE(LEFT(RIGHT(G49,7),4)),999)))+SUMPRODUCT(--ISNUMBER(SEARCH("WHEAT",$G$2:$G$99)),--($H$2:$H$99="OCCUPIED"),--($B$2:$B$99&lt;&gt;""),--(IFERROR(VALUE(LEFT(RIGHT($G$2:$G$99,7),4)),999)=IFERROR(VALUE(LEFT(RIGHT(G49,7),4)),999)),--($B$2:$B$99&lt;B49))+SUMPRODUCT(--ISNUMBER(SEARCH("WHEAT",$G$2:$G$99)),--($H$2:$H$99="OCCUPIED"),--($B$2:$B$99&lt;&gt;""),--(IFERROR(VALUE(LEFT(RIGHT($G$2:$G$99,7),4)),999)=IFERROR(VALUE(LEFT(RIGHT(G49,7),4)),999)),--($B$2:$B$99=B49),--(ROW($B$2:$B$99)&lt;=ROW())),""))</f>
        <v/>
      </c>
      <c r="R49" s="49">
        <f>IF(OR(B49="",G49="",H49&lt;&gt;"OCCUPIED"),"",IF(ISERROR(SEARCH("WHEAT",G49)),SUMPRODUCT(--ISERROR(SEARCH("WHEAT",$G$2:$G$99)),--($H$2:$H$99="OCCUPIED"),--($B$2:$B$99&lt;&gt;""),--(IFERROR(VALUE(LEFT(RIGHT($G$2:$G$99,7),4)),999)&lt;IFERROR(VALUE(LEFT(RIGHT(G49,7),4)),999)))+SUMPRODUCT(--ISERROR(SEARCH("WHEAT",$G$2:$G$99)),--($H$2:$H$99="OCCUPIED"),--($B$2:$B$99&lt;&gt;""),--(IFERROR(VALUE(LEFT(RIGHT($G$2:$G$99,7),4)),999)=IFERROR(VALUE(LEFT(RIGHT(G49,7),4)),999)),--($B$2:$B$99&lt;B49))+SUMPRODUCT(--ISERROR(SEARCH("WHEAT",$G$2:$G$99)),--($H$2:$H$99="OCCUPIED"),--($B$2:$B$99&lt;&gt;""),--(IFERROR(VALUE(LEFT(RIGHT($G$2:$G$99,7),4)),999)=IFERROR(VALUE(LEFT(RIGHT(G49,7),4)),999)),--($B$2:$B$99=B49),--(ROW($B$2:$B$99)&lt;=ROW())),""))</f>
        <v/>
      </c>
      <c r="S49" s="54" t="n"/>
    </row>
    <row r="50" ht="15.75" customHeight="1" s="236">
      <c r="A50" s="102">
        <f>IF(D50="","",ROWS($D$2:D50))</f>
        <v/>
      </c>
      <c r="B50" s="103" t="n"/>
      <c r="C50" s="104" t="n"/>
      <c r="D50" s="104" t="n"/>
      <c r="E50" s="104" t="n"/>
      <c r="F50" s="105" t="n"/>
      <c r="G50" s="104" t="n"/>
      <c r="H50" s="106">
        <f>IF(AND(E50="",F50="",G50=""),"EMPTY","OCCUPIED")</f>
        <v/>
      </c>
      <c r="I50" s="107">
        <f>IF(B50="","",IF(ISNUMBER(B50),MAX(0,TODAY()-B50),""))</f>
        <v/>
      </c>
      <c r="J50" s="103" t="n"/>
      <c r="K50" s="103" t="n"/>
      <c r="L50" s="109" t="n"/>
      <c r="M50" s="38">
        <f>IF(AND(H50="OCCUPIED",ISNUMBER(J50),K50=""),1,0)</f>
        <v/>
      </c>
      <c r="N50" s="41">
        <f>IF(M50=1,COUNTIF($M$2:M50,1),"")</f>
        <v/>
      </c>
      <c r="O50" s="41">
        <f>IF(AND(H50="OCCUPIED",ISNUMBER(J50),K50=""),--(TODAY()-J50&gt;5),0)</f>
        <v/>
      </c>
      <c r="P50" s="41">
        <f>IF(O50=1,COUNTIF($O$2:O50,1),"")</f>
        <v/>
      </c>
      <c r="Q50" s="49">
        <f>IF(OR(B50="",G50="",H50&lt;&gt;"OCCUPIED"),"",IF(ISNUMBER(SEARCH("WHEAT",G50)),SUMPRODUCT(--ISNUMBER(SEARCH("WHEAT",$G$2:$G$99)),--($H$2:$H$99="OCCUPIED"),--($B$2:$B$99&lt;&gt;""),--(IFERROR(VALUE(LEFT(RIGHT($G$2:$G$99,7),4)),999)&lt;IFERROR(VALUE(LEFT(RIGHT(G50,7),4)),999)))+SUMPRODUCT(--ISNUMBER(SEARCH("WHEAT",$G$2:$G$99)),--($H$2:$H$99="OCCUPIED"),--($B$2:$B$99&lt;&gt;""),--(IFERROR(VALUE(LEFT(RIGHT($G$2:$G$99,7),4)),999)=IFERROR(VALUE(LEFT(RIGHT(G50,7),4)),999)),--($B$2:$B$99&lt;B50))+SUMPRODUCT(--ISNUMBER(SEARCH("WHEAT",$G$2:$G$99)),--($H$2:$H$99="OCCUPIED"),--($B$2:$B$99&lt;&gt;""),--(IFERROR(VALUE(LEFT(RIGHT($G$2:$G$99,7),4)),999)=IFERROR(VALUE(LEFT(RIGHT(G50,7),4)),999)),--($B$2:$B$99=B50),--(ROW($B$2:$B$99)&lt;=ROW())),""))</f>
        <v/>
      </c>
      <c r="R50" s="49">
        <f>IF(OR(B50="",G50="",H50&lt;&gt;"OCCUPIED"),"",IF(ISERROR(SEARCH("WHEAT",G50)),SUMPRODUCT(--ISERROR(SEARCH("WHEAT",$G$2:$G$99)),--($H$2:$H$99="OCCUPIED"),--($B$2:$B$99&lt;&gt;""),--(IFERROR(VALUE(LEFT(RIGHT($G$2:$G$99,7),4)),999)&lt;IFERROR(VALUE(LEFT(RIGHT(G50,7),4)),999)))+SUMPRODUCT(--ISERROR(SEARCH("WHEAT",$G$2:$G$99)),--($H$2:$H$99="OCCUPIED"),--($B$2:$B$99&lt;&gt;""),--(IFERROR(VALUE(LEFT(RIGHT($G$2:$G$99,7),4)),999)=IFERROR(VALUE(LEFT(RIGHT(G50,7),4)),999)),--($B$2:$B$99&lt;B50))+SUMPRODUCT(--ISERROR(SEARCH("WHEAT",$G$2:$G$99)),--($H$2:$H$99="OCCUPIED"),--($B$2:$B$99&lt;&gt;""),--(IFERROR(VALUE(LEFT(RIGHT($G$2:$G$99,7),4)),999)=IFERROR(VALUE(LEFT(RIGHT(G50,7),4)),999)),--($B$2:$B$99=B50),--(ROW($B$2:$B$99)&lt;=ROW())),""))</f>
        <v/>
      </c>
      <c r="S50" s="54" t="n"/>
    </row>
    <row r="51" hidden="1" ht="15.75" customHeight="1" s="236">
      <c r="A51" s="110">
        <f>IF(D51="","",ROWS($D$2:D51))</f>
        <v/>
      </c>
      <c r="B51" s="111" t="n"/>
      <c r="C51" s="112" t="n"/>
      <c r="D51" s="112" t="n"/>
      <c r="E51" s="112" t="n"/>
      <c r="F51" s="113" t="n"/>
      <c r="G51" s="112" t="n"/>
      <c r="H51" s="110">
        <f>IF(AND(E51="",F51="",G51=""),"EMPTY","OCCUPIED")</f>
        <v/>
      </c>
      <c r="I51" s="114">
        <f>IF(B51="","",IF(ISNUMBER(B51),MAX(0,TODAY()-B51),""))</f>
        <v/>
      </c>
      <c r="J51" s="111" t="n"/>
      <c r="K51" s="111" t="n"/>
      <c r="L51" s="111" t="n"/>
      <c r="M51" s="41">
        <f>IF(AND(H51="OCCUPIED",ISNUMBER(J51),K51=""),1,0)</f>
        <v/>
      </c>
      <c r="N51" s="41">
        <f>IF(M51=1,COUNTIF($M$2:M51,1),"")</f>
        <v/>
      </c>
      <c r="O51" s="41">
        <f>IF(AND(H51="OCCUPIED",ISNUMBER(J51),K51=""),--(TODAY()-J51&gt;5),0)</f>
        <v/>
      </c>
      <c r="P51" s="41">
        <f>IF(O51=1,COUNTIF($O$2:O51,1),"")</f>
        <v/>
      </c>
      <c r="Q51" s="49">
        <f>IF(OR(B51="",G51="",H51&lt;&gt;"OCCUPIED"),"",IF(ISNUMBER(SEARCH("WHEAT",G51)),SUMPRODUCT(--ISNUMBER(SEARCH("WHEAT",$G$2:$G$99)),--($H$2:$H$99="OCCUPIED"),--($B$2:$B$99&lt;&gt;""),--(IFERROR(VALUE(LEFT(RIGHT($G$2:$G$99,7),4)),999)&lt;IFERROR(VALUE(LEFT(RIGHT(G51,7),4)),999)))+SUMPRODUCT(--ISNUMBER(SEARCH("WHEAT",$G$2:$G$99)),--($H$2:$H$99="OCCUPIED"),--($B$2:$B$99&lt;&gt;""),--(IFERROR(VALUE(LEFT(RIGHT($G$2:$G$99,7),4)),999)=IFERROR(VALUE(LEFT(RIGHT(G51,7),4)),999)),--($B$2:$B$99&lt;B51))+SUMPRODUCT(--ISNUMBER(SEARCH("WHEAT",$G$2:$G$99)),--($H$2:$H$99="OCCUPIED"),--($B$2:$B$99&lt;&gt;""),--(IFERROR(VALUE(LEFT(RIGHT($G$2:$G$99,7),4)),999)=IFERROR(VALUE(LEFT(RIGHT(G51,7),4)),999)),--($B$2:$B$99=B51),--(ROW($B$2:$B$99)&lt;=ROW())),""))</f>
        <v/>
      </c>
      <c r="R51" s="49">
        <f>IF(OR(B51="",G51="",H51&lt;&gt;"OCCUPIED"),"",IF(ISERROR(SEARCH("WHEAT",G51)),SUMPRODUCT(--ISERROR(SEARCH("WHEAT",$G$2:$G$99)),--($H$2:$H$99="OCCUPIED"),--($B$2:$B$99&lt;&gt;""),--(IFERROR(VALUE(LEFT(RIGHT($G$2:$G$99,7),4)),999)&lt;IFERROR(VALUE(LEFT(RIGHT(G51,7),4)),999)))+SUMPRODUCT(--ISERROR(SEARCH("WHEAT",$G$2:$G$99)),--($H$2:$H$99="OCCUPIED"),--($B$2:$B$99&lt;&gt;""),--(IFERROR(VALUE(LEFT(RIGHT($G$2:$G$99,7),4)),999)=IFERROR(VALUE(LEFT(RIGHT(G51,7),4)),999)),--($B$2:$B$99&lt;B51))+SUMPRODUCT(--ISERROR(SEARCH("WHEAT",$G$2:$G$99)),--($H$2:$H$99="OCCUPIED"),--($B$2:$B$99&lt;&gt;""),--(IFERROR(VALUE(LEFT(RIGHT($G$2:$G$99,7),4)),999)=IFERROR(VALUE(LEFT(RIGHT(G51,7),4)),999)),--($B$2:$B$99=B51),--(ROW($B$2:$B$99)&lt;=ROW())),""))</f>
        <v/>
      </c>
      <c r="S51" s="54" t="n"/>
    </row>
    <row r="52" hidden="1" ht="15.75" customHeight="1" s="236">
      <c r="A52" s="80">
        <f>IF(D52="","",ROWS($D$2:D52))</f>
        <v/>
      </c>
      <c r="B52" s="115" t="n"/>
      <c r="C52" s="116" t="n"/>
      <c r="D52" s="116" t="n"/>
      <c r="E52" s="116" t="n"/>
      <c r="F52" s="117" t="n"/>
      <c r="G52" s="116" t="n"/>
      <c r="H52" s="80">
        <f>IF(AND(E52="",F52="",G52=""),"EMPTY","OCCUPIED")</f>
        <v/>
      </c>
      <c r="I52" s="41">
        <f>IF(B52="","",IF(ISNUMBER(B52),MAX(0,TODAY()-B52),""))</f>
        <v/>
      </c>
      <c r="J52" s="115" t="n"/>
      <c r="K52" s="115" t="n"/>
      <c r="L52" s="115" t="n"/>
      <c r="M52" s="41">
        <f>IF(AND(H52="OCCUPIED",ISNUMBER(J52),K52=""),1,0)</f>
        <v/>
      </c>
      <c r="N52" s="41">
        <f>IF(M52=1,COUNTIF($M$2:M52,1),"")</f>
        <v/>
      </c>
      <c r="O52" s="41">
        <f>IF(AND(H52="OCCUPIED",ISNUMBER(J52),K52=""),--(TODAY()-J52&gt;5),0)</f>
        <v/>
      </c>
      <c r="P52" s="41">
        <f>IF(O52=1,COUNTIF($O$2:O52,1),"")</f>
        <v/>
      </c>
      <c r="Q52" s="49">
        <f>IF(OR(B52="",G52="",H52&lt;&gt;"OCCUPIED"),"",IF(ISNUMBER(SEARCH("WHEAT",G52)),SUMPRODUCT(--ISNUMBER(SEARCH("WHEAT",$G$2:$G$99)),--($H$2:$H$99="OCCUPIED"),--($B$2:$B$99&lt;&gt;""),--(IFERROR(VALUE(LEFT(RIGHT($G$2:$G$99,7),4)),999)&lt;IFERROR(VALUE(LEFT(RIGHT(G52,7),4)),999)))+SUMPRODUCT(--ISNUMBER(SEARCH("WHEAT",$G$2:$G$99)),--($H$2:$H$99="OCCUPIED"),--($B$2:$B$99&lt;&gt;""),--(IFERROR(VALUE(LEFT(RIGHT($G$2:$G$99,7),4)),999)=IFERROR(VALUE(LEFT(RIGHT(G52,7),4)),999)),--($B$2:$B$99&lt;B52))+SUMPRODUCT(--ISNUMBER(SEARCH("WHEAT",$G$2:$G$99)),--($H$2:$H$99="OCCUPIED"),--($B$2:$B$99&lt;&gt;""),--(IFERROR(VALUE(LEFT(RIGHT($G$2:$G$99,7),4)),999)=IFERROR(VALUE(LEFT(RIGHT(G52,7),4)),999)),--($B$2:$B$99=B52),--(ROW($B$2:$B$99)&lt;=ROW())),""))</f>
        <v/>
      </c>
      <c r="R52" s="49">
        <f>IF(OR(B52="",G52="",H52&lt;&gt;"OCCUPIED"),"",IF(ISERROR(SEARCH("WHEAT",G52)),SUMPRODUCT(--ISERROR(SEARCH("WHEAT",$G$2:$G$99)),--($H$2:$H$99="OCCUPIED"),--($B$2:$B$99&lt;&gt;""),--(IFERROR(VALUE(LEFT(RIGHT($G$2:$G$99,7),4)),999)&lt;IFERROR(VALUE(LEFT(RIGHT(G52,7),4)),999)))+SUMPRODUCT(--ISERROR(SEARCH("WHEAT",$G$2:$G$99)),--($H$2:$H$99="OCCUPIED"),--($B$2:$B$99&lt;&gt;""),--(IFERROR(VALUE(LEFT(RIGHT($G$2:$G$99,7),4)),999)=IFERROR(VALUE(LEFT(RIGHT(G52,7),4)),999)),--($B$2:$B$99&lt;B52))+SUMPRODUCT(--ISERROR(SEARCH("WHEAT",$G$2:$G$99)),--($H$2:$H$99="OCCUPIED"),--($B$2:$B$99&lt;&gt;""),--(IFERROR(VALUE(LEFT(RIGHT($G$2:$G$99,7),4)),999)=IFERROR(VALUE(LEFT(RIGHT(G52,7),4)),999)),--($B$2:$B$99=B52),--(ROW($B$2:$B$99)&lt;=ROW())),""))</f>
        <v/>
      </c>
      <c r="S52" s="54" t="n"/>
    </row>
    <row r="53" hidden="1" ht="15.75" customHeight="1" s="236">
      <c r="A53" s="80">
        <f>IF(D53="","",ROWS($D$2:D53))</f>
        <v/>
      </c>
      <c r="B53" s="115" t="n"/>
      <c r="C53" s="116" t="n"/>
      <c r="D53" s="116" t="n"/>
      <c r="E53" s="116" t="n"/>
      <c r="F53" s="117" t="n"/>
      <c r="G53" s="116" t="n"/>
      <c r="H53" s="80">
        <f>IF(AND(E53="",F53="",G53=""),"EMPTY","OCCUPIED")</f>
        <v/>
      </c>
      <c r="I53" s="41">
        <f>IF(B53="","",IF(ISNUMBER(B53),MAX(0,TODAY()-B53),""))</f>
        <v/>
      </c>
      <c r="J53" s="115" t="n"/>
      <c r="K53" s="115" t="n"/>
      <c r="L53" s="115" t="n"/>
      <c r="M53" s="41">
        <f>IF(AND(H53="OCCUPIED",ISNUMBER(J53),K53=""),1,0)</f>
        <v/>
      </c>
      <c r="N53" s="41">
        <f>IF(M53=1,COUNTIF($M$2:M53,1),"")</f>
        <v/>
      </c>
      <c r="O53" s="41">
        <f>IF(AND(H53="OCCUPIED",ISNUMBER(J53),K53=""),--(TODAY()-J53&gt;5),0)</f>
        <v/>
      </c>
      <c r="P53" s="41">
        <f>IF(O53=1,COUNTIF($O$2:O53,1),"")</f>
        <v/>
      </c>
      <c r="Q53" s="49">
        <f>IF(OR(B53="",G53="",H53&lt;&gt;"OCCUPIED"),"",IF(ISNUMBER(SEARCH("WHEAT",G53)),SUMPRODUCT(--ISNUMBER(SEARCH("WHEAT",$G$2:$G$99)),--($H$2:$H$99="OCCUPIED"),--($B$2:$B$99&lt;&gt;""),--(IFERROR(VALUE(LEFT(RIGHT($G$2:$G$99,7),4)),999)&lt;IFERROR(VALUE(LEFT(RIGHT(G53,7),4)),999)))+SUMPRODUCT(--ISNUMBER(SEARCH("WHEAT",$G$2:$G$99)),--($H$2:$H$99="OCCUPIED"),--($B$2:$B$99&lt;&gt;""),--(IFERROR(VALUE(LEFT(RIGHT($G$2:$G$99,7),4)),999)=IFERROR(VALUE(LEFT(RIGHT(G53,7),4)),999)),--($B$2:$B$99&lt;B53))+SUMPRODUCT(--ISNUMBER(SEARCH("WHEAT",$G$2:$G$99)),--($H$2:$H$99="OCCUPIED"),--($B$2:$B$99&lt;&gt;""),--(IFERROR(VALUE(LEFT(RIGHT($G$2:$G$99,7),4)),999)=IFERROR(VALUE(LEFT(RIGHT(G53,7),4)),999)),--($B$2:$B$99=B53),--(ROW($B$2:$B$99)&lt;=ROW())),""))</f>
        <v/>
      </c>
      <c r="R53" s="49">
        <f>IF(OR(B53="",G53="",H53&lt;&gt;"OCCUPIED"),"",IF(ISERROR(SEARCH("WHEAT",G53)),SUMPRODUCT(--ISERROR(SEARCH("WHEAT",$G$2:$G$99)),--($H$2:$H$99="OCCUPIED"),--($B$2:$B$99&lt;&gt;""),--(IFERROR(VALUE(LEFT(RIGHT($G$2:$G$99,7),4)),999)&lt;IFERROR(VALUE(LEFT(RIGHT(G53,7),4)),999)))+SUMPRODUCT(--ISERROR(SEARCH("WHEAT",$G$2:$G$99)),--($H$2:$H$99="OCCUPIED"),--($B$2:$B$99&lt;&gt;""),--(IFERROR(VALUE(LEFT(RIGHT($G$2:$G$99,7),4)),999)=IFERROR(VALUE(LEFT(RIGHT(G53,7),4)),999)),--($B$2:$B$99&lt;B53))+SUMPRODUCT(--ISERROR(SEARCH("WHEAT",$G$2:$G$99)),--($H$2:$H$99="OCCUPIED"),--($B$2:$B$99&lt;&gt;""),--(IFERROR(VALUE(LEFT(RIGHT($G$2:$G$99,7),4)),999)=IFERROR(VALUE(LEFT(RIGHT(G53,7),4)),999)),--($B$2:$B$99=B53),--(ROW($B$2:$B$99)&lt;=ROW())),""))</f>
        <v/>
      </c>
      <c r="S53" s="54" t="n"/>
    </row>
    <row r="54" hidden="1" ht="15.75" customHeight="1" s="236">
      <c r="A54" s="80">
        <f>IF(D54="","",ROWS($D$2:D54))</f>
        <v/>
      </c>
      <c r="B54" s="115" t="n"/>
      <c r="C54" s="116" t="n"/>
      <c r="D54" s="116" t="n"/>
      <c r="E54" s="116" t="n"/>
      <c r="F54" s="117" t="n"/>
      <c r="G54" s="116" t="n"/>
      <c r="H54" s="80">
        <f>IF(AND(E54="",F54="",G54=""),"EMPTY","OCCUPIED")</f>
        <v/>
      </c>
      <c r="I54" s="41">
        <f>IF(B54="","",IF(ISNUMBER(B54),MAX(0,TODAY()-B54),""))</f>
        <v/>
      </c>
      <c r="J54" s="115" t="n"/>
      <c r="K54" s="115" t="n"/>
      <c r="L54" s="115" t="n"/>
      <c r="M54" s="41">
        <f>IF(AND(H54="OCCUPIED",ISNUMBER(J54),K54=""),1,0)</f>
        <v/>
      </c>
      <c r="N54" s="41">
        <f>IF(M54=1,COUNTIF($M$2:M54,1),"")</f>
        <v/>
      </c>
      <c r="O54" s="41">
        <f>IF(AND(H54="OCCUPIED",ISNUMBER(J54),K54=""),--(TODAY()-J54&gt;5),0)</f>
        <v/>
      </c>
      <c r="P54" s="41">
        <f>IF(O54=1,COUNTIF($O$2:O54,1),"")</f>
        <v/>
      </c>
      <c r="Q54" s="49">
        <f>IF(OR(B54="",G54="",H54&lt;&gt;"OCCUPIED"),"",IF(ISNUMBER(SEARCH("WHEAT",G54)),SUMPRODUCT(--ISNUMBER(SEARCH("WHEAT",$G$2:$G$99)),--($H$2:$H$99="OCCUPIED"),--($B$2:$B$99&lt;&gt;""),--(IFERROR(VALUE(LEFT(RIGHT($G$2:$G$99,7),4)),999)&lt;IFERROR(VALUE(LEFT(RIGHT(G54,7),4)),999)))+SUMPRODUCT(--ISNUMBER(SEARCH("WHEAT",$G$2:$G$99)),--($H$2:$H$99="OCCUPIED"),--($B$2:$B$99&lt;&gt;""),--(IFERROR(VALUE(LEFT(RIGHT($G$2:$G$99,7),4)),999)=IFERROR(VALUE(LEFT(RIGHT(G54,7),4)),999)),--($B$2:$B$99&lt;B54))+SUMPRODUCT(--ISNUMBER(SEARCH("WHEAT",$G$2:$G$99)),--($H$2:$H$99="OCCUPIED"),--($B$2:$B$99&lt;&gt;""),--(IFERROR(VALUE(LEFT(RIGHT($G$2:$G$99,7),4)),999)=IFERROR(VALUE(LEFT(RIGHT(G54,7),4)),999)),--($B$2:$B$99=B54),--(ROW($B$2:$B$99)&lt;=ROW())),""))</f>
        <v/>
      </c>
      <c r="R54" s="49">
        <f>IF(OR(B54="",G54="",H54&lt;&gt;"OCCUPIED"),"",IF(ISERROR(SEARCH("WHEAT",G54)),SUMPRODUCT(--ISERROR(SEARCH("WHEAT",$G$2:$G$99)),--($H$2:$H$99="OCCUPIED"),--($B$2:$B$99&lt;&gt;""),--(IFERROR(VALUE(LEFT(RIGHT($G$2:$G$99,7),4)),999)&lt;IFERROR(VALUE(LEFT(RIGHT(G54,7),4)),999)))+SUMPRODUCT(--ISERROR(SEARCH("WHEAT",$G$2:$G$99)),--($H$2:$H$99="OCCUPIED"),--($B$2:$B$99&lt;&gt;""),--(IFERROR(VALUE(LEFT(RIGHT($G$2:$G$99,7),4)),999)=IFERROR(VALUE(LEFT(RIGHT(G54,7),4)),999)),--($B$2:$B$99&lt;B54))+SUMPRODUCT(--ISERROR(SEARCH("WHEAT",$G$2:$G$99)),--($H$2:$H$99="OCCUPIED"),--($B$2:$B$99&lt;&gt;""),--(IFERROR(VALUE(LEFT(RIGHT($G$2:$G$99,7),4)),999)=IFERROR(VALUE(LEFT(RIGHT(G54,7),4)),999)),--($B$2:$B$99=B54),--(ROW($B$2:$B$99)&lt;=ROW())),""))</f>
        <v/>
      </c>
      <c r="S54" s="54" t="n"/>
    </row>
    <row r="55" hidden="1" ht="15.75" customHeight="1" s="236">
      <c r="A55" s="80">
        <f>IF(D55="","",ROWS($D$2:D55))</f>
        <v/>
      </c>
      <c r="B55" s="115" t="n"/>
      <c r="C55" s="116" t="n"/>
      <c r="D55" s="116" t="n"/>
      <c r="E55" s="116" t="n"/>
      <c r="F55" s="117" t="n"/>
      <c r="G55" s="116" t="n"/>
      <c r="H55" s="80">
        <f>IF(AND(E55="",F55="",G55=""),"EMPTY","OCCUPIED")</f>
        <v/>
      </c>
      <c r="I55" s="41">
        <f>IF(B55="","",IF(ISNUMBER(B55),MAX(0,TODAY()-B55),""))</f>
        <v/>
      </c>
      <c r="J55" s="115" t="n"/>
      <c r="K55" s="115" t="n"/>
      <c r="L55" s="115" t="n"/>
      <c r="M55" s="41">
        <f>IF(AND(H55="OCCUPIED",ISNUMBER(J55),K55=""),1,0)</f>
        <v/>
      </c>
      <c r="N55" s="41">
        <f>IF(M55=1,COUNTIF($M$2:M55,1),"")</f>
        <v/>
      </c>
      <c r="O55" s="41">
        <f>IF(AND(H55="OCCUPIED",ISNUMBER(J55),K55=""),--(TODAY()-J55&gt;5),0)</f>
        <v/>
      </c>
      <c r="P55" s="41">
        <f>IF(O55=1,COUNTIF($O$2:O55,1),"")</f>
        <v/>
      </c>
      <c r="Q55" s="49">
        <f>IF(OR(B55="",G55="",H55&lt;&gt;"OCCUPIED"),"",IF(ISNUMBER(SEARCH("WHEAT",G55)),SUMPRODUCT(--ISNUMBER(SEARCH("WHEAT",$G$2:$G$99)),--($H$2:$H$99="OCCUPIED"),--($B$2:$B$99&lt;&gt;""),--(IFERROR(VALUE(LEFT(RIGHT($G$2:$G$99,7),4)),999)&lt;IFERROR(VALUE(LEFT(RIGHT(G55,7),4)),999)))+SUMPRODUCT(--ISNUMBER(SEARCH("WHEAT",$G$2:$G$99)),--($H$2:$H$99="OCCUPIED"),--($B$2:$B$99&lt;&gt;""),--(IFERROR(VALUE(LEFT(RIGHT($G$2:$G$99,7),4)),999)=IFERROR(VALUE(LEFT(RIGHT(G55,7),4)),999)),--($B$2:$B$99&lt;B55))+SUMPRODUCT(--ISNUMBER(SEARCH("WHEAT",$G$2:$G$99)),--($H$2:$H$99="OCCUPIED"),--($B$2:$B$99&lt;&gt;""),--(IFERROR(VALUE(LEFT(RIGHT($G$2:$G$99,7),4)),999)=IFERROR(VALUE(LEFT(RIGHT(G55,7),4)),999)),--($B$2:$B$99=B55),--(ROW($B$2:$B$99)&lt;=ROW())),""))</f>
        <v/>
      </c>
      <c r="R55" s="49">
        <f>IF(OR(B55="",G55="",H55&lt;&gt;"OCCUPIED"),"",IF(ISERROR(SEARCH("WHEAT",G55)),SUMPRODUCT(--ISERROR(SEARCH("WHEAT",$G$2:$G$99)),--($H$2:$H$99="OCCUPIED"),--($B$2:$B$99&lt;&gt;""),--(IFERROR(VALUE(LEFT(RIGHT($G$2:$G$99,7),4)),999)&lt;IFERROR(VALUE(LEFT(RIGHT(G55,7),4)),999)))+SUMPRODUCT(--ISERROR(SEARCH("WHEAT",$G$2:$G$99)),--($H$2:$H$99="OCCUPIED"),--($B$2:$B$99&lt;&gt;""),--(IFERROR(VALUE(LEFT(RIGHT($G$2:$G$99,7),4)),999)=IFERROR(VALUE(LEFT(RIGHT(G55,7),4)),999)),--($B$2:$B$99&lt;B55))+SUMPRODUCT(--ISERROR(SEARCH("WHEAT",$G$2:$G$99)),--($H$2:$H$99="OCCUPIED"),--($B$2:$B$99&lt;&gt;""),--(IFERROR(VALUE(LEFT(RIGHT($G$2:$G$99,7),4)),999)=IFERROR(VALUE(LEFT(RIGHT(G55,7),4)),999)),--($B$2:$B$99=B55),--(ROW($B$2:$B$99)&lt;=ROW())),""))</f>
        <v/>
      </c>
      <c r="S55" s="54" t="n"/>
    </row>
    <row r="56" hidden="1" ht="15.75" customHeight="1" s="236">
      <c r="A56" s="80">
        <f>IF(D56="","",ROWS($D$2:D56))</f>
        <v/>
      </c>
      <c r="B56" s="115" t="n"/>
      <c r="C56" s="116" t="n"/>
      <c r="D56" s="116" t="n"/>
      <c r="E56" s="116" t="n"/>
      <c r="F56" s="117" t="n"/>
      <c r="G56" s="116" t="n"/>
      <c r="H56" s="80">
        <f>IF(AND(E56="",F56="",G56=""),"EMPTY","OCCUPIED")</f>
        <v/>
      </c>
      <c r="I56" s="41">
        <f>IF(B56="","",IF(ISNUMBER(B56),MAX(0,TODAY()-B56),""))</f>
        <v/>
      </c>
      <c r="J56" s="115" t="n"/>
      <c r="K56" s="115" t="n"/>
      <c r="L56" s="115" t="n"/>
      <c r="M56" s="41">
        <f>IF(AND(H56="OCCUPIED",ISNUMBER(J56),K56=""),1,0)</f>
        <v/>
      </c>
      <c r="N56" s="41">
        <f>IF(M56=1,COUNTIF($M$2:M56,1),"")</f>
        <v/>
      </c>
      <c r="O56" s="41">
        <f>IF(AND(H56="OCCUPIED",ISNUMBER(J56),K56=""),--(TODAY()-J56&gt;5),0)</f>
        <v/>
      </c>
      <c r="P56" s="41">
        <f>IF(O56=1,COUNTIF($O$2:O56,1),"")</f>
        <v/>
      </c>
      <c r="Q56" s="49">
        <f>IF(OR(B56="",G56="",H56&lt;&gt;"OCCUPIED"),"",IF(ISNUMBER(SEARCH("WHEAT",G56)),SUMPRODUCT(--ISNUMBER(SEARCH("WHEAT",$G$2:$G$99)),--($H$2:$H$99="OCCUPIED"),--($B$2:$B$99&lt;&gt;""),--(IFERROR(VALUE(LEFT(RIGHT($G$2:$G$99,7),4)),999)&lt;IFERROR(VALUE(LEFT(RIGHT(G56,7),4)),999)))+SUMPRODUCT(--ISNUMBER(SEARCH("WHEAT",$G$2:$G$99)),--($H$2:$H$99="OCCUPIED"),--($B$2:$B$99&lt;&gt;""),--(IFERROR(VALUE(LEFT(RIGHT($G$2:$G$99,7),4)),999)=IFERROR(VALUE(LEFT(RIGHT(G56,7),4)),999)),--($B$2:$B$99&lt;B56))+SUMPRODUCT(--ISNUMBER(SEARCH("WHEAT",$G$2:$G$99)),--($H$2:$H$99="OCCUPIED"),--($B$2:$B$99&lt;&gt;""),--(IFERROR(VALUE(LEFT(RIGHT($G$2:$G$99,7),4)),999)=IFERROR(VALUE(LEFT(RIGHT(G56,7),4)),999)),--($B$2:$B$99=B56),--(ROW($B$2:$B$99)&lt;=ROW())),""))</f>
        <v/>
      </c>
      <c r="R56" s="49">
        <f>IF(OR(B56="",G56="",H56&lt;&gt;"OCCUPIED"),"",IF(ISERROR(SEARCH("WHEAT",G56)),SUMPRODUCT(--ISERROR(SEARCH("WHEAT",$G$2:$G$99)),--($H$2:$H$99="OCCUPIED"),--($B$2:$B$99&lt;&gt;""),--(IFERROR(VALUE(LEFT(RIGHT($G$2:$G$99,7),4)),999)&lt;IFERROR(VALUE(LEFT(RIGHT(G56,7),4)),999)))+SUMPRODUCT(--ISERROR(SEARCH("WHEAT",$G$2:$G$99)),--($H$2:$H$99="OCCUPIED"),--($B$2:$B$99&lt;&gt;""),--(IFERROR(VALUE(LEFT(RIGHT($G$2:$G$99,7),4)),999)=IFERROR(VALUE(LEFT(RIGHT(G56,7),4)),999)),--($B$2:$B$99&lt;B56))+SUMPRODUCT(--ISERROR(SEARCH("WHEAT",$G$2:$G$99)),--($H$2:$H$99="OCCUPIED"),--($B$2:$B$99&lt;&gt;""),--(IFERROR(VALUE(LEFT(RIGHT($G$2:$G$99,7),4)),999)=IFERROR(VALUE(LEFT(RIGHT(G56,7),4)),999)),--($B$2:$B$99=B56),--(ROW($B$2:$B$99)&lt;=ROW())),""))</f>
        <v/>
      </c>
      <c r="S56" s="54" t="n"/>
    </row>
    <row r="57" hidden="1" ht="15.75" customHeight="1" s="236">
      <c r="A57" s="80">
        <f>IF(D57="","",ROWS($D$2:D57))</f>
        <v/>
      </c>
      <c r="B57" s="115" t="n"/>
      <c r="C57" s="116" t="n"/>
      <c r="D57" s="116" t="n"/>
      <c r="E57" s="116" t="n"/>
      <c r="F57" s="117" t="n"/>
      <c r="G57" s="116" t="n"/>
      <c r="H57" s="80">
        <f>IF(AND(E57="",F57="",G57=""),"EMPTY","OCCUPIED")</f>
        <v/>
      </c>
      <c r="I57" s="41">
        <f>IF(B57="","",IF(ISNUMBER(B57),MAX(0,TODAY()-B57),""))</f>
        <v/>
      </c>
      <c r="J57" s="115" t="n"/>
      <c r="K57" s="115" t="n"/>
      <c r="L57" s="115" t="n"/>
      <c r="M57" s="41">
        <f>IF(AND(H57="OCCUPIED",ISNUMBER(J57),K57=""),1,0)</f>
        <v/>
      </c>
      <c r="N57" s="41">
        <f>IF(M57=1,COUNTIF($M$2:M57,1),"")</f>
        <v/>
      </c>
      <c r="O57" s="41">
        <f>IF(AND(H57="OCCUPIED",ISNUMBER(J57),K57=""),--(TODAY()-J57&gt;5),0)</f>
        <v/>
      </c>
      <c r="P57" s="41">
        <f>IF(O57=1,COUNTIF($O$2:O57,1),"")</f>
        <v/>
      </c>
      <c r="Q57" s="49">
        <f>IF(OR(B57="",G57="",H57&lt;&gt;"OCCUPIED"),"",IF(ISNUMBER(SEARCH("WHEAT",G57)),SUMPRODUCT(--ISNUMBER(SEARCH("WHEAT",$G$2:$G$99)),--($H$2:$H$99="OCCUPIED"),--($B$2:$B$99&lt;&gt;""),--(IFERROR(VALUE(LEFT(RIGHT($G$2:$G$99,7),4)),999)&lt;IFERROR(VALUE(LEFT(RIGHT(G57,7),4)),999)))+SUMPRODUCT(--ISNUMBER(SEARCH("WHEAT",$G$2:$G$99)),--($H$2:$H$99="OCCUPIED"),--($B$2:$B$99&lt;&gt;""),--(IFERROR(VALUE(LEFT(RIGHT($G$2:$G$99,7),4)),999)=IFERROR(VALUE(LEFT(RIGHT(G57,7),4)),999)),--($B$2:$B$99&lt;B57))+SUMPRODUCT(--ISNUMBER(SEARCH("WHEAT",$G$2:$G$99)),--($H$2:$H$99="OCCUPIED"),--($B$2:$B$99&lt;&gt;""),--(IFERROR(VALUE(LEFT(RIGHT($G$2:$G$99,7),4)),999)=IFERROR(VALUE(LEFT(RIGHT(G57,7),4)),999)),--($B$2:$B$99=B57),--(ROW($B$2:$B$99)&lt;=ROW())),""))</f>
        <v/>
      </c>
      <c r="R57" s="49">
        <f>IF(OR(B57="",G57="",H57&lt;&gt;"OCCUPIED"),"",IF(ISERROR(SEARCH("WHEAT",G57)),SUMPRODUCT(--ISERROR(SEARCH("WHEAT",$G$2:$G$99)),--($H$2:$H$99="OCCUPIED"),--($B$2:$B$99&lt;&gt;""),--(IFERROR(VALUE(LEFT(RIGHT($G$2:$G$99,7),4)),999)&lt;IFERROR(VALUE(LEFT(RIGHT(G57,7),4)),999)))+SUMPRODUCT(--ISERROR(SEARCH("WHEAT",$G$2:$G$99)),--($H$2:$H$99="OCCUPIED"),--($B$2:$B$99&lt;&gt;""),--(IFERROR(VALUE(LEFT(RIGHT($G$2:$G$99,7),4)),999)=IFERROR(VALUE(LEFT(RIGHT(G57,7),4)),999)),--($B$2:$B$99&lt;B57))+SUMPRODUCT(--ISERROR(SEARCH("WHEAT",$G$2:$G$99)),--($H$2:$H$99="OCCUPIED"),--($B$2:$B$99&lt;&gt;""),--(IFERROR(VALUE(LEFT(RIGHT($G$2:$G$99,7),4)),999)=IFERROR(VALUE(LEFT(RIGHT(G57,7),4)),999)),--($B$2:$B$99=B57),--(ROW($B$2:$B$99)&lt;=ROW())),""))</f>
        <v/>
      </c>
      <c r="S57" s="54" t="n"/>
    </row>
    <row r="58" hidden="1" ht="15.75" customHeight="1" s="236">
      <c r="A58" s="80">
        <f>IF(D58="","",ROWS($D$2:D58))</f>
        <v/>
      </c>
      <c r="B58" s="115" t="n"/>
      <c r="C58" s="116" t="n"/>
      <c r="D58" s="116" t="n"/>
      <c r="E58" s="116" t="n"/>
      <c r="F58" s="117" t="n"/>
      <c r="G58" s="116" t="n"/>
      <c r="H58" s="80">
        <f>IF(AND(E58="",F58="",G58=""),"EMPTY","OCCUPIED")</f>
        <v/>
      </c>
      <c r="I58" s="41">
        <f>IF(B58="","",IF(ISNUMBER(B58),MAX(0,TODAY()-B58),""))</f>
        <v/>
      </c>
      <c r="J58" s="115" t="n"/>
      <c r="K58" s="115" t="n"/>
      <c r="L58" s="115" t="n"/>
      <c r="M58" s="41">
        <f>IF(AND(H58="OCCUPIED",ISNUMBER(J58),K58=""),1,0)</f>
        <v/>
      </c>
      <c r="N58" s="41">
        <f>IF(M58=1,COUNTIF($M$2:M58,1),"")</f>
        <v/>
      </c>
      <c r="O58" s="41">
        <f>IF(AND(H58="OCCUPIED",ISNUMBER(J58),K58=""),--(TODAY()-J58&gt;5),0)</f>
        <v/>
      </c>
      <c r="P58" s="41">
        <f>IF(O58=1,COUNTIF($O$2:O58,1),"")</f>
        <v/>
      </c>
      <c r="Q58" s="49">
        <f>IF(OR(B58="",G58="",H58&lt;&gt;"OCCUPIED"),"",IF(ISNUMBER(SEARCH("WHEAT",G58)),SUMPRODUCT(--ISNUMBER(SEARCH("WHEAT",$G$2:$G$99)),--($H$2:$H$99="OCCUPIED"),--($B$2:$B$99&lt;&gt;""),--(IFERROR(VALUE(LEFT(RIGHT($G$2:$G$99,7),4)),999)&lt;IFERROR(VALUE(LEFT(RIGHT(G58,7),4)),999)))+SUMPRODUCT(--ISNUMBER(SEARCH("WHEAT",$G$2:$G$99)),--($H$2:$H$99="OCCUPIED"),--($B$2:$B$99&lt;&gt;""),--(IFERROR(VALUE(LEFT(RIGHT($G$2:$G$99,7),4)),999)=IFERROR(VALUE(LEFT(RIGHT(G58,7),4)),999)),--($B$2:$B$99&lt;B58))+SUMPRODUCT(--ISNUMBER(SEARCH("WHEAT",$G$2:$G$99)),--($H$2:$H$99="OCCUPIED"),--($B$2:$B$99&lt;&gt;""),--(IFERROR(VALUE(LEFT(RIGHT($G$2:$G$99,7),4)),999)=IFERROR(VALUE(LEFT(RIGHT(G58,7),4)),999)),--($B$2:$B$99=B58),--(ROW($B$2:$B$99)&lt;=ROW())),""))</f>
        <v/>
      </c>
      <c r="R58" s="49">
        <f>IF(OR(B58="",G58="",H58&lt;&gt;"OCCUPIED"),"",IF(ISERROR(SEARCH("WHEAT",G58)),SUMPRODUCT(--ISERROR(SEARCH("WHEAT",$G$2:$G$99)),--($H$2:$H$99="OCCUPIED"),--($B$2:$B$99&lt;&gt;""),--(IFERROR(VALUE(LEFT(RIGHT($G$2:$G$99,7),4)),999)&lt;IFERROR(VALUE(LEFT(RIGHT(G58,7),4)),999)))+SUMPRODUCT(--ISERROR(SEARCH("WHEAT",$G$2:$G$99)),--($H$2:$H$99="OCCUPIED"),--($B$2:$B$99&lt;&gt;""),--(IFERROR(VALUE(LEFT(RIGHT($G$2:$G$99,7),4)),999)=IFERROR(VALUE(LEFT(RIGHT(G58,7),4)),999)),--($B$2:$B$99&lt;B58))+SUMPRODUCT(--ISERROR(SEARCH("WHEAT",$G$2:$G$99)),--($H$2:$H$99="OCCUPIED"),--($B$2:$B$99&lt;&gt;""),--(IFERROR(VALUE(LEFT(RIGHT($G$2:$G$99,7),4)),999)=IFERROR(VALUE(LEFT(RIGHT(G58,7),4)),999)),--($B$2:$B$99=B58),--(ROW($B$2:$B$99)&lt;=ROW())),""))</f>
        <v/>
      </c>
      <c r="S58" s="54" t="n"/>
    </row>
    <row r="59" hidden="1" ht="15.75" customHeight="1" s="236">
      <c r="A59" s="80">
        <f>IF(D59="","",ROWS($D$2:D59))</f>
        <v/>
      </c>
      <c r="B59" s="115" t="n"/>
      <c r="C59" s="116" t="n"/>
      <c r="D59" s="116" t="n"/>
      <c r="E59" s="116" t="n"/>
      <c r="F59" s="117" t="n"/>
      <c r="G59" s="116" t="n"/>
      <c r="H59" s="80">
        <f>IF(AND(E59="",F59="",G59=""),"EMPTY","OCCUPIED")</f>
        <v/>
      </c>
      <c r="I59" s="41">
        <f>IF(B59="","",IF(ISNUMBER(B59),MAX(0,TODAY()-B59),""))</f>
        <v/>
      </c>
      <c r="J59" s="115" t="n"/>
      <c r="K59" s="115" t="n"/>
      <c r="L59" s="115" t="n"/>
      <c r="M59" s="41">
        <f>IF(AND(H59="OCCUPIED",ISNUMBER(J59),K59=""),1,0)</f>
        <v/>
      </c>
      <c r="N59" s="41">
        <f>IF(M59=1,COUNTIF($M$2:M59,1),"")</f>
        <v/>
      </c>
      <c r="O59" s="41">
        <f>IF(AND(H59="OCCUPIED",ISNUMBER(J59),K59=""),--(TODAY()-J59&gt;5),0)</f>
        <v/>
      </c>
      <c r="P59" s="41">
        <f>IF(O59=1,COUNTIF($O$2:O59,1),"")</f>
        <v/>
      </c>
      <c r="Q59" s="49">
        <f>IF(OR(B59="",G59="",H59&lt;&gt;"OCCUPIED"),"",IF(ISNUMBER(SEARCH("WHEAT",G59)),SUMPRODUCT(--ISNUMBER(SEARCH("WHEAT",$G$2:$G$99)),--($H$2:$H$99="OCCUPIED"),--($B$2:$B$99&lt;&gt;""),--(IFERROR(VALUE(LEFT(RIGHT($G$2:$G$99,7),4)),999)&lt;IFERROR(VALUE(LEFT(RIGHT(G59,7),4)),999)))+SUMPRODUCT(--ISNUMBER(SEARCH("WHEAT",$G$2:$G$99)),--($H$2:$H$99="OCCUPIED"),--($B$2:$B$99&lt;&gt;""),--(IFERROR(VALUE(LEFT(RIGHT($G$2:$G$99,7),4)),999)=IFERROR(VALUE(LEFT(RIGHT(G59,7),4)),999)),--($B$2:$B$99&lt;B59))+SUMPRODUCT(--ISNUMBER(SEARCH("WHEAT",$G$2:$G$99)),--($H$2:$H$99="OCCUPIED"),--($B$2:$B$99&lt;&gt;""),--(IFERROR(VALUE(LEFT(RIGHT($G$2:$G$99,7),4)),999)=IFERROR(VALUE(LEFT(RIGHT(G59,7),4)),999)),--($B$2:$B$99=B59),--(ROW($B$2:$B$99)&lt;=ROW())),""))</f>
        <v/>
      </c>
      <c r="R59" s="49">
        <f>IF(OR(B59="",G59="",H59&lt;&gt;"OCCUPIED"),"",IF(ISERROR(SEARCH("WHEAT",G59)),SUMPRODUCT(--ISERROR(SEARCH("WHEAT",$G$2:$G$99)),--($H$2:$H$99="OCCUPIED"),--($B$2:$B$99&lt;&gt;""),--(IFERROR(VALUE(LEFT(RIGHT($G$2:$G$99,7),4)),999)&lt;IFERROR(VALUE(LEFT(RIGHT(G59,7),4)),999)))+SUMPRODUCT(--ISERROR(SEARCH("WHEAT",$G$2:$G$99)),--($H$2:$H$99="OCCUPIED"),--($B$2:$B$99&lt;&gt;""),--(IFERROR(VALUE(LEFT(RIGHT($G$2:$G$99,7),4)),999)=IFERROR(VALUE(LEFT(RIGHT(G59,7),4)),999)),--($B$2:$B$99&lt;B59))+SUMPRODUCT(--ISERROR(SEARCH("WHEAT",$G$2:$G$99)),--($H$2:$H$99="OCCUPIED"),--($B$2:$B$99&lt;&gt;""),--(IFERROR(VALUE(LEFT(RIGHT($G$2:$G$99,7),4)),999)=IFERROR(VALUE(LEFT(RIGHT(G59,7),4)),999)),--($B$2:$B$99=B59),--(ROW($B$2:$B$99)&lt;=ROW())),""))</f>
        <v/>
      </c>
      <c r="S59" s="54" t="n"/>
    </row>
    <row r="60" hidden="1" ht="15.75" customHeight="1" s="236">
      <c r="A60" s="80">
        <f>IF(D60="","",ROWS($D$2:D60))</f>
        <v/>
      </c>
      <c r="B60" s="115" t="n"/>
      <c r="C60" s="116" t="n"/>
      <c r="D60" s="116" t="n"/>
      <c r="E60" s="116" t="n"/>
      <c r="F60" s="117" t="n"/>
      <c r="G60" s="116" t="n"/>
      <c r="H60" s="80">
        <f>IF(AND(E60="",F60="",G60=""),"EMPTY","OCCUPIED")</f>
        <v/>
      </c>
      <c r="I60" s="41">
        <f>IF(B60="","",IF(ISNUMBER(B60),MAX(0,TODAY()-B60),""))</f>
        <v/>
      </c>
      <c r="J60" s="115" t="n"/>
      <c r="K60" s="115" t="n"/>
      <c r="L60" s="115" t="n"/>
      <c r="M60" s="41">
        <f>IF(AND(H60="OCCUPIED",ISNUMBER(J60),K60=""),1,0)</f>
        <v/>
      </c>
      <c r="N60" s="41">
        <f>IF(M60=1,COUNTIF($M$2:M60,1),"")</f>
        <v/>
      </c>
      <c r="O60" s="41">
        <f>IF(AND(H60="OCCUPIED",ISNUMBER(J60),K60=""),--(TODAY()-J60&gt;5),0)</f>
        <v/>
      </c>
      <c r="P60" s="41">
        <f>IF(O60=1,COUNTIF($O$2:O60,1),"")</f>
        <v/>
      </c>
      <c r="Q60" s="49">
        <f>IF(OR(B60="",G60="",H60&lt;&gt;"OCCUPIED"),"",IF(ISNUMBER(SEARCH("WHEAT",G60)),SUMPRODUCT(--ISNUMBER(SEARCH("WHEAT",$G$2:$G$99)),--($H$2:$H$99="OCCUPIED"),--($B$2:$B$99&lt;&gt;""),--(IFERROR(VALUE(LEFT(RIGHT($G$2:$G$99,7),4)),999)&lt;IFERROR(VALUE(LEFT(RIGHT(G60,7),4)),999)))+SUMPRODUCT(--ISNUMBER(SEARCH("WHEAT",$G$2:$G$99)),--($H$2:$H$99="OCCUPIED"),--($B$2:$B$99&lt;&gt;""),--(IFERROR(VALUE(LEFT(RIGHT($G$2:$G$99,7),4)),999)=IFERROR(VALUE(LEFT(RIGHT(G60,7),4)),999)),--($B$2:$B$99&lt;B60))+SUMPRODUCT(--ISNUMBER(SEARCH("WHEAT",$G$2:$G$99)),--($H$2:$H$99="OCCUPIED"),--($B$2:$B$99&lt;&gt;""),--(IFERROR(VALUE(LEFT(RIGHT($G$2:$G$99,7),4)),999)=IFERROR(VALUE(LEFT(RIGHT(G60,7),4)),999)),--($B$2:$B$99=B60),--(ROW($B$2:$B$99)&lt;=ROW())),""))</f>
        <v/>
      </c>
      <c r="R60" s="49">
        <f>IF(OR(B60="",G60="",H60&lt;&gt;"OCCUPIED"),"",IF(ISERROR(SEARCH("WHEAT",G60)),SUMPRODUCT(--ISERROR(SEARCH("WHEAT",$G$2:$G$99)),--($H$2:$H$99="OCCUPIED"),--($B$2:$B$99&lt;&gt;""),--(IFERROR(VALUE(LEFT(RIGHT($G$2:$G$99,7),4)),999)&lt;IFERROR(VALUE(LEFT(RIGHT(G60,7),4)),999)))+SUMPRODUCT(--ISERROR(SEARCH("WHEAT",$G$2:$G$99)),--($H$2:$H$99="OCCUPIED"),--($B$2:$B$99&lt;&gt;""),--(IFERROR(VALUE(LEFT(RIGHT($G$2:$G$99,7),4)),999)=IFERROR(VALUE(LEFT(RIGHT(G60,7),4)),999)),--($B$2:$B$99&lt;B60))+SUMPRODUCT(--ISERROR(SEARCH("WHEAT",$G$2:$G$99)),--($H$2:$H$99="OCCUPIED"),--($B$2:$B$99&lt;&gt;""),--(IFERROR(VALUE(LEFT(RIGHT($G$2:$G$99,7),4)),999)=IFERROR(VALUE(LEFT(RIGHT(G60,7),4)),999)),--($B$2:$B$99=B60),--(ROW($B$2:$B$99)&lt;=ROW())),""))</f>
        <v/>
      </c>
      <c r="S60" s="54" t="n"/>
    </row>
    <row r="61" hidden="1" ht="15.75" customHeight="1" s="236">
      <c r="A61" s="80">
        <f>IF(D61="","",ROWS($D$2:D61))</f>
        <v/>
      </c>
      <c r="B61" s="115" t="n"/>
      <c r="C61" s="116" t="n"/>
      <c r="D61" s="116" t="n"/>
      <c r="E61" s="116" t="n"/>
      <c r="F61" s="117" t="n"/>
      <c r="G61" s="116" t="n"/>
      <c r="H61" s="80">
        <f>IF(AND(E61="",F61="",G61=""),"EMPTY","OCCUPIED")</f>
        <v/>
      </c>
      <c r="I61" s="41">
        <f>IF(B61="","",IF(ISNUMBER(B61),MAX(0,TODAY()-B61),""))</f>
        <v/>
      </c>
      <c r="J61" s="115" t="n"/>
      <c r="K61" s="115" t="n"/>
      <c r="L61" s="115" t="n"/>
      <c r="M61" s="41">
        <f>IF(AND(H61="OCCUPIED",ISNUMBER(J61),K61=""),1,0)</f>
        <v/>
      </c>
      <c r="N61" s="41">
        <f>IF(M61=1,COUNTIF($M$2:M61,1),"")</f>
        <v/>
      </c>
      <c r="O61" s="41">
        <f>IF(AND(H61="OCCUPIED",ISNUMBER(J61),K61=""),--(TODAY()-J61&gt;5),0)</f>
        <v/>
      </c>
      <c r="P61" s="41">
        <f>IF(O61=1,COUNTIF($O$2:O61,1),"")</f>
        <v/>
      </c>
      <c r="Q61" s="49">
        <f>IF(OR(B61="",G61="",H61&lt;&gt;"OCCUPIED"),"",IF(ISNUMBER(SEARCH("WHEAT",G61)),SUMPRODUCT(--ISNUMBER(SEARCH("WHEAT",$G$2:$G$99)),--($H$2:$H$99="OCCUPIED"),--($B$2:$B$99&lt;&gt;""),--(IFERROR(VALUE(LEFT(RIGHT($G$2:$G$99,7),4)),999)&lt;IFERROR(VALUE(LEFT(RIGHT(G61,7),4)),999)))+SUMPRODUCT(--ISNUMBER(SEARCH("WHEAT",$G$2:$G$99)),--($H$2:$H$99="OCCUPIED"),--($B$2:$B$99&lt;&gt;""),--(IFERROR(VALUE(LEFT(RIGHT($G$2:$G$99,7),4)),999)=IFERROR(VALUE(LEFT(RIGHT(G61,7),4)),999)),--($B$2:$B$99&lt;B61))+SUMPRODUCT(--ISNUMBER(SEARCH("WHEAT",$G$2:$G$99)),--($H$2:$H$99="OCCUPIED"),--($B$2:$B$99&lt;&gt;""),--(IFERROR(VALUE(LEFT(RIGHT($G$2:$G$99,7),4)),999)=IFERROR(VALUE(LEFT(RIGHT(G61,7),4)),999)),--($B$2:$B$99=B61),--(ROW($B$2:$B$99)&lt;=ROW())),""))</f>
        <v/>
      </c>
      <c r="R61" s="49">
        <f>IF(OR(B61="",G61="",H61&lt;&gt;"OCCUPIED"),"",IF(ISERROR(SEARCH("WHEAT",G61)),SUMPRODUCT(--ISERROR(SEARCH("WHEAT",$G$2:$G$99)),--($H$2:$H$99="OCCUPIED"),--($B$2:$B$99&lt;&gt;""),--(IFERROR(VALUE(LEFT(RIGHT($G$2:$G$99,7),4)),999)&lt;IFERROR(VALUE(LEFT(RIGHT(G61,7),4)),999)))+SUMPRODUCT(--ISERROR(SEARCH("WHEAT",$G$2:$G$99)),--($H$2:$H$99="OCCUPIED"),--($B$2:$B$99&lt;&gt;""),--(IFERROR(VALUE(LEFT(RIGHT($G$2:$G$99,7),4)),999)=IFERROR(VALUE(LEFT(RIGHT(G61,7),4)),999)),--($B$2:$B$99&lt;B61))+SUMPRODUCT(--ISERROR(SEARCH("WHEAT",$G$2:$G$99)),--($H$2:$H$99="OCCUPIED"),--($B$2:$B$99&lt;&gt;""),--(IFERROR(VALUE(LEFT(RIGHT($G$2:$G$99,7),4)),999)=IFERROR(VALUE(LEFT(RIGHT(G61,7),4)),999)),--($B$2:$B$99=B61),--(ROW($B$2:$B$99)&lt;=ROW())),""))</f>
        <v/>
      </c>
      <c r="S61" s="54" t="n"/>
    </row>
    <row r="62" hidden="1" ht="15.75" customHeight="1" s="236">
      <c r="A62" s="80">
        <f>IF(D62="","",ROWS($D$2:D62))</f>
        <v/>
      </c>
      <c r="B62" s="115" t="n"/>
      <c r="C62" s="116" t="n"/>
      <c r="D62" s="116" t="n"/>
      <c r="E62" s="116" t="n"/>
      <c r="F62" s="117" t="n"/>
      <c r="G62" s="116" t="n"/>
      <c r="H62" s="80">
        <f>IF(AND(E62="",F62="",G62=""),"EMPTY","OCCUPIED")</f>
        <v/>
      </c>
      <c r="I62" s="41">
        <f>IF(B62="","",IF(ISNUMBER(B62),MAX(0,TODAY()-B62),""))</f>
        <v/>
      </c>
      <c r="J62" s="115" t="n"/>
      <c r="K62" s="115" t="n"/>
      <c r="L62" s="115" t="n"/>
      <c r="M62" s="41">
        <f>IF(AND(H62="OCCUPIED",ISNUMBER(J62),K62=""),1,0)</f>
        <v/>
      </c>
      <c r="N62" s="41">
        <f>IF(M62=1,COUNTIF($M$2:M62,1),"")</f>
        <v/>
      </c>
      <c r="O62" s="41">
        <f>IF(AND(H62="OCCUPIED",ISNUMBER(J62),K62=""),--(TODAY()-J62&gt;5),0)</f>
        <v/>
      </c>
      <c r="P62" s="41">
        <f>IF(O62=1,COUNTIF($O$2:O62,1),"")</f>
        <v/>
      </c>
      <c r="Q62" s="49">
        <f>IF(OR(B62="",G62="",H62&lt;&gt;"OCCUPIED"),"",IF(ISNUMBER(SEARCH("WHEAT",G62)),SUMPRODUCT(--ISNUMBER(SEARCH("WHEAT",$G$2:$G$99)),--($H$2:$H$99="OCCUPIED"),--($B$2:$B$99&lt;&gt;""),--(IFERROR(VALUE(LEFT(RIGHT($G$2:$G$99,7),4)),999)&lt;IFERROR(VALUE(LEFT(RIGHT(G62,7),4)),999)))+SUMPRODUCT(--ISNUMBER(SEARCH("WHEAT",$G$2:$G$99)),--($H$2:$H$99="OCCUPIED"),--($B$2:$B$99&lt;&gt;""),--(IFERROR(VALUE(LEFT(RIGHT($G$2:$G$99,7),4)),999)=IFERROR(VALUE(LEFT(RIGHT(G62,7),4)),999)),--($B$2:$B$99&lt;B62))+SUMPRODUCT(--ISNUMBER(SEARCH("WHEAT",$G$2:$G$99)),--($H$2:$H$99="OCCUPIED"),--($B$2:$B$99&lt;&gt;""),--(IFERROR(VALUE(LEFT(RIGHT($G$2:$G$99,7),4)),999)=IFERROR(VALUE(LEFT(RIGHT(G62,7),4)),999)),--($B$2:$B$99=B62),--(ROW($B$2:$B$99)&lt;=ROW())),""))</f>
        <v/>
      </c>
      <c r="R62" s="49">
        <f>IF(OR(B62="",G62="",H62&lt;&gt;"OCCUPIED"),"",IF(ISERROR(SEARCH("WHEAT",G62)),SUMPRODUCT(--ISERROR(SEARCH("WHEAT",$G$2:$G$99)),--($H$2:$H$99="OCCUPIED"),--($B$2:$B$99&lt;&gt;""),--(IFERROR(VALUE(LEFT(RIGHT($G$2:$G$99,7),4)),999)&lt;IFERROR(VALUE(LEFT(RIGHT(G62,7),4)),999)))+SUMPRODUCT(--ISERROR(SEARCH("WHEAT",$G$2:$G$99)),--($H$2:$H$99="OCCUPIED"),--($B$2:$B$99&lt;&gt;""),--(IFERROR(VALUE(LEFT(RIGHT($G$2:$G$99,7),4)),999)=IFERROR(VALUE(LEFT(RIGHT(G62,7),4)),999)),--($B$2:$B$99&lt;B62))+SUMPRODUCT(--ISERROR(SEARCH("WHEAT",$G$2:$G$99)),--($H$2:$H$99="OCCUPIED"),--($B$2:$B$99&lt;&gt;""),--(IFERROR(VALUE(LEFT(RIGHT($G$2:$G$99,7),4)),999)=IFERROR(VALUE(LEFT(RIGHT(G62,7),4)),999)),--($B$2:$B$99=B62),--(ROW($B$2:$B$99)&lt;=ROW())),""))</f>
        <v/>
      </c>
      <c r="S62" s="54" t="n"/>
    </row>
    <row r="63" hidden="1" ht="15.75" customHeight="1" s="236">
      <c r="A63" s="80">
        <f>IF(D63="","",ROWS($D$2:D63))</f>
        <v/>
      </c>
      <c r="B63" s="115" t="n"/>
      <c r="C63" s="116" t="n"/>
      <c r="D63" s="116" t="n"/>
      <c r="E63" s="116" t="n"/>
      <c r="F63" s="117" t="n"/>
      <c r="G63" s="116" t="n"/>
      <c r="H63" s="80">
        <f>IF(AND(E63="",F63="",G63=""),"EMPTY","OCCUPIED")</f>
        <v/>
      </c>
      <c r="I63" s="41">
        <f>IF(B63="","",IF(ISNUMBER(B63),MAX(0,TODAY()-B63),""))</f>
        <v/>
      </c>
      <c r="J63" s="115" t="n"/>
      <c r="K63" s="115" t="n"/>
      <c r="L63" s="115" t="n"/>
      <c r="M63" s="41">
        <f>IF(AND(H63="OCCUPIED",ISNUMBER(J63),K63=""),1,0)</f>
        <v/>
      </c>
      <c r="N63" s="41">
        <f>IF(M63=1,COUNTIF($M$2:M63,1),"")</f>
        <v/>
      </c>
      <c r="O63" s="41">
        <f>IF(AND(H63="OCCUPIED",ISNUMBER(J63),K63=""),--(TODAY()-J63&gt;5),0)</f>
        <v/>
      </c>
      <c r="P63" s="41">
        <f>IF(O63=1,COUNTIF($O$2:O63,1),"")</f>
        <v/>
      </c>
      <c r="Q63" s="49">
        <f>IF(OR(B63="",G63="",H63&lt;&gt;"OCCUPIED"),"",IF(ISNUMBER(SEARCH("WHEAT",G63)),SUMPRODUCT(--ISNUMBER(SEARCH("WHEAT",$G$2:$G$99)),--($H$2:$H$99="OCCUPIED"),--($B$2:$B$99&lt;&gt;""),--(IFERROR(VALUE(LEFT(RIGHT($G$2:$G$99,7),4)),999)&lt;IFERROR(VALUE(LEFT(RIGHT(G63,7),4)),999)))+SUMPRODUCT(--ISNUMBER(SEARCH("WHEAT",$G$2:$G$99)),--($H$2:$H$99="OCCUPIED"),--($B$2:$B$99&lt;&gt;""),--(IFERROR(VALUE(LEFT(RIGHT($G$2:$G$99,7),4)),999)=IFERROR(VALUE(LEFT(RIGHT(G63,7),4)),999)),--($B$2:$B$99&lt;B63))+SUMPRODUCT(--ISNUMBER(SEARCH("WHEAT",$G$2:$G$99)),--($H$2:$H$99="OCCUPIED"),--($B$2:$B$99&lt;&gt;""),--(IFERROR(VALUE(LEFT(RIGHT($G$2:$G$99,7),4)),999)=IFERROR(VALUE(LEFT(RIGHT(G63,7),4)),999)),--($B$2:$B$99=B63),--(ROW($B$2:$B$99)&lt;=ROW())),""))</f>
        <v/>
      </c>
      <c r="R63" s="49">
        <f>IF(OR(B63="",G63="",H63&lt;&gt;"OCCUPIED"),"",IF(ISERROR(SEARCH("WHEAT",G63)),SUMPRODUCT(--ISERROR(SEARCH("WHEAT",$G$2:$G$99)),--($H$2:$H$99="OCCUPIED"),--($B$2:$B$99&lt;&gt;""),--(IFERROR(VALUE(LEFT(RIGHT($G$2:$G$99,7),4)),999)&lt;IFERROR(VALUE(LEFT(RIGHT(G63,7),4)),999)))+SUMPRODUCT(--ISERROR(SEARCH("WHEAT",$G$2:$G$99)),--($H$2:$H$99="OCCUPIED"),--($B$2:$B$99&lt;&gt;""),--(IFERROR(VALUE(LEFT(RIGHT($G$2:$G$99,7),4)),999)=IFERROR(VALUE(LEFT(RIGHT(G63,7),4)),999)),--($B$2:$B$99&lt;B63))+SUMPRODUCT(--ISERROR(SEARCH("WHEAT",$G$2:$G$99)),--($H$2:$H$99="OCCUPIED"),--($B$2:$B$99&lt;&gt;""),--(IFERROR(VALUE(LEFT(RIGHT($G$2:$G$99,7),4)),999)=IFERROR(VALUE(LEFT(RIGHT(G63,7),4)),999)),--($B$2:$B$99=B63),--(ROW($B$2:$B$99)&lt;=ROW())),""))</f>
        <v/>
      </c>
      <c r="S63" s="54" t="n"/>
    </row>
    <row r="64" hidden="1" ht="15.75" customHeight="1" s="236">
      <c r="A64" s="80">
        <f>IF(D64="","",ROWS($D$2:D64))</f>
        <v/>
      </c>
      <c r="B64" s="115" t="n"/>
      <c r="C64" s="116" t="n"/>
      <c r="D64" s="116" t="n"/>
      <c r="E64" s="116" t="n"/>
      <c r="F64" s="117" t="n"/>
      <c r="G64" s="116" t="n"/>
      <c r="H64" s="80">
        <f>IF(AND(E64="",F64="",G64=""),"EMPTY","OCCUPIED")</f>
        <v/>
      </c>
      <c r="I64" s="41">
        <f>IF(B64="","",IF(ISNUMBER(B64),MAX(0,TODAY()-B64),""))</f>
        <v/>
      </c>
      <c r="J64" s="115" t="n"/>
      <c r="K64" s="115" t="n"/>
      <c r="L64" s="115" t="n"/>
      <c r="M64" s="41">
        <f>IF(AND(H64="OCCUPIED",ISNUMBER(J64),K64=""),1,0)</f>
        <v/>
      </c>
      <c r="N64" s="41">
        <f>IF(M64=1,COUNTIF($M$2:M64,1),"")</f>
        <v/>
      </c>
      <c r="O64" s="41">
        <f>IF(AND(H64="OCCUPIED",ISNUMBER(J64),K64=""),--(TODAY()-J64&gt;5),0)</f>
        <v/>
      </c>
      <c r="P64" s="41">
        <f>IF(O64=1,COUNTIF($O$2:O64,1),"")</f>
        <v/>
      </c>
      <c r="Q64" s="49">
        <f>IF(OR(B64="",G64="",H64&lt;&gt;"OCCUPIED"),"",IF(ISNUMBER(SEARCH("WHEAT",G64)),SUMPRODUCT(--ISNUMBER(SEARCH("WHEAT",$G$2:$G$99)),--($H$2:$H$99="OCCUPIED"),--($B$2:$B$99&lt;&gt;""),--(IFERROR(VALUE(LEFT(RIGHT($G$2:$G$99,7),4)),999)&lt;IFERROR(VALUE(LEFT(RIGHT(G64,7),4)),999)))+SUMPRODUCT(--ISNUMBER(SEARCH("WHEAT",$G$2:$G$99)),--($H$2:$H$99="OCCUPIED"),--($B$2:$B$99&lt;&gt;""),--(IFERROR(VALUE(LEFT(RIGHT($G$2:$G$99,7),4)),999)=IFERROR(VALUE(LEFT(RIGHT(G64,7),4)),999)),--($B$2:$B$99&lt;B64))+SUMPRODUCT(--ISNUMBER(SEARCH("WHEAT",$G$2:$G$99)),--($H$2:$H$99="OCCUPIED"),--($B$2:$B$99&lt;&gt;""),--(IFERROR(VALUE(LEFT(RIGHT($G$2:$G$99,7),4)),999)=IFERROR(VALUE(LEFT(RIGHT(G64,7),4)),999)),--($B$2:$B$99=B64),--(ROW($B$2:$B$99)&lt;=ROW())),""))</f>
        <v/>
      </c>
      <c r="R64" s="49">
        <f>IF(OR(B64="",G64="",H64&lt;&gt;"OCCUPIED"),"",IF(ISERROR(SEARCH("WHEAT",G64)),SUMPRODUCT(--ISERROR(SEARCH("WHEAT",$G$2:$G$99)),--($H$2:$H$99="OCCUPIED"),--($B$2:$B$99&lt;&gt;""),--(IFERROR(VALUE(LEFT(RIGHT($G$2:$G$99,7),4)),999)&lt;IFERROR(VALUE(LEFT(RIGHT(G64,7),4)),999)))+SUMPRODUCT(--ISERROR(SEARCH("WHEAT",$G$2:$G$99)),--($H$2:$H$99="OCCUPIED"),--($B$2:$B$99&lt;&gt;""),--(IFERROR(VALUE(LEFT(RIGHT($G$2:$G$99,7),4)),999)=IFERROR(VALUE(LEFT(RIGHT(G64,7),4)),999)),--($B$2:$B$99&lt;B64))+SUMPRODUCT(--ISERROR(SEARCH("WHEAT",$G$2:$G$99)),--($H$2:$H$99="OCCUPIED"),--($B$2:$B$99&lt;&gt;""),--(IFERROR(VALUE(LEFT(RIGHT($G$2:$G$99,7),4)),999)=IFERROR(VALUE(LEFT(RIGHT(G64,7),4)),999)),--($B$2:$B$99=B64),--(ROW($B$2:$B$99)&lt;=ROW())),""))</f>
        <v/>
      </c>
      <c r="S64" s="54" t="n"/>
    </row>
    <row r="65" hidden="1" ht="15.75" customHeight="1" s="236">
      <c r="A65" s="80">
        <f>IF(D65="","",ROWS($D$2:D65))</f>
        <v/>
      </c>
      <c r="B65" s="115" t="n"/>
      <c r="C65" s="116" t="n"/>
      <c r="D65" s="116" t="n"/>
      <c r="E65" s="116" t="n"/>
      <c r="F65" s="117" t="n"/>
      <c r="G65" s="116" t="n"/>
      <c r="H65" s="80">
        <f>IF(AND(E65="",F65="",G65=""),"EMPTY","OCCUPIED")</f>
        <v/>
      </c>
      <c r="I65" s="41">
        <f>IF(B65="","",IF(ISNUMBER(B65),MAX(0,TODAY()-B65),""))</f>
        <v/>
      </c>
      <c r="J65" s="115" t="n"/>
      <c r="K65" s="115" t="n"/>
      <c r="L65" s="115" t="n"/>
      <c r="M65" s="41">
        <f>IF(AND(H65="OCCUPIED",ISNUMBER(J65),K65=""),1,0)</f>
        <v/>
      </c>
      <c r="N65" s="41">
        <f>IF(M65=1,COUNTIF($M$2:M65,1),"")</f>
        <v/>
      </c>
      <c r="O65" s="41">
        <f>IF(AND(H65="OCCUPIED",ISNUMBER(J65),K65=""),--(TODAY()-J65&gt;5),0)</f>
        <v/>
      </c>
      <c r="P65" s="41">
        <f>IF(O65=1,COUNTIF($O$2:O65,1),"")</f>
        <v/>
      </c>
      <c r="Q65" s="49">
        <f>IF(OR(B65="",G65="",H65&lt;&gt;"OCCUPIED"),"",IF(ISNUMBER(SEARCH("WHEAT",G65)),SUMPRODUCT(--ISNUMBER(SEARCH("WHEAT",$G$2:$G$99)),--($H$2:$H$99="OCCUPIED"),--($B$2:$B$99&lt;&gt;""),--(IFERROR(VALUE(LEFT(RIGHT($G$2:$G$99,7),4)),999)&lt;IFERROR(VALUE(LEFT(RIGHT(G65,7),4)),999)))+SUMPRODUCT(--ISNUMBER(SEARCH("WHEAT",$G$2:$G$99)),--($H$2:$H$99="OCCUPIED"),--($B$2:$B$99&lt;&gt;""),--(IFERROR(VALUE(LEFT(RIGHT($G$2:$G$99,7),4)),999)=IFERROR(VALUE(LEFT(RIGHT(G65,7),4)),999)),--($B$2:$B$99&lt;B65))+SUMPRODUCT(--ISNUMBER(SEARCH("WHEAT",$G$2:$G$99)),--($H$2:$H$99="OCCUPIED"),--($B$2:$B$99&lt;&gt;""),--(IFERROR(VALUE(LEFT(RIGHT($G$2:$G$99,7),4)),999)=IFERROR(VALUE(LEFT(RIGHT(G65,7),4)),999)),--($B$2:$B$99=B65),--(ROW($B$2:$B$99)&lt;=ROW())),""))</f>
        <v/>
      </c>
      <c r="R65" s="49">
        <f>IF(OR(B65="",G65="",H65&lt;&gt;"OCCUPIED"),"",IF(ISERROR(SEARCH("WHEAT",G65)),SUMPRODUCT(--ISERROR(SEARCH("WHEAT",$G$2:$G$99)),--($H$2:$H$99="OCCUPIED"),--($B$2:$B$99&lt;&gt;""),--(IFERROR(VALUE(LEFT(RIGHT($G$2:$G$99,7),4)),999)&lt;IFERROR(VALUE(LEFT(RIGHT(G65,7),4)),999)))+SUMPRODUCT(--ISERROR(SEARCH("WHEAT",$G$2:$G$99)),--($H$2:$H$99="OCCUPIED"),--($B$2:$B$99&lt;&gt;""),--(IFERROR(VALUE(LEFT(RIGHT($G$2:$G$99,7),4)),999)=IFERROR(VALUE(LEFT(RIGHT(G65,7),4)),999)),--($B$2:$B$99&lt;B65))+SUMPRODUCT(--ISERROR(SEARCH("WHEAT",$G$2:$G$99)),--($H$2:$H$99="OCCUPIED"),--($B$2:$B$99&lt;&gt;""),--(IFERROR(VALUE(LEFT(RIGHT($G$2:$G$99,7),4)),999)=IFERROR(VALUE(LEFT(RIGHT(G65,7),4)),999)),--($B$2:$B$99=B65),--(ROW($B$2:$B$99)&lt;=ROW())),""))</f>
        <v/>
      </c>
      <c r="S65" s="54" t="n"/>
    </row>
    <row r="66" hidden="1" ht="15.75" customHeight="1" s="236">
      <c r="A66" s="80">
        <f>IF(D66="","",ROWS($D$2:D66))</f>
        <v/>
      </c>
      <c r="B66" s="115" t="n"/>
      <c r="C66" s="116" t="n"/>
      <c r="D66" s="116" t="n"/>
      <c r="E66" s="116" t="n"/>
      <c r="F66" s="117" t="n"/>
      <c r="G66" s="116" t="n"/>
      <c r="H66" s="80">
        <f>IF(AND(E66="",F66="",G66=""),"EMPTY","OCCUPIED")</f>
        <v/>
      </c>
      <c r="I66" s="41">
        <f>IF(B66="","",IF(ISNUMBER(B66),MAX(0,TODAY()-B66),""))</f>
        <v/>
      </c>
      <c r="J66" s="115" t="n"/>
      <c r="K66" s="115" t="n"/>
      <c r="L66" s="115" t="n"/>
      <c r="M66" s="41">
        <f>IF(AND(H66="OCCUPIED",ISNUMBER(J66),K66=""),1,0)</f>
        <v/>
      </c>
      <c r="N66" s="41">
        <f>IF(M66=1,COUNTIF($M$2:M66,1),"")</f>
        <v/>
      </c>
      <c r="O66" s="41">
        <f>IF(AND(H66="OCCUPIED",ISNUMBER(J66),K66=""),--(TODAY()-J66&gt;5),0)</f>
        <v/>
      </c>
      <c r="P66" s="41">
        <f>IF(O66=1,COUNTIF($O$2:O66,1),"")</f>
        <v/>
      </c>
      <c r="Q66" s="49">
        <f>IF(OR(B66="",G66="",H66&lt;&gt;"OCCUPIED"),"",IF(ISNUMBER(SEARCH("WHEAT",G66)),SUMPRODUCT(--ISNUMBER(SEARCH("WHEAT",$G$2:$G$99)),--($H$2:$H$99="OCCUPIED"),--($B$2:$B$99&lt;&gt;""),--(IFERROR(VALUE(LEFT(RIGHT($G$2:$G$99,7),4)),999)&lt;IFERROR(VALUE(LEFT(RIGHT(G66,7),4)),999)))+SUMPRODUCT(--ISNUMBER(SEARCH("WHEAT",$G$2:$G$99)),--($H$2:$H$99="OCCUPIED"),--($B$2:$B$99&lt;&gt;""),--(IFERROR(VALUE(LEFT(RIGHT($G$2:$G$99,7),4)),999)=IFERROR(VALUE(LEFT(RIGHT(G66,7),4)),999)),--($B$2:$B$99&lt;B66))+SUMPRODUCT(--ISNUMBER(SEARCH("WHEAT",$G$2:$G$99)),--($H$2:$H$99="OCCUPIED"),--($B$2:$B$99&lt;&gt;""),--(IFERROR(VALUE(LEFT(RIGHT($G$2:$G$99,7),4)),999)=IFERROR(VALUE(LEFT(RIGHT(G66,7),4)),999)),--($B$2:$B$99=B66),--(ROW($B$2:$B$99)&lt;=ROW())),""))</f>
        <v/>
      </c>
      <c r="R66" s="49">
        <f>IF(OR(B66="",G66="",H66&lt;&gt;"OCCUPIED"),"",IF(ISERROR(SEARCH("WHEAT",G66)),SUMPRODUCT(--ISERROR(SEARCH("WHEAT",$G$2:$G$99)),--($H$2:$H$99="OCCUPIED"),--($B$2:$B$99&lt;&gt;""),--(IFERROR(VALUE(LEFT(RIGHT($G$2:$G$99,7),4)),999)&lt;IFERROR(VALUE(LEFT(RIGHT(G66,7),4)),999)))+SUMPRODUCT(--ISERROR(SEARCH("WHEAT",$G$2:$G$99)),--($H$2:$H$99="OCCUPIED"),--($B$2:$B$99&lt;&gt;""),--(IFERROR(VALUE(LEFT(RIGHT($G$2:$G$99,7),4)),999)=IFERROR(VALUE(LEFT(RIGHT(G66,7),4)),999)),--($B$2:$B$99&lt;B66))+SUMPRODUCT(--ISERROR(SEARCH("WHEAT",$G$2:$G$99)),--($H$2:$H$99="OCCUPIED"),--($B$2:$B$99&lt;&gt;""),--(IFERROR(VALUE(LEFT(RIGHT($G$2:$G$99,7),4)),999)=IFERROR(VALUE(LEFT(RIGHT(G66,7),4)),999)),--($B$2:$B$99=B66),--(ROW($B$2:$B$99)&lt;=ROW())),""))</f>
        <v/>
      </c>
      <c r="S66" s="54" t="n"/>
    </row>
    <row r="67" hidden="1" ht="15.75" customHeight="1" s="236">
      <c r="A67" s="80">
        <f>IF(D67="","",ROWS($D$2:D67))</f>
        <v/>
      </c>
      <c r="B67" s="115" t="n"/>
      <c r="C67" s="116" t="n"/>
      <c r="D67" s="116" t="n"/>
      <c r="E67" s="116" t="n"/>
      <c r="F67" s="117" t="n"/>
      <c r="G67" s="116" t="n"/>
      <c r="H67" s="80">
        <f>IF(AND(E67="",F67="",G67=""),"EMPTY","OCCUPIED")</f>
        <v/>
      </c>
      <c r="I67" s="41">
        <f>IF(B67="","",IF(ISNUMBER(B67),MAX(0,TODAY()-B67),""))</f>
        <v/>
      </c>
      <c r="J67" s="115" t="n"/>
      <c r="K67" s="115" t="n"/>
      <c r="L67" s="115" t="n"/>
      <c r="M67" s="41">
        <f>IF(AND(H67="OCCUPIED",ISNUMBER(J67),K67=""),1,0)</f>
        <v/>
      </c>
      <c r="N67" s="41">
        <f>IF(M67=1,COUNTIF($M$2:M67,1),"")</f>
        <v/>
      </c>
      <c r="O67" s="41">
        <f>IF(AND(H67="OCCUPIED",ISNUMBER(J67),K67=""),--(TODAY()-J67&gt;5),0)</f>
        <v/>
      </c>
      <c r="P67" s="41">
        <f>IF(O67=1,COUNTIF($O$2:O67,1),"")</f>
        <v/>
      </c>
      <c r="Q67" s="49">
        <f>IF(OR(B67="",G67="",H67&lt;&gt;"OCCUPIED"),"",IF(ISNUMBER(SEARCH("WHEAT",G67)),SUMPRODUCT(--ISNUMBER(SEARCH("WHEAT",$G$2:$G$99)),--($H$2:$H$99="OCCUPIED"),--($B$2:$B$99&lt;&gt;""),--(IFERROR(VALUE(LEFT(RIGHT($G$2:$G$99,7),4)),999)&lt;IFERROR(VALUE(LEFT(RIGHT(G67,7),4)),999)))+SUMPRODUCT(--ISNUMBER(SEARCH("WHEAT",$G$2:$G$99)),--($H$2:$H$99="OCCUPIED"),--($B$2:$B$99&lt;&gt;""),--(IFERROR(VALUE(LEFT(RIGHT($G$2:$G$99,7),4)),999)=IFERROR(VALUE(LEFT(RIGHT(G67,7),4)),999)),--($B$2:$B$99&lt;B67))+SUMPRODUCT(--ISNUMBER(SEARCH("WHEAT",$G$2:$G$99)),--($H$2:$H$99="OCCUPIED"),--($B$2:$B$99&lt;&gt;""),--(IFERROR(VALUE(LEFT(RIGHT($G$2:$G$99,7),4)),999)=IFERROR(VALUE(LEFT(RIGHT(G67,7),4)),999)),--($B$2:$B$99=B67),--(ROW($B$2:$B$99)&lt;=ROW())),""))</f>
        <v/>
      </c>
      <c r="R67" s="49">
        <f>IF(OR(B67="",G67="",H67&lt;&gt;"OCCUPIED"),"",IF(ISERROR(SEARCH("WHEAT",G67)),SUMPRODUCT(--ISERROR(SEARCH("WHEAT",$G$2:$G$99)),--($H$2:$H$99="OCCUPIED"),--($B$2:$B$99&lt;&gt;""),--(IFERROR(VALUE(LEFT(RIGHT($G$2:$G$99,7),4)),999)&lt;IFERROR(VALUE(LEFT(RIGHT(G67,7),4)),999)))+SUMPRODUCT(--ISERROR(SEARCH("WHEAT",$G$2:$G$99)),--($H$2:$H$99="OCCUPIED"),--($B$2:$B$99&lt;&gt;""),--(IFERROR(VALUE(LEFT(RIGHT($G$2:$G$99,7),4)),999)=IFERROR(VALUE(LEFT(RIGHT(G67,7),4)),999)),--($B$2:$B$99&lt;B67))+SUMPRODUCT(--ISERROR(SEARCH("WHEAT",$G$2:$G$99)),--($H$2:$H$99="OCCUPIED"),--($B$2:$B$99&lt;&gt;""),--(IFERROR(VALUE(LEFT(RIGHT($G$2:$G$99,7),4)),999)=IFERROR(VALUE(LEFT(RIGHT(G67,7),4)),999)),--($B$2:$B$99=B67),--(ROW($B$2:$B$99)&lt;=ROW())),""))</f>
        <v/>
      </c>
      <c r="S67" s="54" t="n"/>
    </row>
    <row r="68" hidden="1" ht="15.75" customHeight="1" s="236">
      <c r="A68" s="80">
        <f>IF(D68="","",ROWS($D$2:D68))</f>
        <v/>
      </c>
      <c r="B68" s="115" t="n"/>
      <c r="C68" s="116" t="n"/>
      <c r="D68" s="116" t="n"/>
      <c r="E68" s="116" t="n"/>
      <c r="F68" s="117" t="n"/>
      <c r="G68" s="116" t="n"/>
      <c r="H68" s="80">
        <f>IF(AND(E68="",F68="",G68=""),"EMPTY","OCCUPIED")</f>
        <v/>
      </c>
      <c r="I68" s="41">
        <f>IF(B68="","",IF(ISNUMBER(B68),MAX(0,TODAY()-B68),""))</f>
        <v/>
      </c>
      <c r="J68" s="115" t="n"/>
      <c r="K68" s="115" t="n"/>
      <c r="L68" s="115" t="n"/>
      <c r="M68" s="41">
        <f>IF(AND(H68="OCCUPIED",ISNUMBER(J68),K68=""),1,0)</f>
        <v/>
      </c>
      <c r="N68" s="41">
        <f>IF(M68=1,COUNTIF($M$2:M68,1),"")</f>
        <v/>
      </c>
      <c r="O68" s="41">
        <f>IF(AND(H68="OCCUPIED",ISNUMBER(J68),K68=""),--(TODAY()-J68&gt;5),0)</f>
        <v/>
      </c>
      <c r="P68" s="41">
        <f>IF(O68=1,COUNTIF($O$2:O68,1),"")</f>
        <v/>
      </c>
      <c r="Q68" s="49">
        <f>IF(OR(B68="",G68="",H68&lt;&gt;"OCCUPIED"),"",IF(ISNUMBER(SEARCH("WHEAT",G68)),SUMPRODUCT(--ISNUMBER(SEARCH("WHEAT",$G$2:$G$99)),--($H$2:$H$99="OCCUPIED"),--($B$2:$B$99&lt;&gt;""),--(IFERROR(VALUE(LEFT(RIGHT($G$2:$G$99,7),4)),999)&lt;IFERROR(VALUE(LEFT(RIGHT(G68,7),4)),999)))+SUMPRODUCT(--ISNUMBER(SEARCH("WHEAT",$G$2:$G$99)),--($H$2:$H$99="OCCUPIED"),--($B$2:$B$99&lt;&gt;""),--(IFERROR(VALUE(LEFT(RIGHT($G$2:$G$99,7),4)),999)=IFERROR(VALUE(LEFT(RIGHT(G68,7),4)),999)),--($B$2:$B$99&lt;B68))+SUMPRODUCT(--ISNUMBER(SEARCH("WHEAT",$G$2:$G$99)),--($H$2:$H$99="OCCUPIED"),--($B$2:$B$99&lt;&gt;""),--(IFERROR(VALUE(LEFT(RIGHT($G$2:$G$99,7),4)),999)=IFERROR(VALUE(LEFT(RIGHT(G68,7),4)),999)),--($B$2:$B$99=B68),--(ROW($B$2:$B$99)&lt;=ROW())),""))</f>
        <v/>
      </c>
      <c r="R68" s="49">
        <f>IF(OR(B68="",G68="",H68&lt;&gt;"OCCUPIED"),"",IF(ISERROR(SEARCH("WHEAT",G68)),SUMPRODUCT(--ISERROR(SEARCH("WHEAT",$G$2:$G$99)),--($H$2:$H$99="OCCUPIED"),--($B$2:$B$99&lt;&gt;""),--(IFERROR(VALUE(LEFT(RIGHT($G$2:$G$99,7),4)),999)&lt;IFERROR(VALUE(LEFT(RIGHT(G68,7),4)),999)))+SUMPRODUCT(--ISERROR(SEARCH("WHEAT",$G$2:$G$99)),--($H$2:$H$99="OCCUPIED"),--($B$2:$B$99&lt;&gt;""),--(IFERROR(VALUE(LEFT(RIGHT($G$2:$G$99,7),4)),999)=IFERROR(VALUE(LEFT(RIGHT(G68,7),4)),999)),--($B$2:$B$99&lt;B68))+SUMPRODUCT(--ISERROR(SEARCH("WHEAT",$G$2:$G$99)),--($H$2:$H$99="OCCUPIED"),--($B$2:$B$99&lt;&gt;""),--(IFERROR(VALUE(LEFT(RIGHT($G$2:$G$99,7),4)),999)=IFERROR(VALUE(LEFT(RIGHT(G68,7),4)),999)),--($B$2:$B$99=B68),--(ROW($B$2:$B$99)&lt;=ROW())),""))</f>
        <v/>
      </c>
      <c r="S68" s="54" t="n"/>
    </row>
    <row r="69" hidden="1" ht="15.75" customHeight="1" s="236">
      <c r="A69" s="80">
        <f>IF(D69="","",ROWS($D$2:D69))</f>
        <v/>
      </c>
      <c r="B69" s="115" t="n"/>
      <c r="C69" s="116" t="n"/>
      <c r="D69" s="116" t="n"/>
      <c r="E69" s="116" t="n"/>
      <c r="F69" s="117" t="n"/>
      <c r="G69" s="116" t="n"/>
      <c r="H69" s="80">
        <f>IF(AND(E69="",F69="",G69=""),"EMPTY","OCCUPIED")</f>
        <v/>
      </c>
      <c r="I69" s="41">
        <f>IF(B69="","",IF(ISNUMBER(B69),MAX(0,TODAY()-B69),""))</f>
        <v/>
      </c>
      <c r="J69" s="115" t="n"/>
      <c r="K69" s="115" t="n"/>
      <c r="L69" s="115" t="n"/>
      <c r="M69" s="41">
        <f>IF(AND(H69="OCCUPIED",ISNUMBER(J69),K69=""),1,0)</f>
        <v/>
      </c>
      <c r="N69" s="41">
        <f>IF(M69=1,COUNTIF($M$2:M69,1),"")</f>
        <v/>
      </c>
      <c r="O69" s="41">
        <f>IF(AND(H69="OCCUPIED",ISNUMBER(J69),K69=""),--(TODAY()-J69&gt;5),0)</f>
        <v/>
      </c>
      <c r="P69" s="41">
        <f>IF(O69=1,COUNTIF($O$2:O69,1),"")</f>
        <v/>
      </c>
      <c r="Q69" s="49">
        <f>IF(OR(B69="",G69="",H69&lt;&gt;"OCCUPIED"),"",IF(ISNUMBER(SEARCH("WHEAT",G69)),SUMPRODUCT(--ISNUMBER(SEARCH("WHEAT",$G$2:$G$99)),--($H$2:$H$99="OCCUPIED"),--($B$2:$B$99&lt;&gt;""),--(IFERROR(VALUE(LEFT(RIGHT($G$2:$G$99,7),4)),999)&lt;IFERROR(VALUE(LEFT(RIGHT(G69,7),4)),999)))+SUMPRODUCT(--ISNUMBER(SEARCH("WHEAT",$G$2:$G$99)),--($H$2:$H$99="OCCUPIED"),--($B$2:$B$99&lt;&gt;""),--(IFERROR(VALUE(LEFT(RIGHT($G$2:$G$99,7),4)),999)=IFERROR(VALUE(LEFT(RIGHT(G69,7),4)),999)),--($B$2:$B$99&lt;B69))+SUMPRODUCT(--ISNUMBER(SEARCH("WHEAT",$G$2:$G$99)),--($H$2:$H$99="OCCUPIED"),--($B$2:$B$99&lt;&gt;""),--(IFERROR(VALUE(LEFT(RIGHT($G$2:$G$99,7),4)),999)=IFERROR(VALUE(LEFT(RIGHT(G69,7),4)),999)),--($B$2:$B$99=B69),--(ROW($B$2:$B$99)&lt;=ROW())),""))</f>
        <v/>
      </c>
      <c r="R69" s="49">
        <f>IF(OR(B69="",G69="",H69&lt;&gt;"OCCUPIED"),"",IF(ISERROR(SEARCH("WHEAT",G69)),SUMPRODUCT(--ISERROR(SEARCH("WHEAT",$G$2:$G$99)),--($H$2:$H$99="OCCUPIED"),--($B$2:$B$99&lt;&gt;""),--(IFERROR(VALUE(LEFT(RIGHT($G$2:$G$99,7),4)),999)&lt;IFERROR(VALUE(LEFT(RIGHT(G69,7),4)),999)))+SUMPRODUCT(--ISERROR(SEARCH("WHEAT",$G$2:$G$99)),--($H$2:$H$99="OCCUPIED"),--($B$2:$B$99&lt;&gt;""),--(IFERROR(VALUE(LEFT(RIGHT($G$2:$G$99,7),4)),999)=IFERROR(VALUE(LEFT(RIGHT(G69,7),4)),999)),--($B$2:$B$99&lt;B69))+SUMPRODUCT(--ISERROR(SEARCH("WHEAT",$G$2:$G$99)),--($H$2:$H$99="OCCUPIED"),--($B$2:$B$99&lt;&gt;""),--(IFERROR(VALUE(LEFT(RIGHT($G$2:$G$99,7),4)),999)=IFERROR(VALUE(LEFT(RIGHT(G69,7),4)),999)),--($B$2:$B$99=B69),--(ROW($B$2:$B$99)&lt;=ROW())),""))</f>
        <v/>
      </c>
      <c r="S69" s="54" t="n"/>
    </row>
    <row r="70" hidden="1" ht="15.75" customHeight="1" s="236">
      <c r="A70" s="80">
        <f>IF(D70="","",ROWS($D$2:D70))</f>
        <v/>
      </c>
      <c r="B70" s="115" t="n"/>
      <c r="C70" s="116" t="n"/>
      <c r="D70" s="116" t="n"/>
      <c r="E70" s="116" t="n"/>
      <c r="F70" s="117" t="n"/>
      <c r="G70" s="116" t="n"/>
      <c r="H70" s="80">
        <f>IF(AND(E70="",F70="",G70=""),"EMPTY","OCCUPIED")</f>
        <v/>
      </c>
      <c r="I70" s="41">
        <f>IF(B70="","",IF(ISNUMBER(B70),MAX(0,TODAY()-B70),""))</f>
        <v/>
      </c>
      <c r="J70" s="115" t="n"/>
      <c r="K70" s="115" t="n"/>
      <c r="L70" s="115" t="n"/>
      <c r="M70" s="41">
        <f>IF(AND(H70="OCCUPIED",ISNUMBER(J70),K70=""),1,0)</f>
        <v/>
      </c>
      <c r="N70" s="41">
        <f>IF(M70=1,COUNTIF($M$2:M70,1),"")</f>
        <v/>
      </c>
      <c r="O70" s="41">
        <f>IF(AND(H70="OCCUPIED",ISNUMBER(J70),K70=""),--(TODAY()-J70&gt;5),0)</f>
        <v/>
      </c>
      <c r="P70" s="41">
        <f>IF(O70=1,COUNTIF($O$2:O70,1),"")</f>
        <v/>
      </c>
      <c r="Q70" s="49">
        <f>IF(OR(B70="",G70="",H70&lt;&gt;"OCCUPIED"),"",IF(ISNUMBER(SEARCH("WHEAT",G70)),SUMPRODUCT(--ISNUMBER(SEARCH("WHEAT",$G$2:$G$99)),--($H$2:$H$99="OCCUPIED"),--($B$2:$B$99&lt;&gt;""),--(IFERROR(VALUE(LEFT(RIGHT($G$2:$G$99,7),4)),999)&lt;IFERROR(VALUE(LEFT(RIGHT(G70,7),4)),999)))+SUMPRODUCT(--ISNUMBER(SEARCH("WHEAT",$G$2:$G$99)),--($H$2:$H$99="OCCUPIED"),--($B$2:$B$99&lt;&gt;""),--(IFERROR(VALUE(LEFT(RIGHT($G$2:$G$99,7),4)),999)=IFERROR(VALUE(LEFT(RIGHT(G70,7),4)),999)),--($B$2:$B$99&lt;B70))+SUMPRODUCT(--ISNUMBER(SEARCH("WHEAT",$G$2:$G$99)),--($H$2:$H$99="OCCUPIED"),--($B$2:$B$99&lt;&gt;""),--(IFERROR(VALUE(LEFT(RIGHT($G$2:$G$99,7),4)),999)=IFERROR(VALUE(LEFT(RIGHT(G70,7),4)),999)),--($B$2:$B$99=B70),--(ROW($B$2:$B$99)&lt;=ROW())),""))</f>
        <v/>
      </c>
      <c r="R70" s="49">
        <f>IF(OR(B70="",G70="",H70&lt;&gt;"OCCUPIED"),"",IF(ISERROR(SEARCH("WHEAT",G70)),SUMPRODUCT(--ISERROR(SEARCH("WHEAT",$G$2:$G$99)),--($H$2:$H$99="OCCUPIED"),--($B$2:$B$99&lt;&gt;""),--(IFERROR(VALUE(LEFT(RIGHT($G$2:$G$99,7),4)),999)&lt;IFERROR(VALUE(LEFT(RIGHT(G70,7),4)),999)))+SUMPRODUCT(--ISERROR(SEARCH("WHEAT",$G$2:$G$99)),--($H$2:$H$99="OCCUPIED"),--($B$2:$B$99&lt;&gt;""),--(IFERROR(VALUE(LEFT(RIGHT($G$2:$G$99,7),4)),999)=IFERROR(VALUE(LEFT(RIGHT(G70,7),4)),999)),--($B$2:$B$99&lt;B70))+SUMPRODUCT(--ISERROR(SEARCH("WHEAT",$G$2:$G$99)),--($H$2:$H$99="OCCUPIED"),--($B$2:$B$99&lt;&gt;""),--(IFERROR(VALUE(LEFT(RIGHT($G$2:$G$99,7),4)),999)=IFERROR(VALUE(LEFT(RIGHT(G70,7),4)),999)),--($B$2:$B$99=B70),--(ROW($B$2:$B$99)&lt;=ROW())),""))</f>
        <v/>
      </c>
      <c r="S70" s="54" t="n"/>
    </row>
    <row r="71" hidden="1" ht="15.75" customHeight="1" s="236">
      <c r="A71" s="80">
        <f>IF(D71="","",ROWS($D$2:D71))</f>
        <v/>
      </c>
      <c r="B71" s="115" t="n"/>
      <c r="C71" s="116" t="n"/>
      <c r="D71" s="116" t="n"/>
      <c r="E71" s="116" t="n"/>
      <c r="F71" s="117" t="n"/>
      <c r="G71" s="116" t="n"/>
      <c r="H71" s="80">
        <f>IF(AND(E71="",F71="",G71=""),"EMPTY","OCCUPIED")</f>
        <v/>
      </c>
      <c r="I71" s="41">
        <f>IF(B71="","",IF(ISNUMBER(B71),MAX(0,TODAY()-B71),""))</f>
        <v/>
      </c>
      <c r="J71" s="115" t="n"/>
      <c r="K71" s="115" t="n"/>
      <c r="L71" s="115" t="n"/>
      <c r="M71" s="41">
        <f>IF(AND(H71="OCCUPIED",ISNUMBER(J71),K71=""),1,0)</f>
        <v/>
      </c>
      <c r="N71" s="41">
        <f>IF(M71=1,COUNTIF($M$2:M71,1),"")</f>
        <v/>
      </c>
      <c r="O71" s="41">
        <f>IF(AND(H71="OCCUPIED",ISNUMBER(J71),K71=""),--(TODAY()-J71&gt;5),0)</f>
        <v/>
      </c>
      <c r="P71" s="41">
        <f>IF(O71=1,COUNTIF($O$2:O71,1),"")</f>
        <v/>
      </c>
      <c r="Q71" s="49">
        <f>IF(OR(B71="",G71="",H71&lt;&gt;"OCCUPIED"),"",IF(ISNUMBER(SEARCH("WHEAT",G71)),SUMPRODUCT(--ISNUMBER(SEARCH("WHEAT",$G$2:$G$99)),--($H$2:$H$99="OCCUPIED"),--($B$2:$B$99&lt;&gt;""),--(IFERROR(VALUE(LEFT(RIGHT($G$2:$G$99,7),4)),999)&lt;IFERROR(VALUE(LEFT(RIGHT(G71,7),4)),999)))+SUMPRODUCT(--ISNUMBER(SEARCH("WHEAT",$G$2:$G$99)),--($H$2:$H$99="OCCUPIED"),--($B$2:$B$99&lt;&gt;""),--(IFERROR(VALUE(LEFT(RIGHT($G$2:$G$99,7),4)),999)=IFERROR(VALUE(LEFT(RIGHT(G71,7),4)),999)),--($B$2:$B$99&lt;B71))+SUMPRODUCT(--ISNUMBER(SEARCH("WHEAT",$G$2:$G$99)),--($H$2:$H$99="OCCUPIED"),--($B$2:$B$99&lt;&gt;""),--(IFERROR(VALUE(LEFT(RIGHT($G$2:$G$99,7),4)),999)=IFERROR(VALUE(LEFT(RIGHT(G71,7),4)),999)),--($B$2:$B$99=B71),--(ROW($B$2:$B$99)&lt;=ROW())),""))</f>
        <v/>
      </c>
      <c r="R71" s="49">
        <f>IF(OR(B71="",G71="",H71&lt;&gt;"OCCUPIED"),"",IF(ISERROR(SEARCH("WHEAT",G71)),SUMPRODUCT(--ISERROR(SEARCH("WHEAT",$G$2:$G$99)),--($H$2:$H$99="OCCUPIED"),--($B$2:$B$99&lt;&gt;""),--(IFERROR(VALUE(LEFT(RIGHT($G$2:$G$99,7),4)),999)&lt;IFERROR(VALUE(LEFT(RIGHT(G71,7),4)),999)))+SUMPRODUCT(--ISERROR(SEARCH("WHEAT",$G$2:$G$99)),--($H$2:$H$99="OCCUPIED"),--($B$2:$B$99&lt;&gt;""),--(IFERROR(VALUE(LEFT(RIGHT($G$2:$G$99,7),4)),999)=IFERROR(VALUE(LEFT(RIGHT(G71,7),4)),999)),--($B$2:$B$99&lt;B71))+SUMPRODUCT(--ISERROR(SEARCH("WHEAT",$G$2:$G$99)),--($H$2:$H$99="OCCUPIED"),--($B$2:$B$99&lt;&gt;""),--(IFERROR(VALUE(LEFT(RIGHT($G$2:$G$99,7),4)),999)=IFERROR(VALUE(LEFT(RIGHT(G71,7),4)),999)),--($B$2:$B$99=B71),--(ROW($B$2:$B$99)&lt;=ROW())),""))</f>
        <v/>
      </c>
      <c r="S71" s="54" t="n"/>
    </row>
    <row r="72" hidden="1" ht="15.75" customHeight="1" s="236">
      <c r="A72" s="80">
        <f>IF(D72="","",ROWS($D$2:D72))</f>
        <v/>
      </c>
      <c r="B72" s="115" t="n"/>
      <c r="C72" s="116" t="n"/>
      <c r="D72" s="116" t="n"/>
      <c r="E72" s="116" t="n"/>
      <c r="F72" s="117" t="n"/>
      <c r="G72" s="116" t="n"/>
      <c r="H72" s="80">
        <f>IF(AND(E72="",F72="",G72=""),"EMPTY","OCCUPIED")</f>
        <v/>
      </c>
      <c r="I72" s="41">
        <f>IF(B72="","",IF(ISNUMBER(B72),MAX(0,TODAY()-B72),""))</f>
        <v/>
      </c>
      <c r="J72" s="115" t="n"/>
      <c r="K72" s="115" t="n"/>
      <c r="L72" s="115" t="n"/>
      <c r="M72" s="41">
        <f>IF(AND(H72="OCCUPIED",ISNUMBER(J72),K72=""),1,0)</f>
        <v/>
      </c>
      <c r="N72" s="41">
        <f>IF(M72=1,COUNTIF($M$2:M72,1),"")</f>
        <v/>
      </c>
      <c r="O72" s="41">
        <f>IF(AND(H72="OCCUPIED",ISNUMBER(J72),K72=""),--(TODAY()-J72&gt;5),0)</f>
        <v/>
      </c>
      <c r="P72" s="41">
        <f>IF(O72=1,COUNTIF($O$2:O72,1),"")</f>
        <v/>
      </c>
      <c r="Q72" s="49">
        <f>IF(OR(B72="",G72="",H72&lt;&gt;"OCCUPIED"),"",IF(ISNUMBER(SEARCH("WHEAT",G72)),SUMPRODUCT(--ISNUMBER(SEARCH("WHEAT",$G$2:$G$99)),--($H$2:$H$99="OCCUPIED"),--($B$2:$B$99&lt;&gt;""),--(IFERROR(VALUE(LEFT(RIGHT($G$2:$G$99,7),4)),999)&lt;IFERROR(VALUE(LEFT(RIGHT(G72,7),4)),999)))+SUMPRODUCT(--ISNUMBER(SEARCH("WHEAT",$G$2:$G$99)),--($H$2:$H$99="OCCUPIED"),--($B$2:$B$99&lt;&gt;""),--(IFERROR(VALUE(LEFT(RIGHT($G$2:$G$99,7),4)),999)=IFERROR(VALUE(LEFT(RIGHT(G72,7),4)),999)),--($B$2:$B$99&lt;B72))+SUMPRODUCT(--ISNUMBER(SEARCH("WHEAT",$G$2:$G$99)),--($H$2:$H$99="OCCUPIED"),--($B$2:$B$99&lt;&gt;""),--(IFERROR(VALUE(LEFT(RIGHT($G$2:$G$99,7),4)),999)=IFERROR(VALUE(LEFT(RIGHT(G72,7),4)),999)),--($B$2:$B$99=B72),--(ROW($B$2:$B$99)&lt;=ROW())),""))</f>
        <v/>
      </c>
      <c r="R72" s="49">
        <f>IF(OR(B72="",G72="",H72&lt;&gt;"OCCUPIED"),"",IF(ISERROR(SEARCH("WHEAT",G72)),SUMPRODUCT(--ISERROR(SEARCH("WHEAT",$G$2:$G$99)),--($H$2:$H$99="OCCUPIED"),--($B$2:$B$99&lt;&gt;""),--(IFERROR(VALUE(LEFT(RIGHT($G$2:$G$99,7),4)),999)&lt;IFERROR(VALUE(LEFT(RIGHT(G72,7),4)),999)))+SUMPRODUCT(--ISERROR(SEARCH("WHEAT",$G$2:$G$99)),--($H$2:$H$99="OCCUPIED"),--($B$2:$B$99&lt;&gt;""),--(IFERROR(VALUE(LEFT(RIGHT($G$2:$G$99,7),4)),999)=IFERROR(VALUE(LEFT(RIGHT(G72,7),4)),999)),--($B$2:$B$99&lt;B72))+SUMPRODUCT(--ISERROR(SEARCH("WHEAT",$G$2:$G$99)),--($H$2:$H$99="OCCUPIED"),--($B$2:$B$99&lt;&gt;""),--(IFERROR(VALUE(LEFT(RIGHT($G$2:$G$99,7),4)),999)=IFERROR(VALUE(LEFT(RIGHT(G72,7),4)),999)),--($B$2:$B$99=B72),--(ROW($B$2:$B$99)&lt;=ROW())),""))</f>
        <v/>
      </c>
      <c r="S72" s="54" t="n"/>
    </row>
    <row r="73" hidden="1" ht="15.75" customHeight="1" s="236">
      <c r="A73" s="80">
        <f>IF(D73="","",ROWS($D$2:D73))</f>
        <v/>
      </c>
      <c r="B73" s="115" t="n"/>
      <c r="C73" s="116" t="n"/>
      <c r="D73" s="116" t="n"/>
      <c r="E73" s="116" t="n"/>
      <c r="F73" s="117" t="n"/>
      <c r="G73" s="116" t="n"/>
      <c r="H73" s="80">
        <f>IF(AND(E73="",F73="",G73=""),"EMPTY","OCCUPIED")</f>
        <v/>
      </c>
      <c r="I73" s="41">
        <f>IF(B73="","",IF(ISNUMBER(B73),MAX(0,TODAY()-B73),""))</f>
        <v/>
      </c>
      <c r="J73" s="115" t="n"/>
      <c r="K73" s="115" t="n"/>
      <c r="L73" s="115" t="n"/>
      <c r="M73" s="41">
        <f>IF(AND(H73="OCCUPIED",ISNUMBER(J73),K73=""),1,0)</f>
        <v/>
      </c>
      <c r="N73" s="41">
        <f>IF(M73=1,COUNTIF($M$2:M73,1),"")</f>
        <v/>
      </c>
      <c r="O73" s="41">
        <f>IF(AND(H73="OCCUPIED",ISNUMBER(J73),K73=""),--(TODAY()-J73&gt;5),0)</f>
        <v/>
      </c>
      <c r="P73" s="41">
        <f>IF(O73=1,COUNTIF($O$2:O73,1),"")</f>
        <v/>
      </c>
      <c r="Q73" s="49">
        <f>IF(OR(B73="",G73="",H73&lt;&gt;"OCCUPIED"),"",IF(ISNUMBER(SEARCH("WHEAT",G73)),SUMPRODUCT(--ISNUMBER(SEARCH("WHEAT",$G$2:$G$99)),--($H$2:$H$99="OCCUPIED"),--($B$2:$B$99&lt;&gt;""),--(IFERROR(VALUE(LEFT(RIGHT($G$2:$G$99,7),4)),999)&lt;IFERROR(VALUE(LEFT(RIGHT(G73,7),4)),999)))+SUMPRODUCT(--ISNUMBER(SEARCH("WHEAT",$G$2:$G$99)),--($H$2:$H$99="OCCUPIED"),--($B$2:$B$99&lt;&gt;""),--(IFERROR(VALUE(LEFT(RIGHT($G$2:$G$99,7),4)),999)=IFERROR(VALUE(LEFT(RIGHT(G73,7),4)),999)),--($B$2:$B$99&lt;B73))+SUMPRODUCT(--ISNUMBER(SEARCH("WHEAT",$G$2:$G$99)),--($H$2:$H$99="OCCUPIED"),--($B$2:$B$99&lt;&gt;""),--(IFERROR(VALUE(LEFT(RIGHT($G$2:$G$99,7),4)),999)=IFERROR(VALUE(LEFT(RIGHT(G73,7),4)),999)),--($B$2:$B$99=B73),--(ROW($B$2:$B$99)&lt;=ROW())),""))</f>
        <v/>
      </c>
      <c r="R73" s="49">
        <f>IF(OR(B73="",G73="",H73&lt;&gt;"OCCUPIED"),"",IF(ISERROR(SEARCH("WHEAT",G73)),SUMPRODUCT(--ISERROR(SEARCH("WHEAT",$G$2:$G$99)),--($H$2:$H$99="OCCUPIED"),--($B$2:$B$99&lt;&gt;""),--(IFERROR(VALUE(LEFT(RIGHT($G$2:$G$99,7),4)),999)&lt;IFERROR(VALUE(LEFT(RIGHT(G73,7),4)),999)))+SUMPRODUCT(--ISERROR(SEARCH("WHEAT",$G$2:$G$99)),--($H$2:$H$99="OCCUPIED"),--($B$2:$B$99&lt;&gt;""),--(IFERROR(VALUE(LEFT(RIGHT($G$2:$G$99,7),4)),999)=IFERROR(VALUE(LEFT(RIGHT(G73,7),4)),999)),--($B$2:$B$99&lt;B73))+SUMPRODUCT(--ISERROR(SEARCH("WHEAT",$G$2:$G$99)),--($H$2:$H$99="OCCUPIED"),--($B$2:$B$99&lt;&gt;""),--(IFERROR(VALUE(LEFT(RIGHT($G$2:$G$99,7),4)),999)=IFERROR(VALUE(LEFT(RIGHT(G73,7),4)),999)),--($B$2:$B$99=B73),--(ROW($B$2:$B$99)&lt;=ROW())),""))</f>
        <v/>
      </c>
      <c r="S73" s="54" t="n"/>
    </row>
    <row r="74" hidden="1" ht="15.75" customHeight="1" s="236">
      <c r="A74" s="80">
        <f>IF(D74="","",ROWS($D$2:D74))</f>
        <v/>
      </c>
      <c r="B74" s="115" t="n"/>
      <c r="C74" s="116" t="n"/>
      <c r="D74" s="116" t="n"/>
      <c r="E74" s="116" t="n"/>
      <c r="F74" s="117" t="n"/>
      <c r="G74" s="116" t="n"/>
      <c r="H74" s="80">
        <f>IF(AND(E74="",F74="",G74=""),"EMPTY","OCCUPIED")</f>
        <v/>
      </c>
      <c r="I74" s="41">
        <f>IF(B74="","",IF(ISNUMBER(B74),MAX(0,TODAY()-B74),""))</f>
        <v/>
      </c>
      <c r="J74" s="115" t="n"/>
      <c r="K74" s="115" t="n"/>
      <c r="L74" s="115" t="n"/>
      <c r="M74" s="41">
        <f>IF(AND(H74="OCCUPIED",ISNUMBER(J74),K74=""),1,0)</f>
        <v/>
      </c>
      <c r="N74" s="41">
        <f>IF(M74=1,COUNTIF($M$2:M74,1),"")</f>
        <v/>
      </c>
      <c r="O74" s="41">
        <f>IF(AND(H74="OCCUPIED",ISNUMBER(J74),K74=""),--(TODAY()-J74&gt;5),0)</f>
        <v/>
      </c>
      <c r="P74" s="41">
        <f>IF(O74=1,COUNTIF($O$2:O74,1),"")</f>
        <v/>
      </c>
      <c r="Q74" s="49">
        <f>IF(OR(B74="",G74="",H74&lt;&gt;"OCCUPIED"),"",IF(ISNUMBER(SEARCH("WHEAT",G74)),SUMPRODUCT(--ISNUMBER(SEARCH("WHEAT",$G$2:$G$99)),--($H$2:$H$99="OCCUPIED"),--($B$2:$B$99&lt;&gt;""),--(IFERROR(VALUE(LEFT(RIGHT($G$2:$G$99,7),4)),999)&lt;IFERROR(VALUE(LEFT(RIGHT(G74,7),4)),999)))+SUMPRODUCT(--ISNUMBER(SEARCH("WHEAT",$G$2:$G$99)),--($H$2:$H$99="OCCUPIED"),--($B$2:$B$99&lt;&gt;""),--(IFERROR(VALUE(LEFT(RIGHT($G$2:$G$99,7),4)),999)=IFERROR(VALUE(LEFT(RIGHT(G74,7),4)),999)),--($B$2:$B$99&lt;B74))+SUMPRODUCT(--ISNUMBER(SEARCH("WHEAT",$G$2:$G$99)),--($H$2:$H$99="OCCUPIED"),--($B$2:$B$99&lt;&gt;""),--(IFERROR(VALUE(LEFT(RIGHT($G$2:$G$99,7),4)),999)=IFERROR(VALUE(LEFT(RIGHT(G74,7),4)),999)),--($B$2:$B$99=B74),--(ROW($B$2:$B$99)&lt;=ROW())),""))</f>
        <v/>
      </c>
      <c r="R74" s="49">
        <f>IF(OR(B74="",G74="",H74&lt;&gt;"OCCUPIED"),"",IF(ISERROR(SEARCH("WHEAT",G74)),SUMPRODUCT(--ISERROR(SEARCH("WHEAT",$G$2:$G$99)),--($H$2:$H$99="OCCUPIED"),--($B$2:$B$99&lt;&gt;""),--(IFERROR(VALUE(LEFT(RIGHT($G$2:$G$99,7),4)),999)&lt;IFERROR(VALUE(LEFT(RIGHT(G74,7),4)),999)))+SUMPRODUCT(--ISERROR(SEARCH("WHEAT",$G$2:$G$99)),--($H$2:$H$99="OCCUPIED"),--($B$2:$B$99&lt;&gt;""),--(IFERROR(VALUE(LEFT(RIGHT($G$2:$G$99,7),4)),999)=IFERROR(VALUE(LEFT(RIGHT(G74,7),4)),999)),--($B$2:$B$99&lt;B74))+SUMPRODUCT(--ISERROR(SEARCH("WHEAT",$G$2:$G$99)),--($H$2:$H$99="OCCUPIED"),--($B$2:$B$99&lt;&gt;""),--(IFERROR(VALUE(LEFT(RIGHT($G$2:$G$99,7),4)),999)=IFERROR(VALUE(LEFT(RIGHT(G74,7),4)),999)),--($B$2:$B$99=B74),--(ROW($B$2:$B$99)&lt;=ROW())),""))</f>
        <v/>
      </c>
      <c r="S74" s="54" t="n"/>
    </row>
    <row r="75" hidden="1" ht="15.75" customHeight="1" s="236">
      <c r="A75" s="80">
        <f>IF(D75="","",ROWS($D$2:D75))</f>
        <v/>
      </c>
      <c r="B75" s="115" t="n"/>
      <c r="C75" s="116" t="n"/>
      <c r="D75" s="116" t="n"/>
      <c r="E75" s="116" t="n"/>
      <c r="F75" s="117" t="n"/>
      <c r="G75" s="116" t="n"/>
      <c r="H75" s="80">
        <f>IF(AND(E75="",F75="",G75=""),"EMPTY","OCCUPIED")</f>
        <v/>
      </c>
      <c r="I75" s="41">
        <f>IF(B75="","",IF(ISNUMBER(B75),MAX(0,TODAY()-B75),""))</f>
        <v/>
      </c>
      <c r="J75" s="115" t="n"/>
      <c r="K75" s="115" t="n"/>
      <c r="L75" s="115" t="n"/>
      <c r="M75" s="41">
        <f>IF(AND(H75="OCCUPIED",ISNUMBER(J75),K75=""),1,0)</f>
        <v/>
      </c>
      <c r="N75" s="41">
        <f>IF(M75=1,COUNTIF($M$2:M75,1),"")</f>
        <v/>
      </c>
      <c r="O75" s="41">
        <f>IF(AND(H75="OCCUPIED",ISNUMBER(J75),K75=""),--(TODAY()-J75&gt;5),0)</f>
        <v/>
      </c>
      <c r="P75" s="41">
        <f>IF(O75=1,COUNTIF($O$2:O75,1),"")</f>
        <v/>
      </c>
      <c r="Q75" s="49">
        <f>IF(OR(B75="",G75="",H75&lt;&gt;"OCCUPIED"),"",IF(ISNUMBER(SEARCH("WHEAT",G75)),SUMPRODUCT(--ISNUMBER(SEARCH("WHEAT",$G$2:$G$99)),--($H$2:$H$99="OCCUPIED"),--($B$2:$B$99&lt;&gt;""),--(IFERROR(VALUE(LEFT(RIGHT($G$2:$G$99,7),4)),999)&lt;IFERROR(VALUE(LEFT(RIGHT(G75,7),4)),999)))+SUMPRODUCT(--ISNUMBER(SEARCH("WHEAT",$G$2:$G$99)),--($H$2:$H$99="OCCUPIED"),--($B$2:$B$99&lt;&gt;""),--(IFERROR(VALUE(LEFT(RIGHT($G$2:$G$99,7),4)),999)=IFERROR(VALUE(LEFT(RIGHT(G75,7),4)),999)),--($B$2:$B$99&lt;B75))+SUMPRODUCT(--ISNUMBER(SEARCH("WHEAT",$G$2:$G$99)),--($H$2:$H$99="OCCUPIED"),--($B$2:$B$99&lt;&gt;""),--(IFERROR(VALUE(LEFT(RIGHT($G$2:$G$99,7),4)),999)=IFERROR(VALUE(LEFT(RIGHT(G75,7),4)),999)),--($B$2:$B$99=B75),--(ROW($B$2:$B$99)&lt;=ROW())),""))</f>
        <v/>
      </c>
      <c r="R75" s="49">
        <f>IF(OR(B75="",G75="",H75&lt;&gt;"OCCUPIED"),"",IF(ISERROR(SEARCH("WHEAT",G75)),SUMPRODUCT(--ISERROR(SEARCH("WHEAT",$G$2:$G$99)),--($H$2:$H$99="OCCUPIED"),--($B$2:$B$99&lt;&gt;""),--(IFERROR(VALUE(LEFT(RIGHT($G$2:$G$99,7),4)),999)&lt;IFERROR(VALUE(LEFT(RIGHT(G75,7),4)),999)))+SUMPRODUCT(--ISERROR(SEARCH("WHEAT",$G$2:$G$99)),--($H$2:$H$99="OCCUPIED"),--($B$2:$B$99&lt;&gt;""),--(IFERROR(VALUE(LEFT(RIGHT($G$2:$G$99,7),4)),999)=IFERROR(VALUE(LEFT(RIGHT(G75,7),4)),999)),--($B$2:$B$99&lt;B75))+SUMPRODUCT(--ISERROR(SEARCH("WHEAT",$G$2:$G$99)),--($H$2:$H$99="OCCUPIED"),--($B$2:$B$99&lt;&gt;""),--(IFERROR(VALUE(LEFT(RIGHT($G$2:$G$99,7),4)),999)=IFERROR(VALUE(LEFT(RIGHT(G75,7),4)),999)),--($B$2:$B$99=B75),--(ROW($B$2:$B$99)&lt;=ROW())),""))</f>
        <v/>
      </c>
      <c r="S75" s="54" t="n"/>
    </row>
    <row r="76" hidden="1" ht="15.75" customHeight="1" s="236">
      <c r="A76" s="80">
        <f>IF(D76="","",ROWS($D$2:D76))</f>
        <v/>
      </c>
      <c r="B76" s="115" t="n"/>
      <c r="C76" s="116" t="n"/>
      <c r="D76" s="116" t="n"/>
      <c r="E76" s="116" t="n"/>
      <c r="F76" s="117" t="n"/>
      <c r="G76" s="116" t="n"/>
      <c r="H76" s="80">
        <f>IF(AND(E76="",F76="",G76=""),"EMPTY","OCCUPIED")</f>
        <v/>
      </c>
      <c r="I76" s="41">
        <f>IF(B76="","",IF(ISNUMBER(B76),MAX(0,TODAY()-B76),""))</f>
        <v/>
      </c>
      <c r="J76" s="115" t="n"/>
      <c r="K76" s="115" t="n"/>
      <c r="L76" s="115" t="n"/>
      <c r="M76" s="41">
        <f>IF(AND(H76="OCCUPIED",ISNUMBER(J76),K76=""),1,0)</f>
        <v/>
      </c>
      <c r="N76" s="41">
        <f>IF(M76=1,COUNTIF($M$2:M76,1),"")</f>
        <v/>
      </c>
      <c r="O76" s="41">
        <f>IF(AND(H76="OCCUPIED",ISNUMBER(J76),K76=""),--(TODAY()-J76&gt;5),0)</f>
        <v/>
      </c>
      <c r="P76" s="41">
        <f>IF(O76=1,COUNTIF($O$2:O76,1),"")</f>
        <v/>
      </c>
      <c r="Q76" s="49">
        <f>IF(OR(B76="",G76="",H76&lt;&gt;"OCCUPIED"),"",IF(ISNUMBER(SEARCH("WHEAT",G76)),SUMPRODUCT(--ISNUMBER(SEARCH("WHEAT",$G$2:$G$99)),--($H$2:$H$99="OCCUPIED"),--($B$2:$B$99&lt;&gt;""),--(IFERROR(VALUE(LEFT(RIGHT($G$2:$G$99,7),4)),999)&lt;IFERROR(VALUE(LEFT(RIGHT(G76,7),4)),999)))+SUMPRODUCT(--ISNUMBER(SEARCH("WHEAT",$G$2:$G$99)),--($H$2:$H$99="OCCUPIED"),--($B$2:$B$99&lt;&gt;""),--(IFERROR(VALUE(LEFT(RIGHT($G$2:$G$99,7),4)),999)=IFERROR(VALUE(LEFT(RIGHT(G76,7),4)),999)),--($B$2:$B$99&lt;B76))+SUMPRODUCT(--ISNUMBER(SEARCH("WHEAT",$G$2:$G$99)),--($H$2:$H$99="OCCUPIED"),--($B$2:$B$99&lt;&gt;""),--(IFERROR(VALUE(LEFT(RIGHT($G$2:$G$99,7),4)),999)=IFERROR(VALUE(LEFT(RIGHT(G76,7),4)),999)),--($B$2:$B$99=B76),--(ROW($B$2:$B$99)&lt;=ROW())),""))</f>
        <v/>
      </c>
      <c r="R76" s="49">
        <f>IF(OR(B76="",G76="",H76&lt;&gt;"OCCUPIED"),"",IF(ISERROR(SEARCH("WHEAT",G76)),SUMPRODUCT(--ISERROR(SEARCH("WHEAT",$G$2:$G$99)),--($H$2:$H$99="OCCUPIED"),--($B$2:$B$99&lt;&gt;""),--(IFERROR(VALUE(LEFT(RIGHT($G$2:$G$99,7),4)),999)&lt;IFERROR(VALUE(LEFT(RIGHT(G76,7),4)),999)))+SUMPRODUCT(--ISERROR(SEARCH("WHEAT",$G$2:$G$99)),--($H$2:$H$99="OCCUPIED"),--($B$2:$B$99&lt;&gt;""),--(IFERROR(VALUE(LEFT(RIGHT($G$2:$G$99,7),4)),999)=IFERROR(VALUE(LEFT(RIGHT(G76,7),4)),999)),--($B$2:$B$99&lt;B76))+SUMPRODUCT(--ISERROR(SEARCH("WHEAT",$G$2:$G$99)),--($H$2:$H$99="OCCUPIED"),--($B$2:$B$99&lt;&gt;""),--(IFERROR(VALUE(LEFT(RIGHT($G$2:$G$99,7),4)),999)=IFERROR(VALUE(LEFT(RIGHT(G76,7),4)),999)),--($B$2:$B$99=B76),--(ROW($B$2:$B$99)&lt;=ROW())),""))</f>
        <v/>
      </c>
      <c r="S76" s="54" t="n"/>
    </row>
    <row r="77" hidden="1" ht="15.75" customHeight="1" s="236">
      <c r="A77" s="80">
        <f>IF(D77="","",ROWS($D$2:D77))</f>
        <v/>
      </c>
      <c r="B77" s="115" t="n"/>
      <c r="C77" s="116" t="n"/>
      <c r="D77" s="116" t="n"/>
      <c r="E77" s="116" t="n"/>
      <c r="F77" s="117" t="n"/>
      <c r="G77" s="116" t="n"/>
      <c r="H77" s="80">
        <f>IF(AND(E77="",F77="",G77=""),"EMPTY","OCCUPIED")</f>
        <v/>
      </c>
      <c r="I77" s="41">
        <f>IF(B77="","",IF(ISNUMBER(B77),MAX(0,TODAY()-B77),""))</f>
        <v/>
      </c>
      <c r="J77" s="115" t="n"/>
      <c r="K77" s="115" t="n"/>
      <c r="L77" s="115" t="n"/>
      <c r="M77" s="41">
        <f>IF(AND(H77="OCCUPIED",ISNUMBER(J77),K77=""),1,0)</f>
        <v/>
      </c>
      <c r="N77" s="41">
        <f>IF(M77=1,COUNTIF($M$2:M77,1),"")</f>
        <v/>
      </c>
      <c r="O77" s="41">
        <f>IF(AND(H77="OCCUPIED",ISNUMBER(J77),K77=""),--(TODAY()-J77&gt;5),0)</f>
        <v/>
      </c>
      <c r="P77" s="41">
        <f>IF(O77=1,COUNTIF($O$2:O77,1),"")</f>
        <v/>
      </c>
      <c r="Q77" s="49">
        <f>IF(OR(B77="",G77="",H77&lt;&gt;"OCCUPIED"),"",IF(ISNUMBER(SEARCH("WHEAT",G77)),SUMPRODUCT(--ISNUMBER(SEARCH("WHEAT",$G$2:$G$99)),--($H$2:$H$99="OCCUPIED"),--($B$2:$B$99&lt;&gt;""),--(IFERROR(VALUE(LEFT(RIGHT($G$2:$G$99,7),4)),999)&lt;IFERROR(VALUE(LEFT(RIGHT(G77,7),4)),999)))+SUMPRODUCT(--ISNUMBER(SEARCH("WHEAT",$G$2:$G$99)),--($H$2:$H$99="OCCUPIED"),--($B$2:$B$99&lt;&gt;""),--(IFERROR(VALUE(LEFT(RIGHT($G$2:$G$99,7),4)),999)=IFERROR(VALUE(LEFT(RIGHT(G77,7),4)),999)),--($B$2:$B$99&lt;B77))+SUMPRODUCT(--ISNUMBER(SEARCH("WHEAT",$G$2:$G$99)),--($H$2:$H$99="OCCUPIED"),--($B$2:$B$99&lt;&gt;""),--(IFERROR(VALUE(LEFT(RIGHT($G$2:$G$99,7),4)),999)=IFERROR(VALUE(LEFT(RIGHT(G77,7),4)),999)),--($B$2:$B$99=B77),--(ROW($B$2:$B$99)&lt;=ROW())),""))</f>
        <v/>
      </c>
      <c r="R77" s="49">
        <f>IF(OR(B77="",G77="",H77&lt;&gt;"OCCUPIED"),"",IF(ISERROR(SEARCH("WHEAT",G77)),SUMPRODUCT(--ISERROR(SEARCH("WHEAT",$G$2:$G$99)),--($H$2:$H$99="OCCUPIED"),--($B$2:$B$99&lt;&gt;""),--(IFERROR(VALUE(LEFT(RIGHT($G$2:$G$99,7),4)),999)&lt;IFERROR(VALUE(LEFT(RIGHT(G77,7),4)),999)))+SUMPRODUCT(--ISERROR(SEARCH("WHEAT",$G$2:$G$99)),--($H$2:$H$99="OCCUPIED"),--($B$2:$B$99&lt;&gt;""),--(IFERROR(VALUE(LEFT(RIGHT($G$2:$G$99,7),4)),999)=IFERROR(VALUE(LEFT(RIGHT(G77,7),4)),999)),--($B$2:$B$99&lt;B77))+SUMPRODUCT(--ISERROR(SEARCH("WHEAT",$G$2:$G$99)),--($H$2:$H$99="OCCUPIED"),--($B$2:$B$99&lt;&gt;""),--(IFERROR(VALUE(LEFT(RIGHT($G$2:$G$99,7),4)),999)=IFERROR(VALUE(LEFT(RIGHT(G77,7),4)),999)),--($B$2:$B$99=B77),--(ROW($B$2:$B$99)&lt;=ROW())),""))</f>
        <v/>
      </c>
      <c r="S77" s="54" t="n"/>
    </row>
    <row r="78" hidden="1" ht="15.75" customHeight="1" s="236">
      <c r="A78" s="80">
        <f>IF(D78="","",ROWS($D$2:D78))</f>
        <v/>
      </c>
      <c r="B78" s="115" t="n"/>
      <c r="C78" s="116" t="n"/>
      <c r="D78" s="116" t="n"/>
      <c r="E78" s="116" t="n"/>
      <c r="F78" s="117" t="n"/>
      <c r="G78" s="116" t="n"/>
      <c r="H78" s="80">
        <f>IF(AND(E78="",F78="",G78=""),"EMPTY","OCCUPIED")</f>
        <v/>
      </c>
      <c r="I78" s="41">
        <f>IF(B78="","",IF(ISNUMBER(B78),MAX(0,TODAY()-B78),""))</f>
        <v/>
      </c>
      <c r="J78" s="115" t="n"/>
      <c r="K78" s="115" t="n"/>
      <c r="L78" s="115" t="n"/>
      <c r="M78" s="41">
        <f>IF(AND(H78="OCCUPIED",ISNUMBER(J78),K78=""),1,0)</f>
        <v/>
      </c>
      <c r="N78" s="41">
        <f>IF(M78=1,COUNTIF($M$2:M78,1),"")</f>
        <v/>
      </c>
      <c r="O78" s="41">
        <f>IF(AND(H78="OCCUPIED",ISNUMBER(J78),K78=""),--(TODAY()-J78&gt;5),0)</f>
        <v/>
      </c>
      <c r="P78" s="41">
        <f>IF(O78=1,COUNTIF($O$2:O78,1),"")</f>
        <v/>
      </c>
      <c r="Q78" s="49">
        <f>IF(OR(B78="",G78="",H78&lt;&gt;"OCCUPIED"),"",IF(ISNUMBER(SEARCH("WHEAT",G78)),SUMPRODUCT(--ISNUMBER(SEARCH("WHEAT",$G$2:$G$99)),--($H$2:$H$99="OCCUPIED"),--($B$2:$B$99&lt;&gt;""),--(IFERROR(VALUE(LEFT(RIGHT($G$2:$G$99,7),4)),999)&lt;IFERROR(VALUE(LEFT(RIGHT(G78,7),4)),999)))+SUMPRODUCT(--ISNUMBER(SEARCH("WHEAT",$G$2:$G$99)),--($H$2:$H$99="OCCUPIED"),--($B$2:$B$99&lt;&gt;""),--(IFERROR(VALUE(LEFT(RIGHT($G$2:$G$99,7),4)),999)=IFERROR(VALUE(LEFT(RIGHT(G78,7),4)),999)),--($B$2:$B$99&lt;B78))+SUMPRODUCT(--ISNUMBER(SEARCH("WHEAT",$G$2:$G$99)),--($H$2:$H$99="OCCUPIED"),--($B$2:$B$99&lt;&gt;""),--(IFERROR(VALUE(LEFT(RIGHT($G$2:$G$99,7),4)),999)=IFERROR(VALUE(LEFT(RIGHT(G78,7),4)),999)),--($B$2:$B$99=B78),--(ROW($B$2:$B$99)&lt;=ROW())),""))</f>
        <v/>
      </c>
      <c r="R78" s="49">
        <f>IF(OR(B78="",G78="",H78&lt;&gt;"OCCUPIED"),"",IF(ISERROR(SEARCH("WHEAT",G78)),SUMPRODUCT(--ISERROR(SEARCH("WHEAT",$G$2:$G$99)),--($H$2:$H$99="OCCUPIED"),--($B$2:$B$99&lt;&gt;""),--(IFERROR(VALUE(LEFT(RIGHT($G$2:$G$99,7),4)),999)&lt;IFERROR(VALUE(LEFT(RIGHT(G78,7),4)),999)))+SUMPRODUCT(--ISERROR(SEARCH("WHEAT",$G$2:$G$99)),--($H$2:$H$99="OCCUPIED"),--($B$2:$B$99&lt;&gt;""),--(IFERROR(VALUE(LEFT(RIGHT($G$2:$G$99,7),4)),999)=IFERROR(VALUE(LEFT(RIGHT(G78,7),4)),999)),--($B$2:$B$99&lt;B78))+SUMPRODUCT(--ISERROR(SEARCH("WHEAT",$G$2:$G$99)),--($H$2:$H$99="OCCUPIED"),--($B$2:$B$99&lt;&gt;""),--(IFERROR(VALUE(LEFT(RIGHT($G$2:$G$99,7),4)),999)=IFERROR(VALUE(LEFT(RIGHT(G78,7),4)),999)),--($B$2:$B$99=B78),--(ROW($B$2:$B$99)&lt;=ROW())),""))</f>
        <v/>
      </c>
      <c r="S78" s="54" t="n"/>
    </row>
    <row r="79" hidden="1" ht="15.75" customHeight="1" s="236">
      <c r="A79" s="80">
        <f>IF(D79="","",ROWS($D$2:D79))</f>
        <v/>
      </c>
      <c r="B79" s="115" t="n"/>
      <c r="C79" s="116" t="n"/>
      <c r="D79" s="116" t="n"/>
      <c r="E79" s="116" t="n"/>
      <c r="F79" s="117" t="n"/>
      <c r="G79" s="116" t="n"/>
      <c r="H79" s="80">
        <f>IF(AND(E79="",F79="",G79=""),"EMPTY","OCCUPIED")</f>
        <v/>
      </c>
      <c r="I79" s="41">
        <f>IF(B79="","",IF(ISNUMBER(B79),MAX(0,TODAY()-B79),""))</f>
        <v/>
      </c>
      <c r="J79" s="115" t="n"/>
      <c r="K79" s="115" t="n"/>
      <c r="L79" s="115" t="n"/>
      <c r="M79" s="41">
        <f>IF(AND(H79="OCCUPIED",ISNUMBER(J79),K79=""),1,0)</f>
        <v/>
      </c>
      <c r="N79" s="41">
        <f>IF(M79=1,COUNTIF($M$2:M79,1),"")</f>
        <v/>
      </c>
      <c r="O79" s="41">
        <f>IF(AND(H79="OCCUPIED",ISNUMBER(J79),K79=""),--(TODAY()-J79&gt;5),0)</f>
        <v/>
      </c>
      <c r="P79" s="41">
        <f>IF(O79=1,COUNTIF($O$2:O79,1),"")</f>
        <v/>
      </c>
      <c r="Q79" s="49">
        <f>IF(OR(B79="",G79="",H79&lt;&gt;"OCCUPIED"),"",IF(ISNUMBER(SEARCH("WHEAT",G79)),SUMPRODUCT(--ISNUMBER(SEARCH("WHEAT",$G$2:$G$99)),--($H$2:$H$99="OCCUPIED"),--($B$2:$B$99&lt;&gt;""),--(IFERROR(VALUE(LEFT(RIGHT($G$2:$G$99,7),4)),999)&lt;IFERROR(VALUE(LEFT(RIGHT(G79,7),4)),999)))+SUMPRODUCT(--ISNUMBER(SEARCH("WHEAT",$G$2:$G$99)),--($H$2:$H$99="OCCUPIED"),--($B$2:$B$99&lt;&gt;""),--(IFERROR(VALUE(LEFT(RIGHT($G$2:$G$99,7),4)),999)=IFERROR(VALUE(LEFT(RIGHT(G79,7),4)),999)),--($B$2:$B$99&lt;B79))+SUMPRODUCT(--ISNUMBER(SEARCH("WHEAT",$G$2:$G$99)),--($H$2:$H$99="OCCUPIED"),--($B$2:$B$99&lt;&gt;""),--(IFERROR(VALUE(LEFT(RIGHT($G$2:$G$99,7),4)),999)=IFERROR(VALUE(LEFT(RIGHT(G79,7),4)),999)),--($B$2:$B$99=B79),--(ROW($B$2:$B$99)&lt;=ROW())),""))</f>
        <v/>
      </c>
      <c r="R79" s="49">
        <f>IF(OR(B79="",G79="",H79&lt;&gt;"OCCUPIED"),"",IF(ISERROR(SEARCH("WHEAT",G79)),SUMPRODUCT(--ISERROR(SEARCH("WHEAT",$G$2:$G$99)),--($H$2:$H$99="OCCUPIED"),--($B$2:$B$99&lt;&gt;""),--(IFERROR(VALUE(LEFT(RIGHT($G$2:$G$99,7),4)),999)&lt;IFERROR(VALUE(LEFT(RIGHT(G79,7),4)),999)))+SUMPRODUCT(--ISERROR(SEARCH("WHEAT",$G$2:$G$99)),--($H$2:$H$99="OCCUPIED"),--($B$2:$B$99&lt;&gt;""),--(IFERROR(VALUE(LEFT(RIGHT($G$2:$G$99,7),4)),999)=IFERROR(VALUE(LEFT(RIGHT(G79,7),4)),999)),--($B$2:$B$99&lt;B79))+SUMPRODUCT(--ISERROR(SEARCH("WHEAT",$G$2:$G$99)),--($H$2:$H$99="OCCUPIED"),--($B$2:$B$99&lt;&gt;""),--(IFERROR(VALUE(LEFT(RIGHT($G$2:$G$99,7),4)),999)=IFERROR(VALUE(LEFT(RIGHT(G79,7),4)),999)),--($B$2:$B$99=B79),--(ROW($B$2:$B$99)&lt;=ROW())),""))</f>
        <v/>
      </c>
      <c r="S79" s="54" t="n"/>
    </row>
    <row r="80" hidden="1" ht="15.75" customHeight="1" s="236">
      <c r="A80" s="80">
        <f>IF(D80="","",ROWS($D$2:D80))</f>
        <v/>
      </c>
      <c r="B80" s="115" t="n"/>
      <c r="C80" s="116" t="n"/>
      <c r="D80" s="116" t="n"/>
      <c r="E80" s="116" t="n"/>
      <c r="F80" s="117" t="n"/>
      <c r="G80" s="116" t="n"/>
      <c r="H80" s="80">
        <f>IF(AND(E80="",F80="",G80=""),"EMPTY","OCCUPIED")</f>
        <v/>
      </c>
      <c r="I80" s="41">
        <f>IF(B80="","",IF(ISNUMBER(B80),MAX(0,TODAY()-B80),""))</f>
        <v/>
      </c>
      <c r="J80" s="115" t="n"/>
      <c r="K80" s="115" t="n"/>
      <c r="L80" s="115" t="n"/>
      <c r="M80" s="41">
        <f>IF(AND(H80="OCCUPIED",ISNUMBER(J80),K80=""),1,0)</f>
        <v/>
      </c>
      <c r="N80" s="41">
        <f>IF(M80=1,COUNTIF($M$2:M80,1),"")</f>
        <v/>
      </c>
      <c r="O80" s="41">
        <f>IF(AND(H80="OCCUPIED",ISNUMBER(J80),K80=""),--(TODAY()-J80&gt;5),0)</f>
        <v/>
      </c>
      <c r="P80" s="41">
        <f>IF(O80=1,COUNTIF($O$2:O80,1),"")</f>
        <v/>
      </c>
      <c r="Q80" s="49">
        <f>IF(OR(B80="",G80="",H80&lt;&gt;"OCCUPIED"),"",IF(ISNUMBER(SEARCH("WHEAT",G80)),SUMPRODUCT(--ISNUMBER(SEARCH("WHEAT",$G$2:$G$99)),--($H$2:$H$99="OCCUPIED"),--($B$2:$B$99&lt;&gt;""),--(IFERROR(VALUE(LEFT(RIGHT($G$2:$G$99,7),4)),999)&lt;IFERROR(VALUE(LEFT(RIGHT(G80,7),4)),999)))+SUMPRODUCT(--ISNUMBER(SEARCH("WHEAT",$G$2:$G$99)),--($H$2:$H$99="OCCUPIED"),--($B$2:$B$99&lt;&gt;""),--(IFERROR(VALUE(LEFT(RIGHT($G$2:$G$99,7),4)),999)=IFERROR(VALUE(LEFT(RIGHT(G80,7),4)),999)),--($B$2:$B$99&lt;B80))+SUMPRODUCT(--ISNUMBER(SEARCH("WHEAT",$G$2:$G$99)),--($H$2:$H$99="OCCUPIED"),--($B$2:$B$99&lt;&gt;""),--(IFERROR(VALUE(LEFT(RIGHT($G$2:$G$99,7),4)),999)=IFERROR(VALUE(LEFT(RIGHT(G80,7),4)),999)),--($B$2:$B$99=B80),--(ROW($B$2:$B$99)&lt;=ROW())),""))</f>
        <v/>
      </c>
      <c r="R80" s="49">
        <f>IF(OR(B80="",G80="",H80&lt;&gt;"OCCUPIED"),"",IF(ISERROR(SEARCH("WHEAT",G80)),SUMPRODUCT(--ISERROR(SEARCH("WHEAT",$G$2:$G$99)),--($H$2:$H$99="OCCUPIED"),--($B$2:$B$99&lt;&gt;""),--(IFERROR(VALUE(LEFT(RIGHT($G$2:$G$99,7),4)),999)&lt;IFERROR(VALUE(LEFT(RIGHT(G80,7),4)),999)))+SUMPRODUCT(--ISERROR(SEARCH("WHEAT",$G$2:$G$99)),--($H$2:$H$99="OCCUPIED"),--($B$2:$B$99&lt;&gt;""),--(IFERROR(VALUE(LEFT(RIGHT($G$2:$G$99,7),4)),999)=IFERROR(VALUE(LEFT(RIGHT(G80,7),4)),999)),--($B$2:$B$99&lt;B80))+SUMPRODUCT(--ISERROR(SEARCH("WHEAT",$G$2:$G$99)),--($H$2:$H$99="OCCUPIED"),--($B$2:$B$99&lt;&gt;""),--(IFERROR(VALUE(LEFT(RIGHT($G$2:$G$99,7),4)),999)=IFERROR(VALUE(LEFT(RIGHT(G80,7),4)),999)),--($B$2:$B$99=B80),--(ROW($B$2:$B$99)&lt;=ROW())),""))</f>
        <v/>
      </c>
      <c r="S80" s="54" t="n"/>
    </row>
    <row r="81" hidden="1" ht="15.75" customHeight="1" s="236">
      <c r="A81" s="80">
        <f>IF(D81="","",ROWS($D$2:D81))</f>
        <v/>
      </c>
      <c r="B81" s="115" t="n"/>
      <c r="C81" s="116" t="n"/>
      <c r="D81" s="116" t="n"/>
      <c r="E81" s="116" t="n"/>
      <c r="F81" s="117" t="n"/>
      <c r="G81" s="116" t="n"/>
      <c r="H81" s="80">
        <f>IF(AND(E81="",F81="",G81=""),"EMPTY","OCCUPIED")</f>
        <v/>
      </c>
      <c r="I81" s="41">
        <f>IF(B81="","",IF(ISNUMBER(B81),MAX(0,TODAY()-B81),""))</f>
        <v/>
      </c>
      <c r="J81" s="115" t="n"/>
      <c r="K81" s="115" t="n"/>
      <c r="L81" s="115" t="n"/>
      <c r="M81" s="41">
        <f>IF(AND(H81="OCCUPIED",ISNUMBER(J81),K81=""),1,0)</f>
        <v/>
      </c>
      <c r="N81" s="41">
        <f>IF(M81=1,COUNTIF($M$2:M81,1),"")</f>
        <v/>
      </c>
      <c r="O81" s="41">
        <f>IF(AND(H81="OCCUPIED",ISNUMBER(J81),K81=""),--(TODAY()-J81&gt;5),0)</f>
        <v/>
      </c>
      <c r="P81" s="41">
        <f>IF(O81=1,COUNTIF($O$2:O81,1),"")</f>
        <v/>
      </c>
      <c r="Q81" s="49">
        <f>IF(OR(B81="",G81="",H81&lt;&gt;"OCCUPIED"),"",IF(ISNUMBER(SEARCH("WHEAT",G81)),SUMPRODUCT(--ISNUMBER(SEARCH("WHEAT",$G$2:$G$99)),--($H$2:$H$99="OCCUPIED"),--($B$2:$B$99&lt;&gt;""),--(IFERROR(VALUE(LEFT(RIGHT($G$2:$G$99,7),4)),999)&lt;IFERROR(VALUE(LEFT(RIGHT(G81,7),4)),999)))+SUMPRODUCT(--ISNUMBER(SEARCH("WHEAT",$G$2:$G$99)),--($H$2:$H$99="OCCUPIED"),--($B$2:$B$99&lt;&gt;""),--(IFERROR(VALUE(LEFT(RIGHT($G$2:$G$99,7),4)),999)=IFERROR(VALUE(LEFT(RIGHT(G81,7),4)),999)),--($B$2:$B$99&lt;B81))+SUMPRODUCT(--ISNUMBER(SEARCH("WHEAT",$G$2:$G$99)),--($H$2:$H$99="OCCUPIED"),--($B$2:$B$99&lt;&gt;""),--(IFERROR(VALUE(LEFT(RIGHT($G$2:$G$99,7),4)),999)=IFERROR(VALUE(LEFT(RIGHT(G81,7),4)),999)),--($B$2:$B$99=B81),--(ROW($B$2:$B$99)&lt;=ROW())),""))</f>
        <v/>
      </c>
      <c r="R81" s="49">
        <f>IF(OR(B81="",G81="",H81&lt;&gt;"OCCUPIED"),"",IF(ISERROR(SEARCH("WHEAT",G81)),SUMPRODUCT(--ISERROR(SEARCH("WHEAT",$G$2:$G$99)),--($H$2:$H$99="OCCUPIED"),--($B$2:$B$99&lt;&gt;""),--(IFERROR(VALUE(LEFT(RIGHT($G$2:$G$99,7),4)),999)&lt;IFERROR(VALUE(LEFT(RIGHT(G81,7),4)),999)))+SUMPRODUCT(--ISERROR(SEARCH("WHEAT",$G$2:$G$99)),--($H$2:$H$99="OCCUPIED"),--($B$2:$B$99&lt;&gt;""),--(IFERROR(VALUE(LEFT(RIGHT($G$2:$G$99,7),4)),999)=IFERROR(VALUE(LEFT(RIGHT(G81,7),4)),999)),--($B$2:$B$99&lt;B81))+SUMPRODUCT(--ISERROR(SEARCH("WHEAT",$G$2:$G$99)),--($H$2:$H$99="OCCUPIED"),--($B$2:$B$99&lt;&gt;""),--(IFERROR(VALUE(LEFT(RIGHT($G$2:$G$99,7),4)),999)=IFERROR(VALUE(LEFT(RIGHT(G81,7),4)),999)),--($B$2:$B$99=B81),--(ROW($B$2:$B$99)&lt;=ROW())),""))</f>
        <v/>
      </c>
      <c r="S81" s="54" t="n"/>
    </row>
    <row r="82" hidden="1" ht="15.75" customHeight="1" s="236">
      <c r="A82" s="80">
        <f>IF(D82="","",ROWS($D$2:D82))</f>
        <v/>
      </c>
      <c r="B82" s="115" t="n"/>
      <c r="C82" s="116" t="n"/>
      <c r="D82" s="116" t="n"/>
      <c r="E82" s="116" t="n"/>
      <c r="F82" s="117" t="n"/>
      <c r="G82" s="116" t="n"/>
      <c r="H82" s="80">
        <f>IF(AND(E82="",F82="",G82=""),"EMPTY","OCCUPIED")</f>
        <v/>
      </c>
      <c r="I82" s="41">
        <f>IF(B82="","",IF(ISNUMBER(B82),MAX(0,TODAY()-B82),""))</f>
        <v/>
      </c>
      <c r="J82" s="115" t="n"/>
      <c r="K82" s="115" t="n"/>
      <c r="L82" s="115" t="n"/>
      <c r="M82" s="41">
        <f>IF(AND(H82="OCCUPIED",ISNUMBER(J82),K82=""),1,0)</f>
        <v/>
      </c>
      <c r="N82" s="41">
        <f>IF(M82=1,COUNTIF($M$2:M82,1),"")</f>
        <v/>
      </c>
      <c r="O82" s="41">
        <f>IF(AND(H82="OCCUPIED",ISNUMBER(J82),K82=""),--(TODAY()-J82&gt;5),0)</f>
        <v/>
      </c>
      <c r="P82" s="41">
        <f>IF(O82=1,COUNTIF($O$2:O82,1),"")</f>
        <v/>
      </c>
      <c r="Q82" s="49">
        <f>IF(OR(B82="",G82="",H82&lt;&gt;"OCCUPIED"),"",IF(ISNUMBER(SEARCH("WHEAT",G82)),SUMPRODUCT(--ISNUMBER(SEARCH("WHEAT",$G$2:$G$99)),--($H$2:$H$99="OCCUPIED"),--($B$2:$B$99&lt;&gt;""),--(IFERROR(VALUE(LEFT(RIGHT($G$2:$G$99,7),4)),999)&lt;IFERROR(VALUE(LEFT(RIGHT(G82,7),4)),999)))+SUMPRODUCT(--ISNUMBER(SEARCH("WHEAT",$G$2:$G$99)),--($H$2:$H$99="OCCUPIED"),--($B$2:$B$99&lt;&gt;""),--(IFERROR(VALUE(LEFT(RIGHT($G$2:$G$99,7),4)),999)=IFERROR(VALUE(LEFT(RIGHT(G82,7),4)),999)),--($B$2:$B$99&lt;B82))+SUMPRODUCT(--ISNUMBER(SEARCH("WHEAT",$G$2:$G$99)),--($H$2:$H$99="OCCUPIED"),--($B$2:$B$99&lt;&gt;""),--(IFERROR(VALUE(LEFT(RIGHT($G$2:$G$99,7),4)),999)=IFERROR(VALUE(LEFT(RIGHT(G82,7),4)),999)),--($B$2:$B$99=B82),--(ROW($B$2:$B$99)&lt;=ROW())),""))</f>
        <v/>
      </c>
      <c r="R82" s="49">
        <f>IF(OR(B82="",G82="",H82&lt;&gt;"OCCUPIED"),"",IF(ISERROR(SEARCH("WHEAT",G82)),SUMPRODUCT(--ISERROR(SEARCH("WHEAT",$G$2:$G$99)),--($H$2:$H$99="OCCUPIED"),--($B$2:$B$99&lt;&gt;""),--(IFERROR(VALUE(LEFT(RIGHT($G$2:$G$99,7),4)),999)&lt;IFERROR(VALUE(LEFT(RIGHT(G82,7),4)),999)))+SUMPRODUCT(--ISERROR(SEARCH("WHEAT",$G$2:$G$99)),--($H$2:$H$99="OCCUPIED"),--($B$2:$B$99&lt;&gt;""),--(IFERROR(VALUE(LEFT(RIGHT($G$2:$G$99,7),4)),999)=IFERROR(VALUE(LEFT(RIGHT(G82,7),4)),999)),--($B$2:$B$99&lt;B82))+SUMPRODUCT(--ISERROR(SEARCH("WHEAT",$G$2:$G$99)),--($H$2:$H$99="OCCUPIED"),--($B$2:$B$99&lt;&gt;""),--(IFERROR(VALUE(LEFT(RIGHT($G$2:$G$99,7),4)),999)=IFERROR(VALUE(LEFT(RIGHT(G82,7),4)),999)),--($B$2:$B$99=B82),--(ROW($B$2:$B$99)&lt;=ROW())),""))</f>
        <v/>
      </c>
      <c r="S82" s="54" t="n"/>
    </row>
    <row r="83" hidden="1" ht="15.75" customHeight="1" s="236">
      <c r="A83" s="80">
        <f>IF(D83="","",ROWS($D$2:D83))</f>
        <v/>
      </c>
      <c r="B83" s="115" t="n"/>
      <c r="C83" s="116" t="n"/>
      <c r="D83" s="116" t="n"/>
      <c r="E83" s="116" t="n"/>
      <c r="F83" s="117" t="n"/>
      <c r="G83" s="116" t="n"/>
      <c r="H83" s="80">
        <f>IF(AND(E83="",F83="",G83=""),"EMPTY","OCCUPIED")</f>
        <v/>
      </c>
      <c r="I83" s="41">
        <f>IF(B83="","",IF(ISNUMBER(B83),MAX(0,TODAY()-B83),""))</f>
        <v/>
      </c>
      <c r="J83" s="115" t="n"/>
      <c r="K83" s="115" t="n"/>
      <c r="L83" s="115" t="n"/>
      <c r="M83" s="41">
        <f>IF(AND(H83="OCCUPIED",ISNUMBER(J83),K83=""),1,0)</f>
        <v/>
      </c>
      <c r="N83" s="41">
        <f>IF(M83=1,COUNTIF($M$2:M83,1),"")</f>
        <v/>
      </c>
      <c r="O83" s="41">
        <f>IF(AND(H83="OCCUPIED",ISNUMBER(J83),K83=""),--(TODAY()-J83&gt;5),0)</f>
        <v/>
      </c>
      <c r="P83" s="41">
        <f>IF(O83=1,COUNTIF($O$2:O83,1),"")</f>
        <v/>
      </c>
      <c r="Q83" s="49">
        <f>IF(OR(B83="",G83="",H83&lt;&gt;"OCCUPIED"),"",IF(ISNUMBER(SEARCH("WHEAT",G83)),SUMPRODUCT(--ISNUMBER(SEARCH("WHEAT",$G$2:$G$99)),--($H$2:$H$99="OCCUPIED"),--($B$2:$B$99&lt;&gt;""),--(IFERROR(VALUE(LEFT(RIGHT($G$2:$G$99,7),4)),999)&lt;IFERROR(VALUE(LEFT(RIGHT(G83,7),4)),999)))+SUMPRODUCT(--ISNUMBER(SEARCH("WHEAT",$G$2:$G$99)),--($H$2:$H$99="OCCUPIED"),--($B$2:$B$99&lt;&gt;""),--(IFERROR(VALUE(LEFT(RIGHT($G$2:$G$99,7),4)),999)=IFERROR(VALUE(LEFT(RIGHT(G83,7),4)),999)),--($B$2:$B$99&lt;B83))+SUMPRODUCT(--ISNUMBER(SEARCH("WHEAT",$G$2:$G$99)),--($H$2:$H$99="OCCUPIED"),--($B$2:$B$99&lt;&gt;""),--(IFERROR(VALUE(LEFT(RIGHT($G$2:$G$99,7),4)),999)=IFERROR(VALUE(LEFT(RIGHT(G83,7),4)),999)),--($B$2:$B$99=B83),--(ROW($B$2:$B$99)&lt;=ROW())),""))</f>
        <v/>
      </c>
      <c r="R83" s="49">
        <f>IF(OR(B83="",G83="",H83&lt;&gt;"OCCUPIED"),"",IF(ISERROR(SEARCH("WHEAT",G83)),SUMPRODUCT(--ISERROR(SEARCH("WHEAT",$G$2:$G$99)),--($H$2:$H$99="OCCUPIED"),--($B$2:$B$99&lt;&gt;""),--(IFERROR(VALUE(LEFT(RIGHT($G$2:$G$99,7),4)),999)&lt;IFERROR(VALUE(LEFT(RIGHT(G83,7),4)),999)))+SUMPRODUCT(--ISERROR(SEARCH("WHEAT",$G$2:$G$99)),--($H$2:$H$99="OCCUPIED"),--($B$2:$B$99&lt;&gt;""),--(IFERROR(VALUE(LEFT(RIGHT($G$2:$G$99,7),4)),999)=IFERROR(VALUE(LEFT(RIGHT(G83,7),4)),999)),--($B$2:$B$99&lt;B83))+SUMPRODUCT(--ISERROR(SEARCH("WHEAT",$G$2:$G$99)),--($H$2:$H$99="OCCUPIED"),--($B$2:$B$99&lt;&gt;""),--(IFERROR(VALUE(LEFT(RIGHT($G$2:$G$99,7),4)),999)=IFERROR(VALUE(LEFT(RIGHT(G83,7),4)),999)),--($B$2:$B$99=B83),--(ROW($B$2:$B$99)&lt;=ROW())),""))</f>
        <v/>
      </c>
      <c r="S83" s="54" t="n"/>
    </row>
    <row r="84" hidden="1" ht="15.75" customHeight="1" s="236">
      <c r="A84" s="80">
        <f>IF(D84="","",ROWS($D$2:D84))</f>
        <v/>
      </c>
      <c r="B84" s="115" t="n"/>
      <c r="C84" s="116" t="n"/>
      <c r="D84" s="116" t="n"/>
      <c r="E84" s="116" t="n"/>
      <c r="F84" s="117" t="n"/>
      <c r="G84" s="116" t="n"/>
      <c r="H84" s="80">
        <f>IF(AND(E84="",F84="",G84=""),"EMPTY","OCCUPIED")</f>
        <v/>
      </c>
      <c r="I84" s="41">
        <f>IF(B84="","",IF(ISNUMBER(B84),MAX(0,TODAY()-B84),""))</f>
        <v/>
      </c>
      <c r="J84" s="115" t="n"/>
      <c r="K84" s="115" t="n"/>
      <c r="L84" s="115" t="n"/>
      <c r="M84" s="41">
        <f>IF(AND(H84="OCCUPIED",ISNUMBER(J84),K84=""),1,0)</f>
        <v/>
      </c>
      <c r="N84" s="41">
        <f>IF(M84=1,COUNTIF($M$2:M84,1),"")</f>
        <v/>
      </c>
      <c r="O84" s="41">
        <f>IF(AND(H84="OCCUPIED",ISNUMBER(J84),K84=""),--(TODAY()-J84&gt;5),0)</f>
        <v/>
      </c>
      <c r="P84" s="41">
        <f>IF(O84=1,COUNTIF($O$2:O84,1),"")</f>
        <v/>
      </c>
      <c r="Q84" s="49">
        <f>IF(OR(B84="",G84="",H84&lt;&gt;"OCCUPIED"),"",IF(ISNUMBER(SEARCH("WHEAT",G84)),SUMPRODUCT(--ISNUMBER(SEARCH("WHEAT",$G$2:$G$99)),--($H$2:$H$99="OCCUPIED"),--($B$2:$B$99&lt;&gt;""),--(IFERROR(VALUE(LEFT(RIGHT($G$2:$G$99,7),4)),999)&lt;IFERROR(VALUE(LEFT(RIGHT(G84,7),4)),999)))+SUMPRODUCT(--ISNUMBER(SEARCH("WHEAT",$G$2:$G$99)),--($H$2:$H$99="OCCUPIED"),--($B$2:$B$99&lt;&gt;""),--(IFERROR(VALUE(LEFT(RIGHT($G$2:$G$99,7),4)),999)=IFERROR(VALUE(LEFT(RIGHT(G84,7),4)),999)),--($B$2:$B$99&lt;B84))+SUMPRODUCT(--ISNUMBER(SEARCH("WHEAT",$G$2:$G$99)),--($H$2:$H$99="OCCUPIED"),--($B$2:$B$99&lt;&gt;""),--(IFERROR(VALUE(LEFT(RIGHT($G$2:$G$99,7),4)),999)=IFERROR(VALUE(LEFT(RIGHT(G84,7),4)),999)),--($B$2:$B$99=B84),--(ROW($B$2:$B$99)&lt;=ROW())),""))</f>
        <v/>
      </c>
      <c r="R84" s="49">
        <f>IF(OR(B84="",G84="",H84&lt;&gt;"OCCUPIED"),"",IF(ISERROR(SEARCH("WHEAT",G84)),SUMPRODUCT(--ISERROR(SEARCH("WHEAT",$G$2:$G$99)),--($H$2:$H$99="OCCUPIED"),--($B$2:$B$99&lt;&gt;""),--(IFERROR(VALUE(LEFT(RIGHT($G$2:$G$99,7),4)),999)&lt;IFERROR(VALUE(LEFT(RIGHT(G84,7),4)),999)))+SUMPRODUCT(--ISERROR(SEARCH("WHEAT",$G$2:$G$99)),--($H$2:$H$99="OCCUPIED"),--($B$2:$B$99&lt;&gt;""),--(IFERROR(VALUE(LEFT(RIGHT($G$2:$G$99,7),4)),999)=IFERROR(VALUE(LEFT(RIGHT(G84,7),4)),999)),--($B$2:$B$99&lt;B84))+SUMPRODUCT(--ISERROR(SEARCH("WHEAT",$G$2:$G$99)),--($H$2:$H$99="OCCUPIED"),--($B$2:$B$99&lt;&gt;""),--(IFERROR(VALUE(LEFT(RIGHT($G$2:$G$99,7),4)),999)=IFERROR(VALUE(LEFT(RIGHT(G84,7),4)),999)),--($B$2:$B$99=B84),--(ROW($B$2:$B$99)&lt;=ROW())),""))</f>
        <v/>
      </c>
      <c r="S84" s="54" t="n"/>
    </row>
    <row r="85" hidden="1" ht="15.75" customHeight="1" s="236">
      <c r="A85" s="80">
        <f>IF(D85="","",ROWS($D$2:D85))</f>
        <v/>
      </c>
      <c r="B85" s="115" t="n"/>
      <c r="C85" s="116" t="n"/>
      <c r="D85" s="116" t="n"/>
      <c r="E85" s="116" t="n"/>
      <c r="F85" s="117" t="n"/>
      <c r="G85" s="116" t="n"/>
      <c r="H85" s="80">
        <f>IF(AND(E85="",F85="",G85=""),"EMPTY","OCCUPIED")</f>
        <v/>
      </c>
      <c r="I85" s="41">
        <f>IF(B85="","",IF(ISNUMBER(B85),MAX(0,TODAY()-B85),""))</f>
        <v/>
      </c>
      <c r="J85" s="115" t="n"/>
      <c r="K85" s="115" t="n"/>
      <c r="L85" s="115" t="n"/>
      <c r="M85" s="41">
        <f>IF(AND(H85="OCCUPIED",ISNUMBER(J85),K85=""),1,0)</f>
        <v/>
      </c>
      <c r="N85" s="41">
        <f>IF(M85=1,COUNTIF($M$2:M85,1),"")</f>
        <v/>
      </c>
      <c r="O85" s="41">
        <f>IF(AND(H85="OCCUPIED",ISNUMBER(J85),K85=""),--(TODAY()-J85&gt;5),0)</f>
        <v/>
      </c>
      <c r="P85" s="41">
        <f>IF(O85=1,COUNTIF($O$2:O85,1),"")</f>
        <v/>
      </c>
      <c r="Q85" s="49">
        <f>IF(OR(B85="",G85="",H85&lt;&gt;"OCCUPIED"),"",IF(ISNUMBER(SEARCH("WHEAT",G85)),SUMPRODUCT(--ISNUMBER(SEARCH("WHEAT",$G$2:$G$99)),--($H$2:$H$99="OCCUPIED"),--($B$2:$B$99&lt;&gt;""),--(IFERROR(VALUE(LEFT(RIGHT($G$2:$G$99,7),4)),999)&lt;IFERROR(VALUE(LEFT(RIGHT(G85,7),4)),999)))+SUMPRODUCT(--ISNUMBER(SEARCH("WHEAT",$G$2:$G$99)),--($H$2:$H$99="OCCUPIED"),--($B$2:$B$99&lt;&gt;""),--(IFERROR(VALUE(LEFT(RIGHT($G$2:$G$99,7),4)),999)=IFERROR(VALUE(LEFT(RIGHT(G85,7),4)),999)),--($B$2:$B$99&lt;B85))+SUMPRODUCT(--ISNUMBER(SEARCH("WHEAT",$G$2:$G$99)),--($H$2:$H$99="OCCUPIED"),--($B$2:$B$99&lt;&gt;""),--(IFERROR(VALUE(LEFT(RIGHT($G$2:$G$99,7),4)),999)=IFERROR(VALUE(LEFT(RIGHT(G85,7),4)),999)),--($B$2:$B$99=B85),--(ROW($B$2:$B$99)&lt;=ROW())),""))</f>
        <v/>
      </c>
      <c r="R85" s="49">
        <f>IF(OR(B85="",G85="",H85&lt;&gt;"OCCUPIED"),"",IF(ISERROR(SEARCH("WHEAT",G85)),SUMPRODUCT(--ISERROR(SEARCH("WHEAT",$G$2:$G$99)),--($H$2:$H$99="OCCUPIED"),--($B$2:$B$99&lt;&gt;""),--(IFERROR(VALUE(LEFT(RIGHT($G$2:$G$99,7),4)),999)&lt;IFERROR(VALUE(LEFT(RIGHT(G85,7),4)),999)))+SUMPRODUCT(--ISERROR(SEARCH("WHEAT",$G$2:$G$99)),--($H$2:$H$99="OCCUPIED"),--($B$2:$B$99&lt;&gt;""),--(IFERROR(VALUE(LEFT(RIGHT($G$2:$G$99,7),4)),999)=IFERROR(VALUE(LEFT(RIGHT(G85,7),4)),999)),--($B$2:$B$99&lt;B85))+SUMPRODUCT(--ISERROR(SEARCH("WHEAT",$G$2:$G$99)),--($H$2:$H$99="OCCUPIED"),--($B$2:$B$99&lt;&gt;""),--(IFERROR(VALUE(LEFT(RIGHT($G$2:$G$99,7),4)),999)=IFERROR(VALUE(LEFT(RIGHT(G85,7),4)),999)),--($B$2:$B$99=B85),--(ROW($B$2:$B$99)&lt;=ROW())),""))</f>
        <v/>
      </c>
      <c r="S85" s="54" t="n"/>
    </row>
    <row r="86" hidden="1" ht="15.75" customHeight="1" s="236">
      <c r="A86" s="80">
        <f>IF(D86="","",ROWS($D$2:D86))</f>
        <v/>
      </c>
      <c r="B86" s="115" t="n"/>
      <c r="C86" s="116" t="n"/>
      <c r="D86" s="116" t="n"/>
      <c r="E86" s="116" t="n"/>
      <c r="F86" s="117" t="n"/>
      <c r="G86" s="116" t="n"/>
      <c r="H86" s="80">
        <f>IF(AND(E86="",F86="",G86=""),"EMPTY","OCCUPIED")</f>
        <v/>
      </c>
      <c r="I86" s="41">
        <f>IF(B86="","",IF(ISNUMBER(B86),MAX(0,TODAY()-B86),""))</f>
        <v/>
      </c>
      <c r="J86" s="115" t="n"/>
      <c r="K86" s="115" t="n"/>
      <c r="L86" s="115" t="n"/>
      <c r="M86" s="41">
        <f>IF(AND(H86="OCCUPIED",ISNUMBER(J86),K86=""),1,0)</f>
        <v/>
      </c>
      <c r="N86" s="41">
        <f>IF(M86=1,COUNTIF($M$2:M86,1),"")</f>
        <v/>
      </c>
      <c r="O86" s="41">
        <f>IF(AND(H86="OCCUPIED",ISNUMBER(J86),K86=""),--(TODAY()-J86&gt;5),0)</f>
        <v/>
      </c>
      <c r="P86" s="41">
        <f>IF(O86=1,COUNTIF($O$2:O86,1),"")</f>
        <v/>
      </c>
      <c r="Q86" s="49">
        <f>IF(OR(B86="",G86="",H86&lt;&gt;"OCCUPIED"),"",IF(ISNUMBER(SEARCH("WHEAT",G86)),SUMPRODUCT(--ISNUMBER(SEARCH("WHEAT",$G$2:$G$99)),--($H$2:$H$99="OCCUPIED"),--($B$2:$B$99&lt;&gt;""),--(IFERROR(VALUE(LEFT(RIGHT($G$2:$G$99,7),4)),999)&lt;IFERROR(VALUE(LEFT(RIGHT(G86,7),4)),999)))+SUMPRODUCT(--ISNUMBER(SEARCH("WHEAT",$G$2:$G$99)),--($H$2:$H$99="OCCUPIED"),--($B$2:$B$99&lt;&gt;""),--(IFERROR(VALUE(LEFT(RIGHT($G$2:$G$99,7),4)),999)=IFERROR(VALUE(LEFT(RIGHT(G86,7),4)),999)),--($B$2:$B$99&lt;B86))+SUMPRODUCT(--ISNUMBER(SEARCH("WHEAT",$G$2:$G$99)),--($H$2:$H$99="OCCUPIED"),--($B$2:$B$99&lt;&gt;""),--(IFERROR(VALUE(LEFT(RIGHT($G$2:$G$99,7),4)),999)=IFERROR(VALUE(LEFT(RIGHT(G86,7),4)),999)),--($B$2:$B$99=B86),--(ROW($B$2:$B$99)&lt;=ROW())),""))</f>
        <v/>
      </c>
      <c r="R86" s="49">
        <f>IF(OR(B86="",G86="",H86&lt;&gt;"OCCUPIED"),"",IF(ISERROR(SEARCH("WHEAT",G86)),SUMPRODUCT(--ISERROR(SEARCH("WHEAT",$G$2:$G$99)),--($H$2:$H$99="OCCUPIED"),--($B$2:$B$99&lt;&gt;""),--(IFERROR(VALUE(LEFT(RIGHT($G$2:$G$99,7),4)),999)&lt;IFERROR(VALUE(LEFT(RIGHT(G86,7),4)),999)))+SUMPRODUCT(--ISERROR(SEARCH("WHEAT",$G$2:$G$99)),--($H$2:$H$99="OCCUPIED"),--($B$2:$B$99&lt;&gt;""),--(IFERROR(VALUE(LEFT(RIGHT($G$2:$G$99,7),4)),999)=IFERROR(VALUE(LEFT(RIGHT(G86,7),4)),999)),--($B$2:$B$99&lt;B86))+SUMPRODUCT(--ISERROR(SEARCH("WHEAT",$G$2:$G$99)),--($H$2:$H$99="OCCUPIED"),--($B$2:$B$99&lt;&gt;""),--(IFERROR(VALUE(LEFT(RIGHT($G$2:$G$99,7),4)),999)=IFERROR(VALUE(LEFT(RIGHT(G86,7),4)),999)),--($B$2:$B$99=B86),--(ROW($B$2:$B$99)&lt;=ROW())),""))</f>
        <v/>
      </c>
      <c r="S86" s="54" t="n"/>
    </row>
    <row r="87" hidden="1" ht="15.75" customHeight="1" s="236">
      <c r="A87" s="80">
        <f>IF(D87="","",ROWS($D$2:D87))</f>
        <v/>
      </c>
      <c r="B87" s="115" t="n"/>
      <c r="C87" s="116" t="n"/>
      <c r="D87" s="116" t="n"/>
      <c r="E87" s="116" t="n"/>
      <c r="F87" s="117" t="n"/>
      <c r="G87" s="116" t="n"/>
      <c r="H87" s="80">
        <f>IF(AND(E87="",F87="",G87=""),"EMPTY","OCCUPIED")</f>
        <v/>
      </c>
      <c r="I87" s="41">
        <f>IF(B87="","",IF(ISNUMBER(B87),MAX(0,TODAY()-B87),""))</f>
        <v/>
      </c>
      <c r="J87" s="115" t="n"/>
      <c r="K87" s="115" t="n"/>
      <c r="L87" s="115" t="n"/>
      <c r="M87" s="41">
        <f>IF(AND(H87="OCCUPIED",ISNUMBER(J87),K87=""),1,0)</f>
        <v/>
      </c>
      <c r="N87" s="41">
        <f>IF(M87=1,COUNTIF($M$2:M87,1),"")</f>
        <v/>
      </c>
      <c r="O87" s="41">
        <f>IF(AND(H87="OCCUPIED",ISNUMBER(J87),K87=""),--(TODAY()-J87&gt;5),0)</f>
        <v/>
      </c>
      <c r="P87" s="41">
        <f>IF(O87=1,COUNTIF($O$2:O87,1),"")</f>
        <v/>
      </c>
      <c r="Q87" s="49">
        <f>IF(OR(B87="",G87="",H87&lt;&gt;"OCCUPIED"),"",IF(ISNUMBER(SEARCH("WHEAT",G87)),SUMPRODUCT(--ISNUMBER(SEARCH("WHEAT",$G$2:$G$99)),--($H$2:$H$99="OCCUPIED"),--($B$2:$B$99&lt;&gt;""),--(IFERROR(VALUE(LEFT(RIGHT($G$2:$G$99,7),4)),999)&lt;IFERROR(VALUE(LEFT(RIGHT(G87,7),4)),999)))+SUMPRODUCT(--ISNUMBER(SEARCH("WHEAT",$G$2:$G$99)),--($H$2:$H$99="OCCUPIED"),--($B$2:$B$99&lt;&gt;""),--(IFERROR(VALUE(LEFT(RIGHT($G$2:$G$99,7),4)),999)=IFERROR(VALUE(LEFT(RIGHT(G87,7),4)),999)),--($B$2:$B$99&lt;B87))+SUMPRODUCT(--ISNUMBER(SEARCH("WHEAT",$G$2:$G$99)),--($H$2:$H$99="OCCUPIED"),--($B$2:$B$99&lt;&gt;""),--(IFERROR(VALUE(LEFT(RIGHT($G$2:$G$99,7),4)),999)=IFERROR(VALUE(LEFT(RIGHT(G87,7),4)),999)),--($B$2:$B$99=B87),--(ROW($B$2:$B$99)&lt;=ROW())),""))</f>
        <v/>
      </c>
      <c r="R87" s="49">
        <f>IF(OR(B87="",G87="",H87&lt;&gt;"OCCUPIED"),"",IF(ISERROR(SEARCH("WHEAT",G87)),SUMPRODUCT(--ISERROR(SEARCH("WHEAT",$G$2:$G$99)),--($H$2:$H$99="OCCUPIED"),--($B$2:$B$99&lt;&gt;""),--(IFERROR(VALUE(LEFT(RIGHT($G$2:$G$99,7),4)),999)&lt;IFERROR(VALUE(LEFT(RIGHT(G87,7),4)),999)))+SUMPRODUCT(--ISERROR(SEARCH("WHEAT",$G$2:$G$99)),--($H$2:$H$99="OCCUPIED"),--($B$2:$B$99&lt;&gt;""),--(IFERROR(VALUE(LEFT(RIGHT($G$2:$G$99,7),4)),999)=IFERROR(VALUE(LEFT(RIGHT(G87,7),4)),999)),--($B$2:$B$99&lt;B87))+SUMPRODUCT(--ISERROR(SEARCH("WHEAT",$G$2:$G$99)),--($H$2:$H$99="OCCUPIED"),--($B$2:$B$99&lt;&gt;""),--(IFERROR(VALUE(LEFT(RIGHT($G$2:$G$99,7),4)),999)=IFERROR(VALUE(LEFT(RIGHT(G87,7),4)),999)),--($B$2:$B$99=B87),--(ROW($B$2:$B$99)&lt;=ROW())),""))</f>
        <v/>
      </c>
      <c r="S87" s="54" t="n"/>
    </row>
    <row r="88" hidden="1" ht="15.75" customHeight="1" s="236">
      <c r="A88" s="80">
        <f>IF(D88="","",ROWS($D$2:D88))</f>
        <v/>
      </c>
      <c r="B88" s="115" t="n"/>
      <c r="C88" s="116" t="n"/>
      <c r="D88" s="116" t="n"/>
      <c r="E88" s="116" t="n"/>
      <c r="F88" s="117" t="n"/>
      <c r="G88" s="116" t="n"/>
      <c r="H88" s="80">
        <f>IF(AND(E88="",F88="",G88=""),"EMPTY","OCCUPIED")</f>
        <v/>
      </c>
      <c r="I88" s="41">
        <f>IF(B88="","",IF(ISNUMBER(B88),MAX(0,TODAY()-B88),""))</f>
        <v/>
      </c>
      <c r="J88" s="115" t="n"/>
      <c r="K88" s="115" t="n"/>
      <c r="L88" s="115" t="n"/>
      <c r="M88" s="41">
        <f>IF(AND(H88="OCCUPIED",ISNUMBER(J88),K88=""),1,0)</f>
        <v/>
      </c>
      <c r="N88" s="41">
        <f>IF(M88=1,COUNTIF($M$2:M88,1),"")</f>
        <v/>
      </c>
      <c r="O88" s="41">
        <f>IF(AND(H88="OCCUPIED",ISNUMBER(J88),K88=""),--(TODAY()-J88&gt;5),0)</f>
        <v/>
      </c>
      <c r="P88" s="41">
        <f>IF(O88=1,COUNTIF($O$2:O88,1),"")</f>
        <v/>
      </c>
      <c r="Q88" s="49">
        <f>IF(OR(B88="",G88="",H88&lt;&gt;"OCCUPIED"),"",IF(ISNUMBER(SEARCH("WHEAT",G88)),SUMPRODUCT(--ISNUMBER(SEARCH("WHEAT",$G$2:$G$99)),--($H$2:$H$99="OCCUPIED"),--($B$2:$B$99&lt;&gt;""),--(IFERROR(VALUE(LEFT(RIGHT($G$2:$G$99,7),4)),999)&lt;IFERROR(VALUE(LEFT(RIGHT(G88,7),4)),999)))+SUMPRODUCT(--ISNUMBER(SEARCH("WHEAT",$G$2:$G$99)),--($H$2:$H$99="OCCUPIED"),--($B$2:$B$99&lt;&gt;""),--(IFERROR(VALUE(LEFT(RIGHT($G$2:$G$99,7),4)),999)=IFERROR(VALUE(LEFT(RIGHT(G88,7),4)),999)),--($B$2:$B$99&lt;B88))+SUMPRODUCT(--ISNUMBER(SEARCH("WHEAT",$G$2:$G$99)),--($H$2:$H$99="OCCUPIED"),--($B$2:$B$99&lt;&gt;""),--(IFERROR(VALUE(LEFT(RIGHT($G$2:$G$99,7),4)),999)=IFERROR(VALUE(LEFT(RIGHT(G88,7),4)),999)),--($B$2:$B$99=B88),--(ROW($B$2:$B$99)&lt;=ROW())),""))</f>
        <v/>
      </c>
      <c r="R88" s="49">
        <f>IF(OR(B88="",G88="",H88&lt;&gt;"OCCUPIED"),"",IF(ISERROR(SEARCH("WHEAT",G88)),SUMPRODUCT(--ISERROR(SEARCH("WHEAT",$G$2:$G$99)),--($H$2:$H$99="OCCUPIED"),--($B$2:$B$99&lt;&gt;""),--(IFERROR(VALUE(LEFT(RIGHT($G$2:$G$99,7),4)),999)&lt;IFERROR(VALUE(LEFT(RIGHT(G88,7),4)),999)))+SUMPRODUCT(--ISERROR(SEARCH("WHEAT",$G$2:$G$99)),--($H$2:$H$99="OCCUPIED"),--($B$2:$B$99&lt;&gt;""),--(IFERROR(VALUE(LEFT(RIGHT($G$2:$G$99,7),4)),999)=IFERROR(VALUE(LEFT(RIGHT(G88,7),4)),999)),--($B$2:$B$99&lt;B88))+SUMPRODUCT(--ISERROR(SEARCH("WHEAT",$G$2:$G$99)),--($H$2:$H$99="OCCUPIED"),--($B$2:$B$99&lt;&gt;""),--(IFERROR(VALUE(LEFT(RIGHT($G$2:$G$99,7),4)),999)=IFERROR(VALUE(LEFT(RIGHT(G88,7),4)),999)),--($B$2:$B$99=B88),--(ROW($B$2:$B$99)&lt;=ROW())),""))</f>
        <v/>
      </c>
      <c r="S88" s="54" t="n"/>
    </row>
    <row r="89" hidden="1" ht="15.75" customHeight="1" s="236">
      <c r="A89" s="80">
        <f>IF(D89="","",ROWS($D$2:D89))</f>
        <v/>
      </c>
      <c r="B89" s="115" t="n"/>
      <c r="C89" s="116" t="n"/>
      <c r="D89" s="116" t="n"/>
      <c r="E89" s="116" t="n"/>
      <c r="F89" s="117" t="n"/>
      <c r="G89" s="116" t="n"/>
      <c r="H89" s="80">
        <f>IF(AND(E89="",F89="",G89=""),"EMPTY","OCCUPIED")</f>
        <v/>
      </c>
      <c r="I89" s="41">
        <f>IF(B89="","",IF(ISNUMBER(B89),MAX(0,TODAY()-B89),""))</f>
        <v/>
      </c>
      <c r="J89" s="115" t="n"/>
      <c r="K89" s="115" t="n"/>
      <c r="L89" s="115" t="n"/>
      <c r="M89" s="41">
        <f>IF(AND(H89="OCCUPIED",ISNUMBER(J89),K89=""),1,0)</f>
        <v/>
      </c>
      <c r="N89" s="41">
        <f>IF(M89=1,COUNTIF($M$2:M89,1),"")</f>
        <v/>
      </c>
      <c r="O89" s="41">
        <f>IF(AND(H89="OCCUPIED",ISNUMBER(J89),K89=""),--(TODAY()-J89&gt;5),0)</f>
        <v/>
      </c>
      <c r="P89" s="41">
        <f>IF(O89=1,COUNTIF($O$2:O89,1),"")</f>
        <v/>
      </c>
      <c r="Q89" s="49">
        <f>IF(OR(B89="",G89="",H89&lt;&gt;"OCCUPIED"),"",IF(ISNUMBER(SEARCH("WHEAT",G89)),SUMPRODUCT(--ISNUMBER(SEARCH("WHEAT",$G$2:$G$99)),--($H$2:$H$99="OCCUPIED"),--($B$2:$B$99&lt;&gt;""),--(IFERROR(VALUE(LEFT(RIGHT($G$2:$G$99,7),4)),999)&lt;IFERROR(VALUE(LEFT(RIGHT(G89,7),4)),999)))+SUMPRODUCT(--ISNUMBER(SEARCH("WHEAT",$G$2:$G$99)),--($H$2:$H$99="OCCUPIED"),--($B$2:$B$99&lt;&gt;""),--(IFERROR(VALUE(LEFT(RIGHT($G$2:$G$99,7),4)),999)=IFERROR(VALUE(LEFT(RIGHT(G89,7),4)),999)),--($B$2:$B$99&lt;B89))+SUMPRODUCT(--ISNUMBER(SEARCH("WHEAT",$G$2:$G$99)),--($H$2:$H$99="OCCUPIED"),--($B$2:$B$99&lt;&gt;""),--(IFERROR(VALUE(LEFT(RIGHT($G$2:$G$99,7),4)),999)=IFERROR(VALUE(LEFT(RIGHT(G89,7),4)),999)),--($B$2:$B$99=B89),--(ROW($B$2:$B$99)&lt;=ROW())),""))</f>
        <v/>
      </c>
      <c r="R89" s="49">
        <f>IF(OR(B89="",G89="",H89&lt;&gt;"OCCUPIED"),"",IF(ISERROR(SEARCH("WHEAT",G89)),SUMPRODUCT(--ISERROR(SEARCH("WHEAT",$G$2:$G$99)),--($H$2:$H$99="OCCUPIED"),--($B$2:$B$99&lt;&gt;""),--(IFERROR(VALUE(LEFT(RIGHT($G$2:$G$99,7),4)),999)&lt;IFERROR(VALUE(LEFT(RIGHT(G89,7),4)),999)))+SUMPRODUCT(--ISERROR(SEARCH("WHEAT",$G$2:$G$99)),--($H$2:$H$99="OCCUPIED"),--($B$2:$B$99&lt;&gt;""),--(IFERROR(VALUE(LEFT(RIGHT($G$2:$G$99,7),4)),999)=IFERROR(VALUE(LEFT(RIGHT(G89,7),4)),999)),--($B$2:$B$99&lt;B89))+SUMPRODUCT(--ISERROR(SEARCH("WHEAT",$G$2:$G$99)),--($H$2:$H$99="OCCUPIED"),--($B$2:$B$99&lt;&gt;""),--(IFERROR(VALUE(LEFT(RIGHT($G$2:$G$99,7),4)),999)=IFERROR(VALUE(LEFT(RIGHT(G89,7),4)),999)),--($B$2:$B$99=B89),--(ROW($B$2:$B$99)&lt;=ROW())),""))</f>
        <v/>
      </c>
      <c r="S89" s="54" t="n"/>
    </row>
    <row r="90" hidden="1" ht="15.75" customHeight="1" s="236">
      <c r="A90" s="80">
        <f>IF(D90="","",ROWS($D$2:D90))</f>
        <v/>
      </c>
      <c r="B90" s="115" t="n"/>
      <c r="C90" s="116" t="n"/>
      <c r="D90" s="116" t="n"/>
      <c r="E90" s="116" t="n"/>
      <c r="F90" s="117" t="n"/>
      <c r="G90" s="116" t="n"/>
      <c r="H90" s="80">
        <f>IF(AND(E90="",F90="",G90=""),"EMPTY","OCCUPIED")</f>
        <v/>
      </c>
      <c r="I90" s="41">
        <f>IF(B90="","",IF(ISNUMBER(B90),MAX(0,TODAY()-B90),""))</f>
        <v/>
      </c>
      <c r="J90" s="115" t="n"/>
      <c r="K90" s="115" t="n"/>
      <c r="L90" s="115" t="n"/>
      <c r="M90" s="41">
        <f>IF(AND(H90="OCCUPIED",ISNUMBER(J90),K90=""),1,0)</f>
        <v/>
      </c>
      <c r="N90" s="41">
        <f>IF(M90=1,COUNTIF($M$2:M90,1),"")</f>
        <v/>
      </c>
      <c r="O90" s="41">
        <f>IF(AND(H90="OCCUPIED",ISNUMBER(J90),K90=""),--(TODAY()-J90&gt;5),0)</f>
        <v/>
      </c>
      <c r="P90" s="41">
        <f>IF(O90=1,COUNTIF($O$2:O90,1),"")</f>
        <v/>
      </c>
      <c r="Q90" s="49">
        <f>IF(OR(B90="",G90="",H90&lt;&gt;"OCCUPIED"),"",IF(ISNUMBER(SEARCH("WHEAT",G90)),SUMPRODUCT(--ISNUMBER(SEARCH("WHEAT",$G$2:$G$99)),--($H$2:$H$99="OCCUPIED"),--($B$2:$B$99&lt;&gt;""),--(IFERROR(VALUE(LEFT(RIGHT($G$2:$G$99,7),4)),999)&lt;IFERROR(VALUE(LEFT(RIGHT(G90,7),4)),999)))+SUMPRODUCT(--ISNUMBER(SEARCH("WHEAT",$G$2:$G$99)),--($H$2:$H$99="OCCUPIED"),--($B$2:$B$99&lt;&gt;""),--(IFERROR(VALUE(LEFT(RIGHT($G$2:$G$99,7),4)),999)=IFERROR(VALUE(LEFT(RIGHT(G90,7),4)),999)),--($B$2:$B$99&lt;B90))+SUMPRODUCT(--ISNUMBER(SEARCH("WHEAT",$G$2:$G$99)),--($H$2:$H$99="OCCUPIED"),--($B$2:$B$99&lt;&gt;""),--(IFERROR(VALUE(LEFT(RIGHT($G$2:$G$99,7),4)),999)=IFERROR(VALUE(LEFT(RIGHT(G90,7),4)),999)),--($B$2:$B$99=B90),--(ROW($B$2:$B$99)&lt;=ROW())),""))</f>
        <v/>
      </c>
      <c r="R90" s="49">
        <f>IF(OR(B90="",G90="",H90&lt;&gt;"OCCUPIED"),"",IF(ISERROR(SEARCH("WHEAT",G90)),SUMPRODUCT(--ISERROR(SEARCH("WHEAT",$G$2:$G$99)),--($H$2:$H$99="OCCUPIED"),--($B$2:$B$99&lt;&gt;""),--(IFERROR(VALUE(LEFT(RIGHT($G$2:$G$99,7),4)),999)&lt;IFERROR(VALUE(LEFT(RIGHT(G90,7),4)),999)))+SUMPRODUCT(--ISERROR(SEARCH("WHEAT",$G$2:$G$99)),--($H$2:$H$99="OCCUPIED"),--($B$2:$B$99&lt;&gt;""),--(IFERROR(VALUE(LEFT(RIGHT($G$2:$G$99,7),4)),999)=IFERROR(VALUE(LEFT(RIGHT(G90,7),4)),999)),--($B$2:$B$99&lt;B90))+SUMPRODUCT(--ISERROR(SEARCH("WHEAT",$G$2:$G$99)),--($H$2:$H$99="OCCUPIED"),--($B$2:$B$99&lt;&gt;""),--(IFERROR(VALUE(LEFT(RIGHT($G$2:$G$99,7),4)),999)=IFERROR(VALUE(LEFT(RIGHT(G90,7),4)),999)),--($B$2:$B$99=B90),--(ROW($B$2:$B$99)&lt;=ROW())),""))</f>
        <v/>
      </c>
      <c r="S90" s="54" t="n"/>
    </row>
    <row r="91" hidden="1" ht="15.75" customHeight="1" s="236">
      <c r="A91" s="80">
        <f>IF(D91="","",ROWS($D$2:D91))</f>
        <v/>
      </c>
      <c r="B91" s="115" t="n"/>
      <c r="C91" s="116" t="n"/>
      <c r="D91" s="116" t="n"/>
      <c r="E91" s="116" t="n"/>
      <c r="F91" s="117" t="n"/>
      <c r="G91" s="116" t="n"/>
      <c r="H91" s="80">
        <f>IF(AND(E91="",F91="",G91=""),"EMPTY","OCCUPIED")</f>
        <v/>
      </c>
      <c r="I91" s="41">
        <f>IF(B91="","",IF(ISNUMBER(B91),MAX(0,TODAY()-B91),""))</f>
        <v/>
      </c>
      <c r="J91" s="115" t="n"/>
      <c r="K91" s="115" t="n"/>
      <c r="L91" s="115" t="n"/>
      <c r="M91" s="41">
        <f>IF(AND(H91="OCCUPIED",ISNUMBER(J91),K91=""),1,0)</f>
        <v/>
      </c>
      <c r="N91" s="41">
        <f>IF(M91=1,COUNTIF($M$2:M91,1),"")</f>
        <v/>
      </c>
      <c r="O91" s="41">
        <f>IF(AND(H91="OCCUPIED",ISNUMBER(J91),K91=""),--(TODAY()-J91&gt;5),0)</f>
        <v/>
      </c>
      <c r="P91" s="41">
        <f>IF(O91=1,COUNTIF($O$2:O91,1),"")</f>
        <v/>
      </c>
      <c r="Q91" s="49">
        <f>IF(OR(B91="",G91="",H91&lt;&gt;"OCCUPIED"),"",IF(ISNUMBER(SEARCH("WHEAT",G91)),SUMPRODUCT(--ISNUMBER(SEARCH("WHEAT",$G$2:$G$99)),--($H$2:$H$99="OCCUPIED"),--($B$2:$B$99&lt;&gt;""),--(IFERROR(VALUE(LEFT(RIGHT($G$2:$G$99,7),4)),999)&lt;IFERROR(VALUE(LEFT(RIGHT(G91,7),4)),999)))+SUMPRODUCT(--ISNUMBER(SEARCH("WHEAT",$G$2:$G$99)),--($H$2:$H$99="OCCUPIED"),--($B$2:$B$99&lt;&gt;""),--(IFERROR(VALUE(LEFT(RIGHT($G$2:$G$99,7),4)),999)=IFERROR(VALUE(LEFT(RIGHT(G91,7),4)),999)),--($B$2:$B$99&lt;B91))+SUMPRODUCT(--ISNUMBER(SEARCH("WHEAT",$G$2:$G$99)),--($H$2:$H$99="OCCUPIED"),--($B$2:$B$99&lt;&gt;""),--(IFERROR(VALUE(LEFT(RIGHT($G$2:$G$99,7),4)),999)=IFERROR(VALUE(LEFT(RIGHT(G91,7),4)),999)),--($B$2:$B$99=B91),--(ROW($B$2:$B$99)&lt;=ROW())),""))</f>
        <v/>
      </c>
      <c r="R91" s="49">
        <f>IF(OR(B91="",G91="",H91&lt;&gt;"OCCUPIED"),"",IF(ISERROR(SEARCH("WHEAT",G91)),SUMPRODUCT(--ISERROR(SEARCH("WHEAT",$G$2:$G$99)),--($H$2:$H$99="OCCUPIED"),--($B$2:$B$99&lt;&gt;""),--(IFERROR(VALUE(LEFT(RIGHT($G$2:$G$99,7),4)),999)&lt;IFERROR(VALUE(LEFT(RIGHT(G91,7),4)),999)))+SUMPRODUCT(--ISERROR(SEARCH("WHEAT",$G$2:$G$99)),--($H$2:$H$99="OCCUPIED"),--($B$2:$B$99&lt;&gt;""),--(IFERROR(VALUE(LEFT(RIGHT($G$2:$G$99,7),4)),999)=IFERROR(VALUE(LEFT(RIGHT(G91,7),4)),999)),--($B$2:$B$99&lt;B91))+SUMPRODUCT(--ISERROR(SEARCH("WHEAT",$G$2:$G$99)),--($H$2:$H$99="OCCUPIED"),--($B$2:$B$99&lt;&gt;""),--(IFERROR(VALUE(LEFT(RIGHT($G$2:$G$99,7),4)),999)=IFERROR(VALUE(LEFT(RIGHT(G91,7),4)),999)),--($B$2:$B$99=B91),--(ROW($B$2:$B$99)&lt;=ROW())),""))</f>
        <v/>
      </c>
      <c r="S91" s="54" t="n"/>
    </row>
    <row r="92" hidden="1" ht="15.75" customHeight="1" s="236">
      <c r="A92" s="80">
        <f>IF(D92="","",ROWS($D$2:D92))</f>
        <v/>
      </c>
      <c r="B92" s="115" t="n"/>
      <c r="C92" s="116" t="n"/>
      <c r="D92" s="116" t="n"/>
      <c r="E92" s="116" t="n"/>
      <c r="F92" s="117" t="n"/>
      <c r="G92" s="116" t="n"/>
      <c r="H92" s="80">
        <f>IF(AND(E92="",F92="",G92=""),"EMPTY","OCCUPIED")</f>
        <v/>
      </c>
      <c r="I92" s="41">
        <f>IF(B92="","",IF(ISNUMBER(B92),MAX(0,TODAY()-B92),""))</f>
        <v/>
      </c>
      <c r="J92" s="115" t="n"/>
      <c r="K92" s="115" t="n"/>
      <c r="L92" s="115" t="n"/>
      <c r="M92" s="41">
        <f>IF(AND(H92="OCCUPIED",ISNUMBER(J92),K92=""),1,0)</f>
        <v/>
      </c>
      <c r="N92" s="41">
        <f>IF(M92=1,COUNTIF($M$2:M92,1),"")</f>
        <v/>
      </c>
      <c r="O92" s="41">
        <f>IF(AND(H92="OCCUPIED",ISNUMBER(J92),K92=""),--(TODAY()-J92&gt;5),0)</f>
        <v/>
      </c>
      <c r="P92" s="41">
        <f>IF(O92=1,COUNTIF($O$2:O92,1),"")</f>
        <v/>
      </c>
      <c r="Q92" s="49">
        <f>IF(OR(B92="",G92="",H92&lt;&gt;"OCCUPIED"),"",IF(ISNUMBER(SEARCH("WHEAT",G92)),SUMPRODUCT(--ISNUMBER(SEARCH("WHEAT",$G$2:$G$99)),--($H$2:$H$99="OCCUPIED"),--($B$2:$B$99&lt;&gt;""),--(IFERROR(VALUE(LEFT(RIGHT($G$2:$G$99,7),4)),999)&lt;IFERROR(VALUE(LEFT(RIGHT(G92,7),4)),999)))+SUMPRODUCT(--ISNUMBER(SEARCH("WHEAT",$G$2:$G$99)),--($H$2:$H$99="OCCUPIED"),--($B$2:$B$99&lt;&gt;""),--(IFERROR(VALUE(LEFT(RIGHT($G$2:$G$99,7),4)),999)=IFERROR(VALUE(LEFT(RIGHT(G92,7),4)),999)),--($B$2:$B$99&lt;B92))+SUMPRODUCT(--ISNUMBER(SEARCH("WHEAT",$G$2:$G$99)),--($H$2:$H$99="OCCUPIED"),--($B$2:$B$99&lt;&gt;""),--(IFERROR(VALUE(LEFT(RIGHT($G$2:$G$99,7),4)),999)=IFERROR(VALUE(LEFT(RIGHT(G92,7),4)),999)),--($B$2:$B$99=B92),--(ROW($B$2:$B$99)&lt;=ROW())),""))</f>
        <v/>
      </c>
      <c r="R92" s="49">
        <f>IF(OR(B92="",G92="",H92&lt;&gt;"OCCUPIED"),"",IF(ISERROR(SEARCH("WHEAT",G92)),SUMPRODUCT(--ISERROR(SEARCH("WHEAT",$G$2:$G$99)),--($H$2:$H$99="OCCUPIED"),--($B$2:$B$99&lt;&gt;""),--(IFERROR(VALUE(LEFT(RIGHT($G$2:$G$99,7),4)),999)&lt;IFERROR(VALUE(LEFT(RIGHT(G92,7),4)),999)))+SUMPRODUCT(--ISERROR(SEARCH("WHEAT",$G$2:$G$99)),--($H$2:$H$99="OCCUPIED"),--($B$2:$B$99&lt;&gt;""),--(IFERROR(VALUE(LEFT(RIGHT($G$2:$G$99,7),4)),999)=IFERROR(VALUE(LEFT(RIGHT(G92,7),4)),999)),--($B$2:$B$99&lt;B92))+SUMPRODUCT(--ISERROR(SEARCH("WHEAT",$G$2:$G$99)),--($H$2:$H$99="OCCUPIED"),--($B$2:$B$99&lt;&gt;""),--(IFERROR(VALUE(LEFT(RIGHT($G$2:$G$99,7),4)),999)=IFERROR(VALUE(LEFT(RIGHT(G92,7),4)),999)),--($B$2:$B$99=B92),--(ROW($B$2:$B$99)&lt;=ROW())),""))</f>
        <v/>
      </c>
      <c r="S92" s="54" t="n"/>
    </row>
    <row r="93" hidden="1" ht="15.75" customHeight="1" s="236">
      <c r="A93" s="80">
        <f>IF(D93="","",ROWS($D$2:D93))</f>
        <v/>
      </c>
      <c r="B93" s="115" t="n"/>
      <c r="C93" s="116" t="n"/>
      <c r="D93" s="116" t="n"/>
      <c r="E93" s="116" t="n"/>
      <c r="F93" s="117" t="n"/>
      <c r="G93" s="116" t="n"/>
      <c r="H93" s="80">
        <f>IF(AND(E93="",F93="",G93=""),"EMPTY","OCCUPIED")</f>
        <v/>
      </c>
      <c r="I93" s="41">
        <f>IF(B93="","",IF(ISNUMBER(B93),MAX(0,TODAY()-B93),""))</f>
        <v/>
      </c>
      <c r="J93" s="115" t="n"/>
      <c r="K93" s="115" t="n"/>
      <c r="L93" s="115" t="n"/>
      <c r="M93" s="41">
        <f>IF(AND(H93="OCCUPIED",ISNUMBER(J93),K93=""),1,0)</f>
        <v/>
      </c>
      <c r="N93" s="41">
        <f>IF(M93=1,COUNTIF($M$2:M93,1),"")</f>
        <v/>
      </c>
      <c r="O93" s="41">
        <f>IF(AND(H93="OCCUPIED",ISNUMBER(J93),K93=""),--(TODAY()-J93&gt;5),0)</f>
        <v/>
      </c>
      <c r="P93" s="41">
        <f>IF(O93=1,COUNTIF($O$2:O93,1),"")</f>
        <v/>
      </c>
      <c r="Q93" s="49">
        <f>IF(OR(B93="",G93="",H93&lt;&gt;"OCCUPIED"),"",IF(ISNUMBER(SEARCH("WHEAT",G93)),SUMPRODUCT(--ISNUMBER(SEARCH("WHEAT",$G$2:$G$99)),--($H$2:$H$99="OCCUPIED"),--($B$2:$B$99&lt;&gt;""),--(IFERROR(VALUE(LEFT(RIGHT($G$2:$G$99,7),4)),999)&lt;IFERROR(VALUE(LEFT(RIGHT(G93,7),4)),999)))+SUMPRODUCT(--ISNUMBER(SEARCH("WHEAT",$G$2:$G$99)),--($H$2:$H$99="OCCUPIED"),--($B$2:$B$99&lt;&gt;""),--(IFERROR(VALUE(LEFT(RIGHT($G$2:$G$99,7),4)),999)=IFERROR(VALUE(LEFT(RIGHT(G93,7),4)),999)),--($B$2:$B$99&lt;B93))+SUMPRODUCT(--ISNUMBER(SEARCH("WHEAT",$G$2:$G$99)),--($H$2:$H$99="OCCUPIED"),--($B$2:$B$99&lt;&gt;""),--(IFERROR(VALUE(LEFT(RIGHT($G$2:$G$99,7),4)),999)=IFERROR(VALUE(LEFT(RIGHT(G93,7),4)),999)),--($B$2:$B$99=B93),--(ROW($B$2:$B$99)&lt;=ROW())),""))</f>
        <v/>
      </c>
      <c r="R93" s="49">
        <f>IF(OR(B93="",G93="",H93&lt;&gt;"OCCUPIED"),"",IF(ISERROR(SEARCH("WHEAT",G93)),SUMPRODUCT(--ISERROR(SEARCH("WHEAT",$G$2:$G$99)),--($H$2:$H$99="OCCUPIED"),--($B$2:$B$99&lt;&gt;""),--(IFERROR(VALUE(LEFT(RIGHT($G$2:$G$99,7),4)),999)&lt;IFERROR(VALUE(LEFT(RIGHT(G93,7),4)),999)))+SUMPRODUCT(--ISERROR(SEARCH("WHEAT",$G$2:$G$99)),--($H$2:$H$99="OCCUPIED"),--($B$2:$B$99&lt;&gt;""),--(IFERROR(VALUE(LEFT(RIGHT($G$2:$G$99,7),4)),999)=IFERROR(VALUE(LEFT(RIGHT(G93,7),4)),999)),--($B$2:$B$99&lt;B93))+SUMPRODUCT(--ISERROR(SEARCH("WHEAT",$G$2:$G$99)),--($H$2:$H$99="OCCUPIED"),--($B$2:$B$99&lt;&gt;""),--(IFERROR(VALUE(LEFT(RIGHT($G$2:$G$99,7),4)),999)=IFERROR(VALUE(LEFT(RIGHT(G93,7),4)),999)),--($B$2:$B$99=B93),--(ROW($B$2:$B$99)&lt;=ROW())),""))</f>
        <v/>
      </c>
      <c r="S93" s="54" t="n"/>
    </row>
    <row r="94" hidden="1" ht="15.75" customHeight="1" s="236">
      <c r="A94" s="80">
        <f>IF(D94="","",ROWS($D$2:D94))</f>
        <v/>
      </c>
      <c r="B94" s="115" t="n"/>
      <c r="C94" s="116" t="n"/>
      <c r="D94" s="116" t="n"/>
      <c r="E94" s="116" t="n"/>
      <c r="F94" s="117" t="n"/>
      <c r="G94" s="116" t="n"/>
      <c r="H94" s="80">
        <f>IF(AND(E94="",F94="",G94=""),"EMPTY","OCCUPIED")</f>
        <v/>
      </c>
      <c r="I94" s="41">
        <f>IF(B94="","",IF(ISNUMBER(B94),MAX(0,TODAY()-B94),""))</f>
        <v/>
      </c>
      <c r="J94" s="115" t="n"/>
      <c r="K94" s="115" t="n"/>
      <c r="L94" s="115" t="n"/>
      <c r="M94" s="41">
        <f>IF(AND(H94="OCCUPIED",ISNUMBER(J94),K94=""),1,0)</f>
        <v/>
      </c>
      <c r="N94" s="41">
        <f>IF(M94=1,COUNTIF($M$2:M94,1),"")</f>
        <v/>
      </c>
      <c r="O94" s="41">
        <f>IF(AND(H94="OCCUPIED",ISNUMBER(J94),K94=""),--(TODAY()-J94&gt;5),0)</f>
        <v/>
      </c>
      <c r="P94" s="41">
        <f>IF(O94=1,COUNTIF($O$2:O94,1),"")</f>
        <v/>
      </c>
      <c r="Q94" s="49">
        <f>IF(OR(B94="",G94="",H94&lt;&gt;"OCCUPIED"),"",IF(ISNUMBER(SEARCH("WHEAT",G94)),SUMPRODUCT(--ISNUMBER(SEARCH("WHEAT",$G$2:$G$99)),--($H$2:$H$99="OCCUPIED"),--($B$2:$B$99&lt;&gt;""),--(IFERROR(VALUE(LEFT(RIGHT($G$2:$G$99,7),4)),999)&lt;IFERROR(VALUE(LEFT(RIGHT(G94,7),4)),999)))+SUMPRODUCT(--ISNUMBER(SEARCH("WHEAT",$G$2:$G$99)),--($H$2:$H$99="OCCUPIED"),--($B$2:$B$99&lt;&gt;""),--(IFERROR(VALUE(LEFT(RIGHT($G$2:$G$99,7),4)),999)=IFERROR(VALUE(LEFT(RIGHT(G94,7),4)),999)),--($B$2:$B$99&lt;B94))+SUMPRODUCT(--ISNUMBER(SEARCH("WHEAT",$G$2:$G$99)),--($H$2:$H$99="OCCUPIED"),--($B$2:$B$99&lt;&gt;""),--(IFERROR(VALUE(LEFT(RIGHT($G$2:$G$99,7),4)),999)=IFERROR(VALUE(LEFT(RIGHT(G94,7),4)),999)),--($B$2:$B$99=B94),--(ROW($B$2:$B$99)&lt;=ROW())),""))</f>
        <v/>
      </c>
      <c r="R94" s="49">
        <f>IF(OR(B94="",G94="",H94&lt;&gt;"OCCUPIED"),"",IF(ISERROR(SEARCH("WHEAT",G94)),SUMPRODUCT(--ISERROR(SEARCH("WHEAT",$G$2:$G$99)),--($H$2:$H$99="OCCUPIED"),--($B$2:$B$99&lt;&gt;""),--(IFERROR(VALUE(LEFT(RIGHT($G$2:$G$99,7),4)),999)&lt;IFERROR(VALUE(LEFT(RIGHT(G94,7),4)),999)))+SUMPRODUCT(--ISERROR(SEARCH("WHEAT",$G$2:$G$99)),--($H$2:$H$99="OCCUPIED"),--($B$2:$B$99&lt;&gt;""),--(IFERROR(VALUE(LEFT(RIGHT($G$2:$G$99,7),4)),999)=IFERROR(VALUE(LEFT(RIGHT(G94,7),4)),999)),--($B$2:$B$99&lt;B94))+SUMPRODUCT(--ISERROR(SEARCH("WHEAT",$G$2:$G$99)),--($H$2:$H$99="OCCUPIED"),--($B$2:$B$99&lt;&gt;""),--(IFERROR(VALUE(LEFT(RIGHT($G$2:$G$99,7),4)),999)=IFERROR(VALUE(LEFT(RIGHT(G94,7),4)),999)),--($B$2:$B$99=B94),--(ROW($B$2:$B$99)&lt;=ROW())),""))</f>
        <v/>
      </c>
      <c r="S94" s="54" t="n"/>
    </row>
    <row r="95" hidden="1" ht="15.75" customHeight="1" s="236">
      <c r="A95" s="80">
        <f>IF(D95="","",ROWS($D$2:D95))</f>
        <v/>
      </c>
      <c r="B95" s="115" t="n"/>
      <c r="C95" s="116" t="n"/>
      <c r="D95" s="116" t="n"/>
      <c r="E95" s="116" t="n"/>
      <c r="F95" s="117" t="n"/>
      <c r="G95" s="116" t="n"/>
      <c r="H95" s="80">
        <f>IF(AND(E95="",F95="",G95=""),"EMPTY","OCCUPIED")</f>
        <v/>
      </c>
      <c r="I95" s="41">
        <f>IF(B95="","",IF(ISNUMBER(B95),MAX(0,TODAY()-B95),""))</f>
        <v/>
      </c>
      <c r="J95" s="115" t="n"/>
      <c r="K95" s="115" t="n"/>
      <c r="L95" s="115" t="n"/>
      <c r="M95" s="41">
        <f>IF(AND(H95="OCCUPIED",ISNUMBER(J95),K95=""),1,0)</f>
        <v/>
      </c>
      <c r="N95" s="41">
        <f>IF(M95=1,COUNTIF($M$2:M95,1),"")</f>
        <v/>
      </c>
      <c r="O95" s="41">
        <f>IF(AND(H95="OCCUPIED",ISNUMBER(J95),K95=""),--(TODAY()-J95&gt;5),0)</f>
        <v/>
      </c>
      <c r="P95" s="41">
        <f>IF(O95=1,COUNTIF($O$2:O95,1),"")</f>
        <v/>
      </c>
      <c r="Q95" s="49">
        <f>IF(OR(B95="",G95="",H95&lt;&gt;"OCCUPIED"),"",IF(ISNUMBER(SEARCH("WHEAT",G95)),SUMPRODUCT(--ISNUMBER(SEARCH("WHEAT",$G$2:$G$99)),--($H$2:$H$99="OCCUPIED"),--($B$2:$B$99&lt;&gt;""),--(IFERROR(VALUE(LEFT(RIGHT($G$2:$G$99,7),4)),999)&lt;IFERROR(VALUE(LEFT(RIGHT(G95,7),4)),999)))+SUMPRODUCT(--ISNUMBER(SEARCH("WHEAT",$G$2:$G$99)),--($H$2:$H$99="OCCUPIED"),--($B$2:$B$99&lt;&gt;""),--(IFERROR(VALUE(LEFT(RIGHT($G$2:$G$99,7),4)),999)=IFERROR(VALUE(LEFT(RIGHT(G95,7),4)),999)),--($B$2:$B$99&lt;B95))+SUMPRODUCT(--ISNUMBER(SEARCH("WHEAT",$G$2:$G$99)),--($H$2:$H$99="OCCUPIED"),--($B$2:$B$99&lt;&gt;""),--(IFERROR(VALUE(LEFT(RIGHT($G$2:$G$99,7),4)),999)=IFERROR(VALUE(LEFT(RIGHT(G95,7),4)),999)),--($B$2:$B$99=B95),--(ROW($B$2:$B$99)&lt;=ROW())),""))</f>
        <v/>
      </c>
      <c r="R95" s="49">
        <f>IF(OR(B95="",G95="",H95&lt;&gt;"OCCUPIED"),"",IF(ISERROR(SEARCH("WHEAT",G95)),SUMPRODUCT(--ISERROR(SEARCH("WHEAT",$G$2:$G$99)),--($H$2:$H$99="OCCUPIED"),--($B$2:$B$99&lt;&gt;""),--(IFERROR(VALUE(LEFT(RIGHT($G$2:$G$99,7),4)),999)&lt;IFERROR(VALUE(LEFT(RIGHT(G95,7),4)),999)))+SUMPRODUCT(--ISERROR(SEARCH("WHEAT",$G$2:$G$99)),--($H$2:$H$99="OCCUPIED"),--($B$2:$B$99&lt;&gt;""),--(IFERROR(VALUE(LEFT(RIGHT($G$2:$G$99,7),4)),999)=IFERROR(VALUE(LEFT(RIGHT(G95,7),4)),999)),--($B$2:$B$99&lt;B95))+SUMPRODUCT(--ISERROR(SEARCH("WHEAT",$G$2:$G$99)),--($H$2:$H$99="OCCUPIED"),--($B$2:$B$99&lt;&gt;""),--(IFERROR(VALUE(LEFT(RIGHT($G$2:$G$99,7),4)),999)=IFERROR(VALUE(LEFT(RIGHT(G95,7),4)),999)),--($B$2:$B$99=B95),--(ROW($B$2:$B$99)&lt;=ROW())),""))</f>
        <v/>
      </c>
      <c r="S95" s="54" t="n"/>
    </row>
    <row r="96" hidden="1" ht="15.75" customHeight="1" s="236">
      <c r="A96" s="80">
        <f>IF(D96="","",ROWS($D$2:D96))</f>
        <v/>
      </c>
      <c r="B96" s="115" t="n"/>
      <c r="C96" s="116" t="n"/>
      <c r="D96" s="116" t="n"/>
      <c r="E96" s="116" t="n"/>
      <c r="F96" s="117" t="n"/>
      <c r="G96" s="116" t="n"/>
      <c r="H96" s="80">
        <f>IF(AND(E96="",F96="",G96=""),"EMPTY","OCCUPIED")</f>
        <v/>
      </c>
      <c r="I96" s="41">
        <f>IF(B96="","",IF(ISNUMBER(B96),MAX(0,TODAY()-B96),""))</f>
        <v/>
      </c>
      <c r="J96" s="115" t="n"/>
      <c r="K96" s="115" t="n"/>
      <c r="L96" s="115" t="n"/>
      <c r="M96" s="41">
        <f>IF(AND(H96="OCCUPIED",ISNUMBER(J96),K96=""),1,0)</f>
        <v/>
      </c>
      <c r="N96" s="41">
        <f>IF(M96=1,COUNTIF($M$2:M96,1),"")</f>
        <v/>
      </c>
      <c r="O96" s="41">
        <f>IF(AND(H96="OCCUPIED",ISNUMBER(J96),K96=""),--(TODAY()-J96&gt;5),0)</f>
        <v/>
      </c>
      <c r="P96" s="41">
        <f>IF(O96=1,COUNTIF($O$2:O96,1),"")</f>
        <v/>
      </c>
      <c r="Q96" s="49">
        <f>IF(OR(B96="",G96="",H96&lt;&gt;"OCCUPIED"),"",IF(ISNUMBER(SEARCH("WHEAT",G96)),SUMPRODUCT(--ISNUMBER(SEARCH("WHEAT",$G$2:$G$99)),--($H$2:$H$99="OCCUPIED"),--($B$2:$B$99&lt;&gt;""),--(IFERROR(VALUE(LEFT(RIGHT($G$2:$G$99,7),4)),999)&lt;IFERROR(VALUE(LEFT(RIGHT(G96,7),4)),999)))+SUMPRODUCT(--ISNUMBER(SEARCH("WHEAT",$G$2:$G$99)),--($H$2:$H$99="OCCUPIED"),--($B$2:$B$99&lt;&gt;""),--(IFERROR(VALUE(LEFT(RIGHT($G$2:$G$99,7),4)),999)=IFERROR(VALUE(LEFT(RIGHT(G96,7),4)),999)),--($B$2:$B$99&lt;B96))+SUMPRODUCT(--ISNUMBER(SEARCH("WHEAT",$G$2:$G$99)),--($H$2:$H$99="OCCUPIED"),--($B$2:$B$99&lt;&gt;""),--(IFERROR(VALUE(LEFT(RIGHT($G$2:$G$99,7),4)),999)=IFERROR(VALUE(LEFT(RIGHT(G96,7),4)),999)),--($B$2:$B$99=B96),--(ROW($B$2:$B$99)&lt;=ROW())),""))</f>
        <v/>
      </c>
      <c r="R96" s="49">
        <f>IF(OR(B96="",G96="",H96&lt;&gt;"OCCUPIED"),"",IF(ISERROR(SEARCH("WHEAT",G96)),SUMPRODUCT(--ISERROR(SEARCH("WHEAT",$G$2:$G$99)),--($H$2:$H$99="OCCUPIED"),--($B$2:$B$99&lt;&gt;""),--(IFERROR(VALUE(LEFT(RIGHT($G$2:$G$99,7),4)),999)&lt;IFERROR(VALUE(LEFT(RIGHT(G96,7),4)),999)))+SUMPRODUCT(--ISERROR(SEARCH("WHEAT",$G$2:$G$99)),--($H$2:$H$99="OCCUPIED"),--($B$2:$B$99&lt;&gt;""),--(IFERROR(VALUE(LEFT(RIGHT($G$2:$G$99,7),4)),999)=IFERROR(VALUE(LEFT(RIGHT(G96,7),4)),999)),--($B$2:$B$99&lt;B96))+SUMPRODUCT(--ISERROR(SEARCH("WHEAT",$G$2:$G$99)),--($H$2:$H$99="OCCUPIED"),--($B$2:$B$99&lt;&gt;""),--(IFERROR(VALUE(LEFT(RIGHT($G$2:$G$99,7),4)),999)=IFERROR(VALUE(LEFT(RIGHT(G96,7),4)),999)),--($B$2:$B$99=B96),--(ROW($B$2:$B$99)&lt;=ROW())),""))</f>
        <v/>
      </c>
      <c r="S96" s="54" t="n"/>
    </row>
    <row r="97" hidden="1" ht="15.75" customHeight="1" s="236">
      <c r="A97" s="80">
        <f>IF(D97="","",ROWS($D$2:D97))</f>
        <v/>
      </c>
      <c r="B97" s="115" t="n"/>
      <c r="C97" s="116" t="n"/>
      <c r="D97" s="116" t="n"/>
      <c r="E97" s="116" t="n"/>
      <c r="F97" s="117" t="n"/>
      <c r="G97" s="116" t="n"/>
      <c r="H97" s="80">
        <f>IF(AND(E97="",F97="",G97=""),"EMPTY","OCCUPIED")</f>
        <v/>
      </c>
      <c r="I97" s="41">
        <f>IF(B97="","",IF(ISNUMBER(B97),MAX(0,TODAY()-B97),""))</f>
        <v/>
      </c>
      <c r="J97" s="115" t="n"/>
      <c r="K97" s="115" t="n"/>
      <c r="L97" s="115" t="n"/>
      <c r="M97" s="41">
        <f>IF(AND(H97="OCCUPIED",ISNUMBER(J97),K97=""),1,0)</f>
        <v/>
      </c>
      <c r="N97" s="41">
        <f>IF(M97=1,COUNTIF($M$2:M97,1),"")</f>
        <v/>
      </c>
      <c r="O97" s="41">
        <f>IF(AND(H97="OCCUPIED",ISNUMBER(J97),K97=""),--(TODAY()-J97&gt;5),0)</f>
        <v/>
      </c>
      <c r="P97" s="41">
        <f>IF(O97=1,COUNTIF($O$2:O97,1),"")</f>
        <v/>
      </c>
      <c r="Q97" s="49">
        <f>IF(OR(B97="",G97="",H97&lt;&gt;"OCCUPIED"),"",IF(ISNUMBER(SEARCH("WHEAT",G97)),SUMPRODUCT(--ISNUMBER(SEARCH("WHEAT",$G$2:$G$99)),--($H$2:$H$99="OCCUPIED"),--($B$2:$B$99&lt;&gt;""),--(IFERROR(VALUE(LEFT(RIGHT($G$2:$G$99,7),4)),999)&lt;IFERROR(VALUE(LEFT(RIGHT(G97,7),4)),999)))+SUMPRODUCT(--ISNUMBER(SEARCH("WHEAT",$G$2:$G$99)),--($H$2:$H$99="OCCUPIED"),--($B$2:$B$99&lt;&gt;""),--(IFERROR(VALUE(LEFT(RIGHT($G$2:$G$99,7),4)),999)=IFERROR(VALUE(LEFT(RIGHT(G97,7),4)),999)),--($B$2:$B$99&lt;B97))+SUMPRODUCT(--ISNUMBER(SEARCH("WHEAT",$G$2:$G$99)),--($H$2:$H$99="OCCUPIED"),--($B$2:$B$99&lt;&gt;""),--(IFERROR(VALUE(LEFT(RIGHT($G$2:$G$99,7),4)),999)=IFERROR(VALUE(LEFT(RIGHT(G97,7),4)),999)),--($B$2:$B$99=B97),--(ROW($B$2:$B$99)&lt;=ROW())),""))</f>
        <v/>
      </c>
      <c r="R97" s="49">
        <f>IF(OR(B97="",G97="",H97&lt;&gt;"OCCUPIED"),"",IF(ISERROR(SEARCH("WHEAT",G97)),SUMPRODUCT(--ISERROR(SEARCH("WHEAT",$G$2:$G$99)),--($H$2:$H$99="OCCUPIED"),--($B$2:$B$99&lt;&gt;""),--(IFERROR(VALUE(LEFT(RIGHT($G$2:$G$99,7),4)),999)&lt;IFERROR(VALUE(LEFT(RIGHT(G97,7),4)),999)))+SUMPRODUCT(--ISERROR(SEARCH("WHEAT",$G$2:$G$99)),--($H$2:$H$99="OCCUPIED"),--($B$2:$B$99&lt;&gt;""),--(IFERROR(VALUE(LEFT(RIGHT($G$2:$G$99,7),4)),999)=IFERROR(VALUE(LEFT(RIGHT(G97,7),4)),999)),--($B$2:$B$99&lt;B97))+SUMPRODUCT(--ISERROR(SEARCH("WHEAT",$G$2:$G$99)),--($H$2:$H$99="OCCUPIED"),--($B$2:$B$99&lt;&gt;""),--(IFERROR(VALUE(LEFT(RIGHT($G$2:$G$99,7),4)),999)=IFERROR(VALUE(LEFT(RIGHT(G97,7),4)),999)),--($B$2:$B$99=B97),--(ROW($B$2:$B$99)&lt;=ROW())),""))</f>
        <v/>
      </c>
      <c r="S97" s="54" t="n"/>
    </row>
    <row r="98" hidden="1" ht="15.75" customHeight="1" s="236">
      <c r="A98" s="80">
        <f>IF(D98="","",ROWS($D$2:D98))</f>
        <v/>
      </c>
      <c r="B98" s="115" t="n"/>
      <c r="C98" s="116" t="n"/>
      <c r="D98" s="116" t="n"/>
      <c r="E98" s="116" t="n"/>
      <c r="F98" s="117" t="n"/>
      <c r="G98" s="116" t="n"/>
      <c r="H98" s="80">
        <f>IF(AND(E98="",F98="",G98=""),"EMPTY","OCCUPIED")</f>
        <v/>
      </c>
      <c r="I98" s="41">
        <f>IF(B98="","",IF(ISNUMBER(B98),MAX(0,TODAY()-B98),""))</f>
        <v/>
      </c>
      <c r="J98" s="115" t="n"/>
      <c r="K98" s="115" t="n"/>
      <c r="L98" s="115" t="n"/>
      <c r="M98" s="41">
        <f>IF(AND(H98="OCCUPIED",ISNUMBER(J98),K98=""),1,0)</f>
        <v/>
      </c>
      <c r="N98" s="41">
        <f>IF(M98=1,COUNTIF($M$2:M98,1),"")</f>
        <v/>
      </c>
      <c r="O98" s="41">
        <f>IF(AND(H98="OCCUPIED",ISNUMBER(J98),K98=""),--(TODAY()-J98&gt;5),0)</f>
        <v/>
      </c>
      <c r="P98" s="41">
        <f>IF(O98=1,COUNTIF($O$2:O98,1),"")</f>
        <v/>
      </c>
      <c r="Q98" s="49">
        <f>IF(OR(B98="",G98="",H98&lt;&gt;"OCCUPIED"),"",IF(ISNUMBER(SEARCH("WHEAT",G98)),SUMPRODUCT(--ISNUMBER(SEARCH("WHEAT",$G$2:$G$99)),--($H$2:$H$99="OCCUPIED"),--($B$2:$B$99&lt;&gt;""),--(IFERROR(VALUE(LEFT(RIGHT($G$2:$G$99,7),4)),999)&lt;IFERROR(VALUE(LEFT(RIGHT(G98,7),4)),999)))+SUMPRODUCT(--ISNUMBER(SEARCH("WHEAT",$G$2:$G$99)),--($H$2:$H$99="OCCUPIED"),--($B$2:$B$99&lt;&gt;""),--(IFERROR(VALUE(LEFT(RIGHT($G$2:$G$99,7),4)),999)=IFERROR(VALUE(LEFT(RIGHT(G98,7),4)),999)),--($B$2:$B$99&lt;B98))+SUMPRODUCT(--ISNUMBER(SEARCH("WHEAT",$G$2:$G$99)),--($H$2:$H$99="OCCUPIED"),--($B$2:$B$99&lt;&gt;""),--(IFERROR(VALUE(LEFT(RIGHT($G$2:$G$99,7),4)),999)=IFERROR(VALUE(LEFT(RIGHT(G98,7),4)),999)),--($B$2:$B$99=B98),--(ROW($B$2:$B$99)&lt;=ROW())),""))</f>
        <v/>
      </c>
      <c r="R98" s="49">
        <f>IF(OR(B98="",G98="",H98&lt;&gt;"OCCUPIED"),"",IF(ISERROR(SEARCH("WHEAT",G98)),SUMPRODUCT(--ISERROR(SEARCH("WHEAT",$G$2:$G$99)),--($H$2:$H$99="OCCUPIED"),--($B$2:$B$99&lt;&gt;""),--(IFERROR(VALUE(LEFT(RIGHT($G$2:$G$99,7),4)),999)&lt;IFERROR(VALUE(LEFT(RIGHT(G98,7),4)),999)))+SUMPRODUCT(--ISERROR(SEARCH("WHEAT",$G$2:$G$99)),--($H$2:$H$99="OCCUPIED"),--($B$2:$B$99&lt;&gt;""),--(IFERROR(VALUE(LEFT(RIGHT($G$2:$G$99,7),4)),999)=IFERROR(VALUE(LEFT(RIGHT(G98,7),4)),999)),--($B$2:$B$99&lt;B98))+SUMPRODUCT(--ISERROR(SEARCH("WHEAT",$G$2:$G$99)),--($H$2:$H$99="OCCUPIED"),--($B$2:$B$99&lt;&gt;""),--(IFERROR(VALUE(LEFT(RIGHT($G$2:$G$99,7),4)),999)=IFERROR(VALUE(LEFT(RIGHT(G98,7),4)),999)),--($B$2:$B$99=B98),--(ROW($B$2:$B$99)&lt;=ROW())),""))</f>
        <v/>
      </c>
      <c r="S98" s="54" t="n"/>
    </row>
    <row r="99" hidden="1" ht="15.75" customHeight="1" s="236">
      <c r="A99" s="80">
        <f>IF(D99="","",ROWS($D$2:D99))</f>
        <v/>
      </c>
      <c r="B99" s="115" t="n"/>
      <c r="C99" s="116" t="n"/>
      <c r="D99" s="116" t="n"/>
      <c r="E99" s="116" t="n"/>
      <c r="F99" s="117" t="n"/>
      <c r="G99" s="116" t="n"/>
      <c r="H99" s="80">
        <f>IF(AND(E99="",F99="",G99=""),"EMPTY","OCCUPIED")</f>
        <v/>
      </c>
      <c r="I99" s="41">
        <f>IF(B99="","",IF(ISNUMBER(B99),MAX(0,TODAY()-B99),""))</f>
        <v/>
      </c>
      <c r="J99" s="115" t="n"/>
      <c r="K99" s="115" t="n"/>
      <c r="L99" s="115" t="n"/>
      <c r="M99" s="41">
        <f>IF(AND(H99="OCCUPIED",ISNUMBER(J99),K99=""),1,0)</f>
        <v/>
      </c>
      <c r="N99" s="41">
        <f>IF(M99=1,COUNTIF($M$2:M99,1),"")</f>
        <v/>
      </c>
      <c r="O99" s="41">
        <f>IF(AND(H99="OCCUPIED",ISNUMBER(J99),K99=""),--(TODAY()-J99&gt;5),0)</f>
        <v/>
      </c>
      <c r="P99" s="41">
        <f>IF(O99=1,COUNTIF($O$2:O99,1),"")</f>
        <v/>
      </c>
      <c r="Q99" s="49">
        <f>IF(OR(B99="",G99="",H99&lt;&gt;"OCCUPIED"),"",IF(ISNUMBER(SEARCH("WHEAT",G99)),SUMPRODUCT(--ISNUMBER(SEARCH("WHEAT",$G$2:$G$99)),--($H$2:$H$99="OCCUPIED"),--($B$2:$B$99&lt;&gt;""),--(IFERROR(VALUE(LEFT(RIGHT($G$2:$G$99,7),4)),999)&lt;IFERROR(VALUE(LEFT(RIGHT(G99,7),4)),999)))+SUMPRODUCT(--ISNUMBER(SEARCH("WHEAT",$G$2:$G$99)),--($H$2:$H$99="OCCUPIED"),--($B$2:$B$99&lt;&gt;""),--(IFERROR(VALUE(LEFT(RIGHT($G$2:$G$99,7),4)),999)=IFERROR(VALUE(LEFT(RIGHT(G99,7),4)),999)),--($B$2:$B$99&lt;B99))+SUMPRODUCT(--ISNUMBER(SEARCH("WHEAT",$G$2:$G$99)),--($H$2:$H$99="OCCUPIED"),--($B$2:$B$99&lt;&gt;""),--(IFERROR(VALUE(LEFT(RIGHT($G$2:$G$99,7),4)),999)=IFERROR(VALUE(LEFT(RIGHT(G99,7),4)),999)),--($B$2:$B$99=B99),--(ROW($B$2:$B$99)&lt;=ROW())),""))</f>
        <v/>
      </c>
      <c r="R99" s="49">
        <f>IF(OR(B99="",G99="",H99&lt;&gt;"OCCUPIED"),"",IF(ISERROR(SEARCH("WHEAT",G99)),SUMPRODUCT(--ISERROR(SEARCH("WHEAT",$G$2:$G$99)),--($H$2:$H$99="OCCUPIED"),--($B$2:$B$99&lt;&gt;""),--(IFERROR(VALUE(LEFT(RIGHT($G$2:$G$99,7),4)),999)&lt;IFERROR(VALUE(LEFT(RIGHT(G99,7),4)),999)))+SUMPRODUCT(--ISERROR(SEARCH("WHEAT",$G$2:$G$99)),--($H$2:$H$99="OCCUPIED"),--($B$2:$B$99&lt;&gt;""),--(IFERROR(VALUE(LEFT(RIGHT($G$2:$G$99,7),4)),999)=IFERROR(VALUE(LEFT(RIGHT(G99,7),4)),999)),--($B$2:$B$99&lt;B99))+SUMPRODUCT(--ISERROR(SEARCH("WHEAT",$G$2:$G$99)),--($H$2:$H$99="OCCUPIED"),--($B$2:$B$99&lt;&gt;""),--(IFERROR(VALUE(LEFT(RIGHT($G$2:$G$99,7),4)),999)=IFERROR(VALUE(LEFT(RIGHT(G99,7),4)),999)),--($B$2:$B$99=B99),--(ROW($B$2:$B$99)&lt;=ROW())),""))</f>
        <v/>
      </c>
      <c r="S99" s="54" t="n"/>
    </row>
    <row r="100" ht="15.75" customHeight="1" s="236">
      <c r="A100" s="11" t="n"/>
      <c r="B100" s="120" t="n"/>
      <c r="C100" s="120" t="n"/>
      <c r="D100" s="120" t="n"/>
      <c r="E100" s="120" t="n"/>
      <c r="F100" s="121" t="n"/>
      <c r="G100" s="120" t="n"/>
      <c r="H100" s="11" t="n"/>
      <c r="I100" s="11" t="n"/>
      <c r="J100" s="120" t="n"/>
      <c r="K100" s="120" t="n"/>
      <c r="L100" s="120" t="n"/>
      <c r="M100" s="11" t="n"/>
      <c r="N100" s="11" t="n"/>
      <c r="O100" s="11" t="n"/>
      <c r="P100" s="11" t="n"/>
      <c r="Q100" s="11" t="n"/>
      <c r="R100" s="11" t="n"/>
      <c r="S100" s="54" t="n"/>
    </row>
    <row r="101" ht="15.75" customHeight="1" s="236">
      <c r="A101" s="11" t="n"/>
      <c r="B101" s="120" t="n"/>
      <c r="C101" s="120" t="n"/>
      <c r="D101" s="120" t="n"/>
      <c r="E101" s="120" t="n"/>
      <c r="F101" s="121" t="n"/>
      <c r="G101" s="120" t="n"/>
      <c r="H101" s="11" t="n"/>
      <c r="I101" s="11" t="n"/>
      <c r="J101" s="120" t="n"/>
      <c r="K101" s="120" t="n"/>
      <c r="L101" s="120" t="n"/>
      <c r="M101" s="11" t="n"/>
      <c r="N101" s="11" t="n"/>
      <c r="O101" s="11" t="n"/>
      <c r="P101" s="11" t="n"/>
      <c r="Q101" s="11" t="n"/>
      <c r="R101" s="11" t="n"/>
      <c r="S101" s="54" t="n"/>
    </row>
    <row r="102" ht="15.75" customHeight="1" s="236">
      <c r="A102" s="11" t="n"/>
      <c r="B102" s="120" t="n"/>
      <c r="C102" s="120" t="n"/>
      <c r="D102" s="120" t="n"/>
      <c r="E102" s="120" t="n"/>
      <c r="F102" s="121" t="n"/>
      <c r="G102" s="120" t="n"/>
      <c r="H102" s="11" t="n"/>
      <c r="I102" s="11" t="n"/>
      <c r="J102" s="120" t="n"/>
      <c r="K102" s="120" t="n"/>
      <c r="L102" s="120" t="n"/>
      <c r="M102" s="11" t="n"/>
      <c r="N102" s="11" t="n"/>
      <c r="O102" s="11" t="n"/>
      <c r="P102" s="11" t="n"/>
      <c r="Q102" s="11" t="n"/>
      <c r="R102" s="11" t="n"/>
      <c r="S102" s="54" t="n"/>
    </row>
    <row r="103" ht="15.75" customHeight="1" s="236">
      <c r="A103" s="11" t="n"/>
      <c r="B103" s="120" t="n"/>
      <c r="C103" s="120" t="n"/>
      <c r="D103" s="120" t="n"/>
      <c r="E103" s="120" t="n"/>
      <c r="F103" s="121" t="n"/>
      <c r="G103" s="120" t="n"/>
      <c r="H103" s="11" t="n"/>
      <c r="I103" s="11" t="n"/>
      <c r="J103" s="120" t="n"/>
      <c r="K103" s="120" t="n"/>
      <c r="L103" s="120" t="n"/>
      <c r="M103" s="11" t="n"/>
      <c r="N103" s="11" t="n"/>
      <c r="O103" s="11" t="n"/>
      <c r="P103" s="11" t="n"/>
      <c r="Q103" s="11" t="n"/>
      <c r="R103" s="11" t="n"/>
      <c r="S103" s="54" t="n"/>
    </row>
    <row r="104" ht="15.75" customHeight="1" s="236">
      <c r="A104" s="11" t="n"/>
      <c r="B104" s="120" t="n"/>
      <c r="C104" s="120" t="n"/>
      <c r="D104" s="120" t="n"/>
      <c r="E104" s="120" t="n"/>
      <c r="F104" s="121" t="n"/>
      <c r="G104" s="120" t="n"/>
      <c r="H104" s="11" t="n"/>
      <c r="I104" s="11" t="n"/>
      <c r="J104" s="120" t="n"/>
      <c r="K104" s="120" t="n"/>
      <c r="L104" s="120" t="n"/>
      <c r="M104" s="11" t="n"/>
      <c r="N104" s="11" t="n"/>
      <c r="O104" s="11" t="n"/>
      <c r="P104" s="11" t="n"/>
      <c r="Q104" s="11" t="n"/>
      <c r="R104" s="11" t="n"/>
      <c r="S104" s="54" t="n"/>
    </row>
    <row r="105" ht="15.75" customHeight="1" s="236">
      <c r="A105" s="11" t="n"/>
      <c r="B105" s="120" t="n"/>
      <c r="C105" s="120" t="n"/>
      <c r="D105" s="120" t="n"/>
      <c r="E105" s="120" t="n"/>
      <c r="F105" s="121" t="n"/>
      <c r="G105" s="120" t="n"/>
      <c r="H105" s="11" t="n"/>
      <c r="I105" s="11" t="n"/>
      <c r="J105" s="120" t="n"/>
      <c r="K105" s="120" t="n"/>
      <c r="L105" s="120" t="n"/>
      <c r="M105" s="11" t="n"/>
      <c r="N105" s="11" t="n"/>
      <c r="O105" s="11" t="n"/>
      <c r="P105" s="11" t="n"/>
      <c r="Q105" s="11" t="n"/>
      <c r="R105" s="11" t="n"/>
      <c r="S105" s="54" t="n"/>
    </row>
    <row r="106" ht="15.75" customHeight="1" s="236">
      <c r="A106" s="11" t="n"/>
      <c r="B106" s="120" t="n"/>
      <c r="C106" s="120" t="n"/>
      <c r="D106" s="120" t="n"/>
      <c r="E106" s="120" t="n"/>
      <c r="F106" s="121" t="n"/>
      <c r="G106" s="120" t="n"/>
      <c r="H106" s="11" t="n"/>
      <c r="I106" s="11" t="n"/>
      <c r="J106" s="120" t="n"/>
      <c r="K106" s="120" t="n"/>
      <c r="L106" s="120" t="n"/>
      <c r="M106" s="11" t="n"/>
      <c r="N106" s="11" t="n"/>
      <c r="O106" s="11" t="n"/>
      <c r="P106" s="11" t="n"/>
      <c r="Q106" s="11" t="n"/>
      <c r="R106" s="11" t="n"/>
      <c r="S106" s="54" t="n"/>
    </row>
    <row r="107" ht="15.75" customHeight="1" s="236">
      <c r="A107" s="11" t="n"/>
      <c r="B107" s="120" t="n"/>
      <c r="C107" s="120" t="n"/>
      <c r="D107" s="120" t="n"/>
      <c r="E107" s="120" t="n"/>
      <c r="F107" s="121" t="n"/>
      <c r="G107" s="120" t="n"/>
      <c r="H107" s="11" t="n"/>
      <c r="I107" s="11" t="n"/>
      <c r="J107" s="120" t="n"/>
      <c r="K107" s="120" t="n"/>
      <c r="L107" s="120" t="n"/>
      <c r="M107" s="11" t="n"/>
      <c r="N107" s="11" t="n"/>
      <c r="O107" s="11" t="n"/>
      <c r="P107" s="11" t="n"/>
      <c r="Q107" s="11" t="n"/>
      <c r="R107" s="11" t="n"/>
      <c r="S107" s="54" t="n"/>
    </row>
    <row r="108" ht="15.75" customHeight="1" s="236">
      <c r="A108" s="11" t="n"/>
      <c r="B108" s="120" t="n"/>
      <c r="C108" s="120" t="n"/>
      <c r="D108" s="120" t="n"/>
      <c r="E108" s="120" t="n"/>
      <c r="F108" s="121" t="n"/>
      <c r="G108" s="120" t="n"/>
      <c r="H108" s="11" t="n"/>
      <c r="I108" s="11" t="n"/>
      <c r="J108" s="120" t="n"/>
      <c r="K108" s="120" t="n"/>
      <c r="L108" s="120" t="n"/>
      <c r="M108" s="11" t="n"/>
      <c r="N108" s="11" t="n"/>
      <c r="O108" s="11" t="n"/>
      <c r="P108" s="11" t="n"/>
      <c r="Q108" s="11" t="n"/>
      <c r="R108" s="11" t="n"/>
      <c r="S108" s="54" t="n"/>
    </row>
    <row r="109" ht="15.75" customHeight="1" s="236">
      <c r="A109" s="11" t="n"/>
      <c r="B109" s="120" t="n"/>
      <c r="C109" s="120" t="n"/>
      <c r="D109" s="120" t="n"/>
      <c r="E109" s="120" t="n"/>
      <c r="F109" s="121" t="n"/>
      <c r="G109" s="120" t="n"/>
      <c r="H109" s="11" t="n"/>
      <c r="I109" s="11" t="n"/>
      <c r="J109" s="120" t="n"/>
      <c r="K109" s="120" t="n"/>
      <c r="L109" s="120" t="n"/>
      <c r="M109" s="11" t="n"/>
      <c r="N109" s="11" t="n"/>
      <c r="O109" s="11" t="n"/>
      <c r="P109" s="11" t="n"/>
      <c r="Q109" s="11" t="n"/>
      <c r="R109" s="11" t="n"/>
      <c r="S109" s="54" t="n"/>
    </row>
    <row r="110" ht="15.75" customHeight="1" s="236">
      <c r="A110" s="11" t="n"/>
      <c r="B110" s="120" t="n"/>
      <c r="C110" s="120" t="n"/>
      <c r="D110" s="120" t="n"/>
      <c r="E110" s="120" t="n"/>
      <c r="F110" s="121" t="n"/>
      <c r="G110" s="120" t="n"/>
      <c r="H110" s="11" t="n"/>
      <c r="I110" s="11" t="n"/>
      <c r="J110" s="120" t="n"/>
      <c r="K110" s="120" t="n"/>
      <c r="L110" s="120" t="n"/>
      <c r="M110" s="11" t="n"/>
      <c r="N110" s="11" t="n"/>
      <c r="O110" s="11" t="n"/>
      <c r="P110" s="11" t="n"/>
      <c r="Q110" s="11" t="n"/>
      <c r="R110" s="11" t="n"/>
      <c r="S110" s="54" t="n"/>
    </row>
    <row r="111" ht="15.75" customHeight="1" s="236">
      <c r="A111" s="11" t="n"/>
      <c r="B111" s="120" t="n"/>
      <c r="C111" s="120" t="n"/>
      <c r="D111" s="120" t="n"/>
      <c r="E111" s="120" t="n"/>
      <c r="F111" s="121" t="n"/>
      <c r="G111" s="120" t="n"/>
      <c r="H111" s="11" t="n"/>
      <c r="I111" s="11" t="n"/>
      <c r="J111" s="120" t="n"/>
      <c r="K111" s="120" t="n"/>
      <c r="L111" s="120" t="n"/>
      <c r="M111" s="11" t="n"/>
      <c r="N111" s="11" t="n"/>
      <c r="O111" s="11" t="n"/>
      <c r="P111" s="11" t="n"/>
      <c r="Q111" s="11" t="n"/>
      <c r="R111" s="11" t="n"/>
      <c r="S111" s="54" t="n"/>
    </row>
    <row r="112" ht="15.75" customHeight="1" s="236">
      <c r="A112" s="11" t="n"/>
      <c r="B112" s="120" t="n"/>
      <c r="C112" s="120" t="n"/>
      <c r="D112" s="120" t="n"/>
      <c r="E112" s="120" t="n"/>
      <c r="F112" s="121" t="n"/>
      <c r="G112" s="120" t="n"/>
      <c r="H112" s="11" t="n"/>
      <c r="I112" s="11" t="n"/>
      <c r="J112" s="120" t="n"/>
      <c r="K112" s="120" t="n"/>
      <c r="L112" s="120" t="n"/>
      <c r="M112" s="11" t="n"/>
      <c r="N112" s="11" t="n"/>
      <c r="O112" s="11" t="n"/>
      <c r="P112" s="11" t="n"/>
      <c r="Q112" s="11" t="n"/>
      <c r="R112" s="11" t="n"/>
      <c r="S112" s="54" t="n"/>
    </row>
    <row r="113" ht="15.75" customHeight="1" s="236">
      <c r="A113" s="11" t="n"/>
      <c r="B113" s="120" t="n"/>
      <c r="C113" s="120" t="n"/>
      <c r="D113" s="120" t="n"/>
      <c r="E113" s="120" t="n"/>
      <c r="F113" s="121" t="n"/>
      <c r="G113" s="120" t="n"/>
      <c r="H113" s="11" t="n"/>
      <c r="I113" s="11" t="n"/>
      <c r="J113" s="120" t="n"/>
      <c r="K113" s="120" t="n"/>
      <c r="L113" s="120" t="n"/>
      <c r="M113" s="11" t="n"/>
      <c r="N113" s="11" t="n"/>
      <c r="O113" s="11" t="n"/>
      <c r="P113" s="11" t="n"/>
      <c r="Q113" s="11" t="n"/>
      <c r="R113" s="11" t="n"/>
      <c r="S113" s="54" t="n"/>
    </row>
    <row r="114" ht="15.75" customHeight="1" s="236">
      <c r="A114" s="11" t="n"/>
      <c r="B114" s="120" t="n"/>
      <c r="C114" s="120" t="n"/>
      <c r="D114" s="120" t="n"/>
      <c r="E114" s="120" t="n"/>
      <c r="F114" s="121" t="n"/>
      <c r="G114" s="120" t="n"/>
      <c r="H114" s="11" t="n"/>
      <c r="I114" s="11" t="n"/>
      <c r="J114" s="120" t="n"/>
      <c r="K114" s="120" t="n"/>
      <c r="L114" s="120" t="n"/>
      <c r="M114" s="11" t="n"/>
      <c r="N114" s="11" t="n"/>
      <c r="O114" s="11" t="n"/>
      <c r="P114" s="11" t="n"/>
      <c r="Q114" s="11" t="n"/>
      <c r="R114" s="11" t="n"/>
      <c r="S114" s="54" t="n"/>
    </row>
    <row r="115" ht="15.75" customHeight="1" s="236">
      <c r="A115" s="11" t="n"/>
      <c r="B115" s="120" t="n"/>
      <c r="C115" s="120" t="n"/>
      <c r="D115" s="120" t="n"/>
      <c r="E115" s="120" t="n"/>
      <c r="F115" s="121" t="n"/>
      <c r="G115" s="120" t="n"/>
      <c r="H115" s="11" t="n"/>
      <c r="I115" s="11" t="n"/>
      <c r="J115" s="120" t="n"/>
      <c r="K115" s="120" t="n"/>
      <c r="L115" s="120" t="n"/>
      <c r="M115" s="11" t="n"/>
      <c r="N115" s="11" t="n"/>
      <c r="O115" s="11" t="n"/>
      <c r="P115" s="11" t="n"/>
      <c r="Q115" s="11" t="n"/>
      <c r="R115" s="11" t="n"/>
      <c r="S115" s="54" t="n"/>
    </row>
    <row r="116" ht="15.75" customHeight="1" s="236">
      <c r="A116" s="11" t="n"/>
      <c r="B116" s="120" t="n"/>
      <c r="C116" s="120" t="n"/>
      <c r="D116" s="120" t="n"/>
      <c r="E116" s="120" t="n"/>
      <c r="F116" s="121" t="n"/>
      <c r="G116" s="120" t="n"/>
      <c r="H116" s="11" t="n"/>
      <c r="I116" s="11" t="n"/>
      <c r="J116" s="120" t="n"/>
      <c r="K116" s="120" t="n"/>
      <c r="L116" s="120" t="n"/>
      <c r="M116" s="11" t="n"/>
      <c r="N116" s="11" t="n"/>
      <c r="O116" s="11" t="n"/>
      <c r="P116" s="11" t="n"/>
      <c r="Q116" s="11" t="n"/>
      <c r="R116" s="11" t="n"/>
      <c r="S116" s="54" t="n"/>
    </row>
    <row r="117" ht="15.75" customHeight="1" s="236">
      <c r="A117" s="11" t="n"/>
      <c r="B117" s="120" t="n"/>
      <c r="C117" s="120" t="n"/>
      <c r="D117" s="120" t="n"/>
      <c r="E117" s="120" t="n"/>
      <c r="F117" s="121" t="n"/>
      <c r="G117" s="120" t="n"/>
      <c r="H117" s="11" t="n"/>
      <c r="I117" s="11" t="n"/>
      <c r="J117" s="120" t="n"/>
      <c r="K117" s="120" t="n"/>
      <c r="L117" s="120" t="n"/>
      <c r="M117" s="11" t="n"/>
      <c r="N117" s="11" t="n"/>
      <c r="O117" s="11" t="n"/>
      <c r="P117" s="11" t="n"/>
      <c r="Q117" s="11" t="n"/>
      <c r="R117" s="11" t="n"/>
      <c r="S117" s="54" t="n"/>
    </row>
    <row r="118" ht="15.75" customHeight="1" s="236">
      <c r="A118" s="11" t="n"/>
      <c r="B118" s="120" t="n"/>
      <c r="C118" s="120" t="n"/>
      <c r="D118" s="120" t="n"/>
      <c r="E118" s="120" t="n"/>
      <c r="F118" s="121" t="n"/>
      <c r="G118" s="120" t="n"/>
      <c r="H118" s="11" t="n"/>
      <c r="I118" s="11" t="n"/>
      <c r="J118" s="120" t="n"/>
      <c r="K118" s="120" t="n"/>
      <c r="L118" s="120" t="n"/>
      <c r="M118" s="11" t="n"/>
      <c r="N118" s="11" t="n"/>
      <c r="O118" s="11" t="n"/>
      <c r="P118" s="11" t="n"/>
      <c r="Q118" s="11" t="n"/>
      <c r="R118" s="11" t="n"/>
      <c r="S118" s="54" t="n"/>
    </row>
    <row r="119" ht="15.75" customHeight="1" s="236">
      <c r="A119" s="11" t="n"/>
      <c r="B119" s="120" t="n"/>
      <c r="C119" s="120" t="n"/>
      <c r="D119" s="120" t="n"/>
      <c r="E119" s="120" t="n"/>
      <c r="F119" s="121" t="n"/>
      <c r="G119" s="120" t="n"/>
      <c r="H119" s="11" t="n"/>
      <c r="I119" s="11" t="n"/>
      <c r="J119" s="120" t="n"/>
      <c r="K119" s="120" t="n"/>
      <c r="L119" s="120" t="n"/>
      <c r="M119" s="11" t="n"/>
      <c r="N119" s="11" t="n"/>
      <c r="O119" s="11" t="n"/>
      <c r="P119" s="11" t="n"/>
      <c r="Q119" s="11" t="n"/>
      <c r="R119" s="11" t="n"/>
      <c r="S119" s="54" t="n"/>
    </row>
    <row r="120" ht="15.75" customHeight="1" s="236">
      <c r="A120" s="11" t="n"/>
      <c r="B120" s="120" t="n"/>
      <c r="C120" s="120" t="n"/>
      <c r="D120" s="120" t="n"/>
      <c r="E120" s="120" t="n"/>
      <c r="F120" s="121" t="n"/>
      <c r="G120" s="120" t="n"/>
      <c r="H120" s="11" t="n"/>
      <c r="I120" s="11" t="n"/>
      <c r="J120" s="120" t="n"/>
      <c r="K120" s="120" t="n"/>
      <c r="L120" s="120" t="n"/>
      <c r="M120" s="11" t="n"/>
      <c r="N120" s="11" t="n"/>
      <c r="O120" s="11" t="n"/>
      <c r="P120" s="11" t="n"/>
      <c r="Q120" s="11" t="n"/>
      <c r="R120" s="11" t="n"/>
      <c r="S120" s="54" t="n"/>
    </row>
    <row r="121" ht="15.75" customHeight="1" s="236">
      <c r="A121" s="11" t="n"/>
      <c r="B121" s="120" t="n"/>
      <c r="C121" s="120" t="n"/>
      <c r="D121" s="120" t="n"/>
      <c r="E121" s="120" t="n"/>
      <c r="F121" s="121" t="n"/>
      <c r="G121" s="120" t="n"/>
      <c r="H121" s="11" t="n"/>
      <c r="I121" s="11" t="n"/>
      <c r="J121" s="120" t="n"/>
      <c r="K121" s="120" t="n"/>
      <c r="L121" s="120" t="n"/>
      <c r="M121" s="11" t="n"/>
      <c r="N121" s="11" t="n"/>
      <c r="O121" s="11" t="n"/>
      <c r="P121" s="11" t="n"/>
      <c r="Q121" s="11" t="n"/>
      <c r="R121" s="11" t="n"/>
      <c r="S121" s="54" t="n"/>
    </row>
    <row r="122" ht="15.75" customHeight="1" s="236">
      <c r="A122" s="11" t="n"/>
      <c r="B122" s="120" t="n"/>
      <c r="C122" s="120" t="n"/>
      <c r="D122" s="120" t="n"/>
      <c r="E122" s="120" t="n"/>
      <c r="F122" s="121" t="n"/>
      <c r="G122" s="120" t="n"/>
      <c r="H122" s="11" t="n"/>
      <c r="I122" s="11" t="n"/>
      <c r="J122" s="120" t="n"/>
      <c r="K122" s="120" t="n"/>
      <c r="L122" s="120" t="n"/>
      <c r="M122" s="11" t="n"/>
      <c r="N122" s="11" t="n"/>
      <c r="O122" s="11" t="n"/>
      <c r="P122" s="11" t="n"/>
      <c r="Q122" s="11" t="n"/>
      <c r="R122" s="11" t="n"/>
      <c r="S122" s="54" t="n"/>
    </row>
    <row r="123" ht="15.75" customHeight="1" s="236">
      <c r="A123" s="11" t="n"/>
      <c r="B123" s="120" t="n"/>
      <c r="C123" s="120" t="n"/>
      <c r="D123" s="120" t="n"/>
      <c r="E123" s="120" t="n"/>
      <c r="F123" s="121" t="n"/>
      <c r="G123" s="120" t="n"/>
      <c r="H123" s="11" t="n"/>
      <c r="I123" s="11" t="n"/>
      <c r="J123" s="120" t="n"/>
      <c r="K123" s="120" t="n"/>
      <c r="L123" s="120" t="n"/>
      <c r="M123" s="11" t="n"/>
      <c r="N123" s="11" t="n"/>
      <c r="O123" s="11" t="n"/>
      <c r="P123" s="11" t="n"/>
      <c r="Q123" s="11" t="n"/>
      <c r="R123" s="11" t="n"/>
      <c r="S123" s="54" t="n"/>
    </row>
    <row r="124" ht="15.75" customHeight="1" s="236">
      <c r="A124" s="11" t="n"/>
      <c r="B124" s="120" t="n"/>
      <c r="C124" s="120" t="n"/>
      <c r="D124" s="120" t="n"/>
      <c r="E124" s="120" t="n"/>
      <c r="F124" s="121" t="n"/>
      <c r="G124" s="120" t="n"/>
      <c r="H124" s="11" t="n"/>
      <c r="I124" s="11" t="n"/>
      <c r="J124" s="120" t="n"/>
      <c r="K124" s="120" t="n"/>
      <c r="L124" s="120" t="n"/>
      <c r="M124" s="11" t="n"/>
      <c r="N124" s="11" t="n"/>
      <c r="O124" s="11" t="n"/>
      <c r="P124" s="11" t="n"/>
      <c r="Q124" s="11" t="n"/>
      <c r="R124" s="11" t="n"/>
      <c r="S124" s="54" t="n"/>
    </row>
    <row r="125" ht="15.75" customHeight="1" s="236">
      <c r="A125" s="11" t="n"/>
      <c r="B125" s="120" t="n"/>
      <c r="C125" s="120" t="n"/>
      <c r="D125" s="120" t="n"/>
      <c r="E125" s="120" t="n"/>
      <c r="F125" s="121" t="n"/>
      <c r="G125" s="120" t="n"/>
      <c r="H125" s="11" t="n"/>
      <c r="I125" s="11" t="n"/>
      <c r="J125" s="120" t="n"/>
      <c r="K125" s="120" t="n"/>
      <c r="L125" s="120" t="n"/>
      <c r="M125" s="11" t="n"/>
      <c r="N125" s="11" t="n"/>
      <c r="O125" s="11" t="n"/>
      <c r="P125" s="11" t="n"/>
      <c r="Q125" s="11" t="n"/>
      <c r="R125" s="11" t="n"/>
      <c r="S125" s="54" t="n"/>
    </row>
    <row r="126" ht="15.75" customHeight="1" s="236">
      <c r="A126" s="11" t="n"/>
      <c r="B126" s="120" t="n"/>
      <c r="C126" s="120" t="n"/>
      <c r="D126" s="120" t="n"/>
      <c r="E126" s="120" t="n"/>
      <c r="F126" s="121" t="n"/>
      <c r="G126" s="120" t="n"/>
      <c r="H126" s="11" t="n"/>
      <c r="I126" s="11" t="n"/>
      <c r="J126" s="120" t="n"/>
      <c r="K126" s="120" t="n"/>
      <c r="L126" s="120" t="n"/>
      <c r="M126" s="11" t="n"/>
      <c r="N126" s="11" t="n"/>
      <c r="O126" s="11" t="n"/>
      <c r="P126" s="11" t="n"/>
      <c r="Q126" s="11" t="n"/>
      <c r="R126" s="11" t="n"/>
      <c r="S126" s="54" t="n"/>
    </row>
    <row r="127" ht="15.75" customHeight="1" s="236">
      <c r="A127" s="11" t="n"/>
      <c r="B127" s="120" t="n"/>
      <c r="C127" s="120" t="n"/>
      <c r="D127" s="120" t="n"/>
      <c r="E127" s="120" t="n"/>
      <c r="F127" s="121" t="n"/>
      <c r="G127" s="120" t="n"/>
      <c r="H127" s="11" t="n"/>
      <c r="I127" s="11" t="n"/>
      <c r="J127" s="120" t="n"/>
      <c r="K127" s="120" t="n"/>
      <c r="L127" s="120" t="n"/>
      <c r="M127" s="11" t="n"/>
      <c r="N127" s="11" t="n"/>
      <c r="O127" s="11" t="n"/>
      <c r="P127" s="11" t="n"/>
      <c r="Q127" s="11" t="n"/>
      <c r="R127" s="11" t="n"/>
      <c r="S127" s="54" t="n"/>
    </row>
    <row r="128" ht="15.75" customHeight="1" s="236">
      <c r="A128" s="11" t="n"/>
      <c r="B128" s="120" t="n"/>
      <c r="C128" s="120" t="n"/>
      <c r="D128" s="120" t="n"/>
      <c r="E128" s="120" t="n"/>
      <c r="F128" s="121" t="n"/>
      <c r="G128" s="120" t="n"/>
      <c r="H128" s="11" t="n"/>
      <c r="I128" s="11" t="n"/>
      <c r="J128" s="120" t="n"/>
      <c r="K128" s="120" t="n"/>
      <c r="L128" s="120" t="n"/>
      <c r="M128" s="11" t="n"/>
      <c r="N128" s="11" t="n"/>
      <c r="O128" s="11" t="n"/>
      <c r="P128" s="11" t="n"/>
      <c r="Q128" s="11" t="n"/>
      <c r="R128" s="11" t="n"/>
      <c r="S128" s="54" t="n"/>
    </row>
    <row r="129" ht="15.75" customHeight="1" s="236">
      <c r="A129" s="11" t="n"/>
      <c r="B129" s="120" t="n"/>
      <c r="C129" s="120" t="n"/>
      <c r="D129" s="120" t="n"/>
      <c r="E129" s="120" t="n"/>
      <c r="F129" s="121" t="n"/>
      <c r="G129" s="120" t="n"/>
      <c r="H129" s="11" t="n"/>
      <c r="I129" s="11" t="n"/>
      <c r="J129" s="120" t="n"/>
      <c r="K129" s="120" t="n"/>
      <c r="L129" s="120" t="n"/>
      <c r="M129" s="11" t="n"/>
      <c r="N129" s="11" t="n"/>
      <c r="O129" s="11" t="n"/>
      <c r="P129" s="11" t="n"/>
      <c r="Q129" s="11" t="n"/>
      <c r="R129" s="11" t="n"/>
      <c r="S129" s="54" t="n"/>
    </row>
    <row r="130" ht="15.75" customHeight="1" s="236">
      <c r="A130" s="11" t="n"/>
      <c r="B130" s="120" t="n"/>
      <c r="C130" s="120" t="n"/>
      <c r="D130" s="120" t="n"/>
      <c r="E130" s="120" t="n"/>
      <c r="F130" s="121" t="n"/>
      <c r="G130" s="120" t="n"/>
      <c r="H130" s="11" t="n"/>
      <c r="I130" s="11" t="n"/>
      <c r="J130" s="120" t="n"/>
      <c r="K130" s="120" t="n"/>
      <c r="L130" s="120" t="n"/>
      <c r="M130" s="11" t="n"/>
      <c r="N130" s="11" t="n"/>
      <c r="O130" s="11" t="n"/>
      <c r="P130" s="11" t="n"/>
      <c r="Q130" s="11" t="n"/>
      <c r="R130" s="11" t="n"/>
      <c r="S130" s="54" t="n"/>
    </row>
    <row r="131" ht="15.75" customHeight="1" s="236">
      <c r="A131" s="11" t="n"/>
      <c r="B131" s="120" t="n"/>
      <c r="C131" s="120" t="n"/>
      <c r="D131" s="120" t="n"/>
      <c r="E131" s="120" t="n"/>
      <c r="F131" s="121" t="n"/>
      <c r="G131" s="120" t="n"/>
      <c r="H131" s="11" t="n"/>
      <c r="I131" s="11" t="n"/>
      <c r="J131" s="120" t="n"/>
      <c r="K131" s="120" t="n"/>
      <c r="L131" s="120" t="n"/>
      <c r="M131" s="11" t="n"/>
      <c r="N131" s="11" t="n"/>
      <c r="O131" s="11" t="n"/>
      <c r="P131" s="11" t="n"/>
      <c r="Q131" s="11" t="n"/>
      <c r="R131" s="11" t="n"/>
      <c r="S131" s="54" t="n"/>
    </row>
    <row r="132" ht="15.75" customHeight="1" s="236">
      <c r="A132" s="11" t="n"/>
      <c r="B132" s="120" t="n"/>
      <c r="C132" s="120" t="n"/>
      <c r="D132" s="120" t="n"/>
      <c r="E132" s="120" t="n"/>
      <c r="F132" s="121" t="n"/>
      <c r="G132" s="120" t="n"/>
      <c r="H132" s="11" t="n"/>
      <c r="I132" s="11" t="n"/>
      <c r="J132" s="120" t="n"/>
      <c r="K132" s="120" t="n"/>
      <c r="L132" s="120" t="n"/>
      <c r="M132" s="11" t="n"/>
      <c r="N132" s="11" t="n"/>
      <c r="O132" s="11" t="n"/>
      <c r="P132" s="11" t="n"/>
      <c r="Q132" s="11" t="n"/>
      <c r="R132" s="11" t="n"/>
      <c r="S132" s="54" t="n"/>
    </row>
    <row r="133" ht="15.75" customHeight="1" s="236">
      <c r="A133" s="11" t="n"/>
      <c r="B133" s="120" t="n"/>
      <c r="C133" s="120" t="n"/>
      <c r="D133" s="120" t="n"/>
      <c r="E133" s="120" t="n"/>
      <c r="F133" s="121" t="n"/>
      <c r="G133" s="120" t="n"/>
      <c r="H133" s="11" t="n"/>
      <c r="I133" s="11" t="n"/>
      <c r="J133" s="120" t="n"/>
      <c r="K133" s="120" t="n"/>
      <c r="L133" s="120" t="n"/>
      <c r="M133" s="11" t="n"/>
      <c r="N133" s="11" t="n"/>
      <c r="O133" s="11" t="n"/>
      <c r="P133" s="11" t="n"/>
      <c r="Q133" s="11" t="n"/>
      <c r="R133" s="11" t="n"/>
      <c r="S133" s="54" t="n"/>
    </row>
    <row r="134" ht="15.75" customHeight="1" s="236">
      <c r="A134" s="11" t="n"/>
      <c r="B134" s="120" t="n"/>
      <c r="C134" s="120" t="n"/>
      <c r="D134" s="120" t="n"/>
      <c r="E134" s="120" t="n"/>
      <c r="F134" s="121" t="n"/>
      <c r="G134" s="120" t="n"/>
      <c r="H134" s="11" t="n"/>
      <c r="I134" s="11" t="n"/>
      <c r="J134" s="120" t="n"/>
      <c r="K134" s="120" t="n"/>
      <c r="L134" s="120" t="n"/>
      <c r="M134" s="11" t="n"/>
      <c r="N134" s="11" t="n"/>
      <c r="O134" s="11" t="n"/>
      <c r="P134" s="11" t="n"/>
      <c r="Q134" s="11" t="n"/>
      <c r="R134" s="11" t="n"/>
      <c r="S134" s="54" t="n"/>
    </row>
    <row r="135" ht="15.75" customHeight="1" s="236">
      <c r="A135" s="11" t="n"/>
      <c r="B135" s="120" t="n"/>
      <c r="C135" s="120" t="n"/>
      <c r="D135" s="120" t="n"/>
      <c r="E135" s="120" t="n"/>
      <c r="F135" s="121" t="n"/>
      <c r="G135" s="120" t="n"/>
      <c r="H135" s="11" t="n"/>
      <c r="I135" s="11" t="n"/>
      <c r="J135" s="120" t="n"/>
      <c r="K135" s="120" t="n"/>
      <c r="L135" s="120" t="n"/>
      <c r="M135" s="11" t="n"/>
      <c r="N135" s="11" t="n"/>
      <c r="O135" s="11" t="n"/>
      <c r="P135" s="11" t="n"/>
      <c r="Q135" s="11" t="n"/>
      <c r="R135" s="11" t="n"/>
      <c r="S135" s="54" t="n"/>
    </row>
    <row r="136" ht="15.75" customHeight="1" s="236">
      <c r="A136" s="11" t="n"/>
      <c r="B136" s="120" t="n"/>
      <c r="C136" s="120" t="n"/>
      <c r="D136" s="120" t="n"/>
      <c r="E136" s="120" t="n"/>
      <c r="F136" s="121" t="n"/>
      <c r="G136" s="120" t="n"/>
      <c r="H136" s="11" t="n"/>
      <c r="I136" s="11" t="n"/>
      <c r="J136" s="120" t="n"/>
      <c r="K136" s="120" t="n"/>
      <c r="L136" s="120" t="n"/>
      <c r="M136" s="11" t="n"/>
      <c r="N136" s="11" t="n"/>
      <c r="O136" s="11" t="n"/>
      <c r="P136" s="11" t="n"/>
      <c r="Q136" s="11" t="n"/>
      <c r="R136" s="11" t="n"/>
      <c r="S136" s="54" t="n"/>
    </row>
    <row r="137" ht="15.75" customHeight="1" s="236">
      <c r="A137" s="11" t="n"/>
      <c r="B137" s="120" t="n"/>
      <c r="C137" s="120" t="n"/>
      <c r="D137" s="120" t="n"/>
      <c r="E137" s="120" t="n"/>
      <c r="F137" s="121" t="n"/>
      <c r="G137" s="120" t="n"/>
      <c r="H137" s="11" t="n"/>
      <c r="I137" s="11" t="n"/>
      <c r="J137" s="120" t="n"/>
      <c r="K137" s="120" t="n"/>
      <c r="L137" s="120" t="n"/>
      <c r="M137" s="11" t="n"/>
      <c r="N137" s="11" t="n"/>
      <c r="O137" s="11" t="n"/>
      <c r="P137" s="11" t="n"/>
      <c r="Q137" s="11" t="n"/>
      <c r="R137" s="11" t="n"/>
      <c r="S137" s="54" t="n"/>
    </row>
    <row r="138" ht="15.75" customHeight="1" s="236">
      <c r="A138" s="11" t="n"/>
      <c r="B138" s="120" t="n"/>
      <c r="C138" s="120" t="n"/>
      <c r="D138" s="120" t="n"/>
      <c r="E138" s="120" t="n"/>
      <c r="F138" s="121" t="n"/>
      <c r="G138" s="120" t="n"/>
      <c r="H138" s="11" t="n"/>
      <c r="I138" s="11" t="n"/>
      <c r="J138" s="120" t="n"/>
      <c r="K138" s="120" t="n"/>
      <c r="L138" s="120" t="n"/>
      <c r="M138" s="11" t="n"/>
      <c r="N138" s="11" t="n"/>
      <c r="O138" s="11" t="n"/>
      <c r="P138" s="11" t="n"/>
      <c r="Q138" s="11" t="n"/>
      <c r="R138" s="11" t="n"/>
      <c r="S138" s="54" t="n"/>
    </row>
    <row r="139" ht="15.75" customHeight="1" s="236">
      <c r="A139" s="11" t="n"/>
      <c r="B139" s="120" t="n"/>
      <c r="C139" s="120" t="n"/>
      <c r="D139" s="120" t="n"/>
      <c r="E139" s="120" t="n"/>
      <c r="F139" s="121" t="n"/>
      <c r="G139" s="120" t="n"/>
      <c r="H139" s="11" t="n"/>
      <c r="I139" s="11" t="n"/>
      <c r="J139" s="120" t="n"/>
      <c r="K139" s="120" t="n"/>
      <c r="L139" s="120" t="n"/>
      <c r="M139" s="11" t="n"/>
      <c r="N139" s="11" t="n"/>
      <c r="O139" s="11" t="n"/>
      <c r="P139" s="11" t="n"/>
      <c r="Q139" s="11" t="n"/>
      <c r="R139" s="11" t="n"/>
      <c r="S139" s="54" t="n"/>
    </row>
    <row r="140" ht="15.75" customHeight="1" s="236">
      <c r="A140" s="11" t="n"/>
      <c r="B140" s="120" t="n"/>
      <c r="C140" s="120" t="n"/>
      <c r="D140" s="120" t="n"/>
      <c r="E140" s="120" t="n"/>
      <c r="F140" s="121" t="n"/>
      <c r="G140" s="120" t="n"/>
      <c r="H140" s="11" t="n"/>
      <c r="I140" s="11" t="n"/>
      <c r="J140" s="120" t="n"/>
      <c r="K140" s="120" t="n"/>
      <c r="L140" s="120" t="n"/>
      <c r="M140" s="11" t="n"/>
      <c r="N140" s="11" t="n"/>
      <c r="O140" s="11" t="n"/>
      <c r="P140" s="11" t="n"/>
      <c r="Q140" s="11" t="n"/>
      <c r="R140" s="11" t="n"/>
      <c r="S140" s="54" t="n"/>
    </row>
    <row r="141" ht="15.75" customHeight="1" s="236">
      <c r="A141" s="11" t="n"/>
      <c r="B141" s="120" t="n"/>
      <c r="C141" s="120" t="n"/>
      <c r="D141" s="120" t="n"/>
      <c r="E141" s="120" t="n"/>
      <c r="F141" s="121" t="n"/>
      <c r="G141" s="120" t="n"/>
      <c r="H141" s="11" t="n"/>
      <c r="I141" s="11" t="n"/>
      <c r="J141" s="120" t="n"/>
      <c r="K141" s="120" t="n"/>
      <c r="L141" s="120" t="n"/>
      <c r="M141" s="11" t="n"/>
      <c r="N141" s="11" t="n"/>
      <c r="O141" s="11" t="n"/>
      <c r="P141" s="11" t="n"/>
      <c r="Q141" s="11" t="n"/>
      <c r="R141" s="11" t="n"/>
      <c r="S141" s="54" t="n"/>
    </row>
    <row r="142" ht="15.75" customHeight="1" s="236">
      <c r="A142" s="11" t="n"/>
      <c r="B142" s="120" t="n"/>
      <c r="C142" s="120" t="n"/>
      <c r="D142" s="120" t="n"/>
      <c r="E142" s="120" t="n"/>
      <c r="F142" s="121" t="n"/>
      <c r="G142" s="120" t="n"/>
      <c r="H142" s="11" t="n"/>
      <c r="I142" s="11" t="n"/>
      <c r="J142" s="120" t="n"/>
      <c r="K142" s="120" t="n"/>
      <c r="L142" s="120" t="n"/>
      <c r="M142" s="11" t="n"/>
      <c r="N142" s="11" t="n"/>
      <c r="O142" s="11" t="n"/>
      <c r="P142" s="11" t="n"/>
      <c r="Q142" s="11" t="n"/>
      <c r="R142" s="11" t="n"/>
      <c r="S142" s="54" t="n"/>
    </row>
    <row r="143" ht="15.75" customHeight="1" s="236">
      <c r="A143" s="11" t="n"/>
      <c r="B143" s="120" t="n"/>
      <c r="C143" s="120" t="n"/>
      <c r="D143" s="120" t="n"/>
      <c r="E143" s="120" t="n"/>
      <c r="F143" s="121" t="n"/>
      <c r="G143" s="120" t="n"/>
      <c r="H143" s="11" t="n"/>
      <c r="I143" s="11" t="n"/>
      <c r="J143" s="120" t="n"/>
      <c r="K143" s="120" t="n"/>
      <c r="L143" s="120" t="n"/>
      <c r="M143" s="11" t="n"/>
      <c r="N143" s="11" t="n"/>
      <c r="O143" s="11" t="n"/>
      <c r="P143" s="11" t="n"/>
      <c r="Q143" s="11" t="n"/>
      <c r="R143" s="11" t="n"/>
      <c r="S143" s="54" t="n"/>
    </row>
    <row r="144" ht="15.75" customHeight="1" s="236">
      <c r="A144" s="11" t="n"/>
      <c r="B144" s="120" t="n"/>
      <c r="C144" s="120" t="n"/>
      <c r="D144" s="120" t="n"/>
      <c r="E144" s="120" t="n"/>
      <c r="F144" s="121" t="n"/>
      <c r="G144" s="120" t="n"/>
      <c r="H144" s="11" t="n"/>
      <c r="I144" s="11" t="n"/>
      <c r="J144" s="120" t="n"/>
      <c r="K144" s="120" t="n"/>
      <c r="L144" s="120" t="n"/>
      <c r="M144" s="11" t="n"/>
      <c r="N144" s="11" t="n"/>
      <c r="O144" s="11" t="n"/>
      <c r="P144" s="11" t="n"/>
      <c r="Q144" s="11" t="n"/>
      <c r="R144" s="11" t="n"/>
      <c r="S144" s="54" t="n"/>
    </row>
    <row r="145" ht="15.75" customHeight="1" s="236">
      <c r="A145" s="11" t="n"/>
      <c r="B145" s="120" t="n"/>
      <c r="C145" s="120" t="n"/>
      <c r="D145" s="120" t="n"/>
      <c r="E145" s="120" t="n"/>
      <c r="F145" s="121" t="n"/>
      <c r="G145" s="120" t="n"/>
      <c r="H145" s="11" t="n"/>
      <c r="I145" s="11" t="n"/>
      <c r="J145" s="120" t="n"/>
      <c r="K145" s="120" t="n"/>
      <c r="L145" s="120" t="n"/>
      <c r="M145" s="11" t="n"/>
      <c r="N145" s="11" t="n"/>
      <c r="O145" s="11" t="n"/>
      <c r="P145" s="11" t="n"/>
      <c r="Q145" s="11" t="n"/>
      <c r="R145" s="11" t="n"/>
      <c r="S145" s="54" t="n"/>
    </row>
    <row r="146" ht="15.75" customHeight="1" s="236">
      <c r="A146" s="11" t="n"/>
      <c r="B146" s="120" t="n"/>
      <c r="C146" s="120" t="n"/>
      <c r="D146" s="120" t="n"/>
      <c r="E146" s="120" t="n"/>
      <c r="F146" s="121" t="n"/>
      <c r="G146" s="120" t="n"/>
      <c r="H146" s="11" t="n"/>
      <c r="I146" s="11" t="n"/>
      <c r="J146" s="120" t="n"/>
      <c r="K146" s="120" t="n"/>
      <c r="L146" s="120" t="n"/>
      <c r="M146" s="11" t="n"/>
      <c r="N146" s="11" t="n"/>
      <c r="O146" s="11" t="n"/>
      <c r="P146" s="11" t="n"/>
      <c r="Q146" s="11" t="n"/>
      <c r="R146" s="11" t="n"/>
      <c r="S146" s="54" t="n"/>
    </row>
    <row r="147" ht="15.75" customHeight="1" s="236">
      <c r="A147" s="11" t="n"/>
      <c r="B147" s="120" t="n"/>
      <c r="C147" s="120" t="n"/>
      <c r="D147" s="120" t="n"/>
      <c r="E147" s="120" t="n"/>
      <c r="F147" s="121" t="n"/>
      <c r="G147" s="120" t="n"/>
      <c r="H147" s="11" t="n"/>
      <c r="I147" s="11" t="n"/>
      <c r="J147" s="120" t="n"/>
      <c r="K147" s="120" t="n"/>
      <c r="L147" s="120" t="n"/>
      <c r="M147" s="11" t="n"/>
      <c r="N147" s="11" t="n"/>
      <c r="O147" s="11" t="n"/>
      <c r="P147" s="11" t="n"/>
      <c r="Q147" s="11" t="n"/>
      <c r="R147" s="11" t="n"/>
      <c r="S147" s="54" t="n"/>
    </row>
    <row r="148" ht="15.75" customHeight="1" s="236">
      <c r="A148" s="11" t="n"/>
      <c r="B148" s="120" t="n"/>
      <c r="C148" s="120" t="n"/>
      <c r="D148" s="120" t="n"/>
      <c r="E148" s="120" t="n"/>
      <c r="F148" s="121" t="n"/>
      <c r="G148" s="120" t="n"/>
      <c r="H148" s="11" t="n"/>
      <c r="I148" s="11" t="n"/>
      <c r="J148" s="120" t="n"/>
      <c r="K148" s="120" t="n"/>
      <c r="L148" s="120" t="n"/>
      <c r="M148" s="11" t="n"/>
      <c r="N148" s="11" t="n"/>
      <c r="O148" s="11" t="n"/>
      <c r="P148" s="11" t="n"/>
      <c r="Q148" s="11" t="n"/>
      <c r="R148" s="11" t="n"/>
      <c r="S148" s="54" t="n"/>
    </row>
    <row r="149" ht="15.75" customHeight="1" s="236">
      <c r="A149" s="11" t="n"/>
      <c r="B149" s="120" t="n"/>
      <c r="C149" s="120" t="n"/>
      <c r="D149" s="120" t="n"/>
      <c r="E149" s="120" t="n"/>
      <c r="F149" s="121" t="n"/>
      <c r="G149" s="120" t="n"/>
      <c r="H149" s="11" t="n"/>
      <c r="I149" s="11" t="n"/>
      <c r="J149" s="120" t="n"/>
      <c r="K149" s="120" t="n"/>
      <c r="L149" s="120" t="n"/>
      <c r="M149" s="11" t="n"/>
      <c r="N149" s="11" t="n"/>
      <c r="O149" s="11" t="n"/>
      <c r="P149" s="11" t="n"/>
      <c r="Q149" s="11" t="n"/>
      <c r="R149" s="11" t="n"/>
      <c r="S149" s="54" t="n"/>
    </row>
    <row r="150" ht="15.75" customHeight="1" s="236">
      <c r="A150" s="11" t="n"/>
      <c r="B150" s="120" t="n"/>
      <c r="C150" s="120" t="n"/>
      <c r="D150" s="120" t="n"/>
      <c r="E150" s="120" t="n"/>
      <c r="F150" s="121" t="n"/>
      <c r="G150" s="120" t="n"/>
      <c r="H150" s="11" t="n"/>
      <c r="I150" s="11" t="n"/>
      <c r="J150" s="120" t="n"/>
      <c r="K150" s="120" t="n"/>
      <c r="L150" s="120" t="n"/>
      <c r="M150" s="11" t="n"/>
      <c r="N150" s="11" t="n"/>
      <c r="O150" s="11" t="n"/>
      <c r="P150" s="11" t="n"/>
      <c r="Q150" s="11" t="n"/>
      <c r="R150" s="11" t="n"/>
      <c r="S150" s="54" t="n"/>
    </row>
    <row r="151" ht="15.75" customHeight="1" s="236">
      <c r="A151" s="11" t="n"/>
      <c r="B151" s="120" t="n"/>
      <c r="C151" s="120" t="n"/>
      <c r="D151" s="120" t="n"/>
      <c r="E151" s="120" t="n"/>
      <c r="F151" s="121" t="n"/>
      <c r="G151" s="120" t="n"/>
      <c r="H151" s="11" t="n"/>
      <c r="I151" s="11" t="n"/>
      <c r="J151" s="120" t="n"/>
      <c r="K151" s="120" t="n"/>
      <c r="L151" s="120" t="n"/>
      <c r="M151" s="11" t="n"/>
      <c r="N151" s="11" t="n"/>
      <c r="O151" s="11" t="n"/>
      <c r="P151" s="11" t="n"/>
      <c r="Q151" s="11" t="n"/>
      <c r="R151" s="11" t="n"/>
      <c r="S151" s="54" t="n"/>
    </row>
    <row r="152" ht="15.75" customHeight="1" s="236">
      <c r="A152" s="11" t="n"/>
      <c r="B152" s="120" t="n"/>
      <c r="C152" s="120" t="n"/>
      <c r="D152" s="120" t="n"/>
      <c r="E152" s="120" t="n"/>
      <c r="F152" s="121" t="n"/>
      <c r="G152" s="120" t="n"/>
      <c r="H152" s="11" t="n"/>
      <c r="I152" s="11" t="n"/>
      <c r="J152" s="120" t="n"/>
      <c r="K152" s="120" t="n"/>
      <c r="L152" s="120" t="n"/>
      <c r="M152" s="11" t="n"/>
      <c r="N152" s="11" t="n"/>
      <c r="O152" s="11" t="n"/>
      <c r="P152" s="11" t="n"/>
      <c r="Q152" s="11" t="n"/>
      <c r="R152" s="11" t="n"/>
      <c r="S152" s="54" t="n"/>
    </row>
    <row r="153" ht="15.75" customHeight="1" s="236">
      <c r="A153" s="11" t="n"/>
      <c r="B153" s="120" t="n"/>
      <c r="C153" s="120" t="n"/>
      <c r="D153" s="120" t="n"/>
      <c r="E153" s="120" t="n"/>
      <c r="F153" s="121" t="n"/>
      <c r="G153" s="120" t="n"/>
      <c r="H153" s="11" t="n"/>
      <c r="I153" s="11" t="n"/>
      <c r="J153" s="120" t="n"/>
      <c r="K153" s="120" t="n"/>
      <c r="L153" s="120" t="n"/>
      <c r="M153" s="11" t="n"/>
      <c r="N153" s="11" t="n"/>
      <c r="O153" s="11" t="n"/>
      <c r="P153" s="11" t="n"/>
      <c r="Q153" s="11" t="n"/>
      <c r="R153" s="11" t="n"/>
      <c r="S153" s="54" t="n"/>
    </row>
    <row r="154" ht="15.75" customHeight="1" s="236">
      <c r="A154" s="11" t="n"/>
      <c r="B154" s="120" t="n"/>
      <c r="C154" s="120" t="n"/>
      <c r="D154" s="120" t="n"/>
      <c r="E154" s="120" t="n"/>
      <c r="F154" s="121" t="n"/>
      <c r="G154" s="120" t="n"/>
      <c r="H154" s="11" t="n"/>
      <c r="I154" s="11" t="n"/>
      <c r="J154" s="120" t="n"/>
      <c r="K154" s="120" t="n"/>
      <c r="L154" s="120" t="n"/>
      <c r="M154" s="11" t="n"/>
      <c r="N154" s="11" t="n"/>
      <c r="O154" s="11" t="n"/>
      <c r="P154" s="11" t="n"/>
      <c r="Q154" s="11" t="n"/>
      <c r="R154" s="11" t="n"/>
      <c r="S154" s="54" t="n"/>
    </row>
    <row r="155" ht="15.75" customHeight="1" s="236">
      <c r="A155" s="11" t="n"/>
      <c r="B155" s="120" t="n"/>
      <c r="C155" s="120" t="n"/>
      <c r="D155" s="120" t="n"/>
      <c r="E155" s="120" t="n"/>
      <c r="F155" s="121" t="n"/>
      <c r="G155" s="120" t="n"/>
      <c r="H155" s="11" t="n"/>
      <c r="I155" s="11" t="n"/>
      <c r="J155" s="120" t="n"/>
      <c r="K155" s="120" t="n"/>
      <c r="L155" s="120" t="n"/>
      <c r="M155" s="11" t="n"/>
      <c r="N155" s="11" t="n"/>
      <c r="O155" s="11" t="n"/>
      <c r="P155" s="11" t="n"/>
      <c r="Q155" s="11" t="n"/>
      <c r="R155" s="11" t="n"/>
      <c r="S155" s="54" t="n"/>
    </row>
    <row r="156" ht="15.75" customHeight="1" s="236">
      <c r="A156" s="11" t="n"/>
      <c r="B156" s="120" t="n"/>
      <c r="C156" s="120" t="n"/>
      <c r="D156" s="120" t="n"/>
      <c r="E156" s="120" t="n"/>
      <c r="F156" s="121" t="n"/>
      <c r="G156" s="120" t="n"/>
      <c r="H156" s="11" t="n"/>
      <c r="I156" s="11" t="n"/>
      <c r="J156" s="120" t="n"/>
      <c r="K156" s="120" t="n"/>
      <c r="L156" s="120" t="n"/>
      <c r="M156" s="11" t="n"/>
      <c r="N156" s="11" t="n"/>
      <c r="O156" s="11" t="n"/>
      <c r="P156" s="11" t="n"/>
      <c r="Q156" s="11" t="n"/>
      <c r="R156" s="11" t="n"/>
      <c r="S156" s="54" t="n"/>
    </row>
    <row r="157" ht="15.75" customHeight="1" s="236">
      <c r="A157" s="11" t="n"/>
      <c r="B157" s="120" t="n"/>
      <c r="C157" s="120" t="n"/>
      <c r="D157" s="120" t="n"/>
      <c r="E157" s="120" t="n"/>
      <c r="F157" s="121" t="n"/>
      <c r="G157" s="120" t="n"/>
      <c r="H157" s="11" t="n"/>
      <c r="I157" s="11" t="n"/>
      <c r="J157" s="120" t="n"/>
      <c r="K157" s="120" t="n"/>
      <c r="L157" s="120" t="n"/>
      <c r="M157" s="11" t="n"/>
      <c r="N157" s="11" t="n"/>
      <c r="O157" s="11" t="n"/>
      <c r="P157" s="11" t="n"/>
      <c r="Q157" s="11" t="n"/>
      <c r="R157" s="11" t="n"/>
      <c r="S157" s="54" t="n"/>
    </row>
    <row r="158" ht="15.75" customHeight="1" s="236">
      <c r="A158" s="11" t="n"/>
      <c r="B158" s="120" t="n"/>
      <c r="C158" s="120" t="n"/>
      <c r="D158" s="120" t="n"/>
      <c r="E158" s="120" t="n"/>
      <c r="F158" s="121" t="n"/>
      <c r="G158" s="120" t="n"/>
      <c r="H158" s="11" t="n"/>
      <c r="I158" s="11" t="n"/>
      <c r="J158" s="120" t="n"/>
      <c r="K158" s="120" t="n"/>
      <c r="L158" s="120" t="n"/>
      <c r="M158" s="11" t="n"/>
      <c r="N158" s="11" t="n"/>
      <c r="O158" s="11" t="n"/>
      <c r="P158" s="11" t="n"/>
      <c r="Q158" s="11" t="n"/>
      <c r="R158" s="11" t="n"/>
      <c r="S158" s="54" t="n"/>
    </row>
    <row r="159" ht="15.75" customHeight="1" s="236">
      <c r="A159" s="11" t="n"/>
      <c r="B159" s="120" t="n"/>
      <c r="C159" s="120" t="n"/>
      <c r="D159" s="120" t="n"/>
      <c r="E159" s="120" t="n"/>
      <c r="F159" s="121" t="n"/>
      <c r="G159" s="120" t="n"/>
      <c r="H159" s="11" t="n"/>
      <c r="I159" s="11" t="n"/>
      <c r="J159" s="120" t="n"/>
      <c r="K159" s="120" t="n"/>
      <c r="L159" s="120" t="n"/>
      <c r="M159" s="11" t="n"/>
      <c r="N159" s="11" t="n"/>
      <c r="O159" s="11" t="n"/>
      <c r="P159" s="11" t="n"/>
      <c r="Q159" s="11" t="n"/>
      <c r="R159" s="11" t="n"/>
      <c r="S159" s="54" t="n"/>
    </row>
    <row r="160" ht="15.75" customHeight="1" s="236">
      <c r="A160" s="11" t="n"/>
      <c r="B160" s="120" t="n"/>
      <c r="C160" s="120" t="n"/>
      <c r="D160" s="120" t="n"/>
      <c r="E160" s="120" t="n"/>
      <c r="F160" s="121" t="n"/>
      <c r="G160" s="120" t="n"/>
      <c r="H160" s="11" t="n"/>
      <c r="I160" s="11" t="n"/>
      <c r="J160" s="120" t="n"/>
      <c r="K160" s="120" t="n"/>
      <c r="L160" s="120" t="n"/>
      <c r="M160" s="11" t="n"/>
      <c r="N160" s="11" t="n"/>
      <c r="O160" s="11" t="n"/>
      <c r="P160" s="11" t="n"/>
      <c r="Q160" s="11" t="n"/>
      <c r="R160" s="11" t="n"/>
      <c r="S160" s="54" t="n"/>
    </row>
    <row r="161" ht="15.75" customHeight="1" s="236">
      <c r="A161" s="11" t="n"/>
      <c r="B161" s="120" t="n"/>
      <c r="C161" s="120" t="n"/>
      <c r="D161" s="120" t="n"/>
      <c r="E161" s="120" t="n"/>
      <c r="F161" s="121" t="n"/>
      <c r="G161" s="120" t="n"/>
      <c r="H161" s="11" t="n"/>
      <c r="I161" s="11" t="n"/>
      <c r="J161" s="120" t="n"/>
      <c r="K161" s="120" t="n"/>
      <c r="L161" s="120" t="n"/>
      <c r="M161" s="11" t="n"/>
      <c r="N161" s="11" t="n"/>
      <c r="O161" s="11" t="n"/>
      <c r="P161" s="11" t="n"/>
      <c r="Q161" s="11" t="n"/>
      <c r="R161" s="11" t="n"/>
      <c r="S161" s="54" t="n"/>
    </row>
    <row r="162" ht="15.75" customHeight="1" s="236">
      <c r="A162" s="11" t="n"/>
      <c r="B162" s="120" t="n"/>
      <c r="C162" s="120" t="n"/>
      <c r="D162" s="120" t="n"/>
      <c r="E162" s="120" t="n"/>
      <c r="F162" s="121" t="n"/>
      <c r="G162" s="120" t="n"/>
      <c r="H162" s="11" t="n"/>
      <c r="I162" s="11" t="n"/>
      <c r="J162" s="120" t="n"/>
      <c r="K162" s="120" t="n"/>
      <c r="L162" s="120" t="n"/>
      <c r="M162" s="11" t="n"/>
      <c r="N162" s="11" t="n"/>
      <c r="O162" s="11" t="n"/>
      <c r="P162" s="11" t="n"/>
      <c r="Q162" s="11" t="n"/>
      <c r="R162" s="11" t="n"/>
      <c r="S162" s="54" t="n"/>
    </row>
    <row r="163" ht="15.75" customHeight="1" s="236">
      <c r="A163" s="11" t="n"/>
      <c r="B163" s="120" t="n"/>
      <c r="C163" s="120" t="n"/>
      <c r="D163" s="120" t="n"/>
      <c r="E163" s="120" t="n"/>
      <c r="F163" s="121" t="n"/>
      <c r="G163" s="120" t="n"/>
      <c r="H163" s="11" t="n"/>
      <c r="I163" s="11" t="n"/>
      <c r="J163" s="120" t="n"/>
      <c r="K163" s="120" t="n"/>
      <c r="L163" s="120" t="n"/>
      <c r="M163" s="11" t="n"/>
      <c r="N163" s="11" t="n"/>
      <c r="O163" s="11" t="n"/>
      <c r="P163" s="11" t="n"/>
      <c r="Q163" s="11" t="n"/>
      <c r="R163" s="11" t="n"/>
      <c r="S163" s="54" t="n"/>
    </row>
    <row r="164" ht="15.75" customHeight="1" s="236">
      <c r="A164" s="11" t="n"/>
      <c r="B164" s="120" t="n"/>
      <c r="C164" s="120" t="n"/>
      <c r="D164" s="120" t="n"/>
      <c r="E164" s="120" t="n"/>
      <c r="F164" s="121" t="n"/>
      <c r="G164" s="120" t="n"/>
      <c r="H164" s="11" t="n"/>
      <c r="I164" s="11" t="n"/>
      <c r="J164" s="120" t="n"/>
      <c r="K164" s="120" t="n"/>
      <c r="L164" s="120" t="n"/>
      <c r="M164" s="11" t="n"/>
      <c r="N164" s="11" t="n"/>
      <c r="O164" s="11" t="n"/>
      <c r="P164" s="11" t="n"/>
      <c r="Q164" s="11" t="n"/>
      <c r="R164" s="11" t="n"/>
      <c r="S164" s="54" t="n"/>
    </row>
    <row r="165" ht="15.75" customHeight="1" s="236">
      <c r="A165" s="11" t="n"/>
      <c r="B165" s="120" t="n"/>
      <c r="C165" s="120" t="n"/>
      <c r="D165" s="120" t="n"/>
      <c r="E165" s="120" t="n"/>
      <c r="F165" s="121" t="n"/>
      <c r="G165" s="120" t="n"/>
      <c r="H165" s="11" t="n"/>
      <c r="I165" s="11" t="n"/>
      <c r="J165" s="120" t="n"/>
      <c r="K165" s="120" t="n"/>
      <c r="L165" s="120" t="n"/>
      <c r="M165" s="11" t="n"/>
      <c r="N165" s="11" t="n"/>
      <c r="O165" s="11" t="n"/>
      <c r="P165" s="11" t="n"/>
      <c r="Q165" s="11" t="n"/>
      <c r="R165" s="11" t="n"/>
      <c r="S165" s="54" t="n"/>
    </row>
    <row r="166" ht="15.75" customHeight="1" s="236">
      <c r="A166" s="11" t="n"/>
      <c r="B166" s="120" t="n"/>
      <c r="C166" s="120" t="n"/>
      <c r="D166" s="120" t="n"/>
      <c r="E166" s="120" t="n"/>
      <c r="F166" s="121" t="n"/>
      <c r="G166" s="120" t="n"/>
      <c r="H166" s="11" t="n"/>
      <c r="I166" s="11" t="n"/>
      <c r="J166" s="120" t="n"/>
      <c r="K166" s="120" t="n"/>
      <c r="L166" s="120" t="n"/>
      <c r="M166" s="11" t="n"/>
      <c r="N166" s="11" t="n"/>
      <c r="O166" s="11" t="n"/>
      <c r="P166" s="11" t="n"/>
      <c r="Q166" s="11" t="n"/>
      <c r="R166" s="11" t="n"/>
      <c r="S166" s="54" t="n"/>
    </row>
    <row r="167" ht="15.75" customHeight="1" s="236">
      <c r="A167" s="11" t="n"/>
      <c r="B167" s="120" t="n"/>
      <c r="C167" s="120" t="n"/>
      <c r="D167" s="120" t="n"/>
      <c r="E167" s="120" t="n"/>
      <c r="F167" s="121" t="n"/>
      <c r="G167" s="120" t="n"/>
      <c r="H167" s="11" t="n"/>
      <c r="I167" s="11" t="n"/>
      <c r="J167" s="120" t="n"/>
      <c r="K167" s="120" t="n"/>
      <c r="L167" s="120" t="n"/>
      <c r="M167" s="11" t="n"/>
      <c r="N167" s="11" t="n"/>
      <c r="O167" s="11" t="n"/>
      <c r="P167" s="11" t="n"/>
      <c r="Q167" s="11" t="n"/>
      <c r="R167" s="11" t="n"/>
      <c r="S167" s="54" t="n"/>
    </row>
    <row r="168" ht="15.75" customHeight="1" s="236">
      <c r="A168" s="11" t="n"/>
      <c r="B168" s="120" t="n"/>
      <c r="C168" s="120" t="n"/>
      <c r="D168" s="120" t="n"/>
      <c r="E168" s="120" t="n"/>
      <c r="F168" s="121" t="n"/>
      <c r="G168" s="120" t="n"/>
      <c r="H168" s="11" t="n"/>
      <c r="I168" s="11" t="n"/>
      <c r="J168" s="120" t="n"/>
      <c r="K168" s="120" t="n"/>
      <c r="L168" s="120" t="n"/>
      <c r="M168" s="11" t="n"/>
      <c r="N168" s="11" t="n"/>
      <c r="O168" s="11" t="n"/>
      <c r="P168" s="11" t="n"/>
      <c r="Q168" s="11" t="n"/>
      <c r="R168" s="11" t="n"/>
      <c r="S168" s="54" t="n"/>
    </row>
    <row r="169" ht="15.75" customHeight="1" s="236">
      <c r="A169" s="11" t="n"/>
      <c r="B169" s="120" t="n"/>
      <c r="C169" s="120" t="n"/>
      <c r="D169" s="120" t="n"/>
      <c r="E169" s="120" t="n"/>
      <c r="F169" s="121" t="n"/>
      <c r="G169" s="120" t="n"/>
      <c r="H169" s="11" t="n"/>
      <c r="I169" s="11" t="n"/>
      <c r="J169" s="120" t="n"/>
      <c r="K169" s="120" t="n"/>
      <c r="L169" s="120" t="n"/>
      <c r="M169" s="11" t="n"/>
      <c r="N169" s="11" t="n"/>
      <c r="O169" s="11" t="n"/>
      <c r="P169" s="11" t="n"/>
      <c r="Q169" s="11" t="n"/>
      <c r="R169" s="11" t="n"/>
      <c r="S169" s="54" t="n"/>
    </row>
    <row r="170" ht="15.75" customHeight="1" s="236">
      <c r="A170" s="11" t="n"/>
      <c r="B170" s="120" t="n"/>
      <c r="C170" s="120" t="n"/>
      <c r="D170" s="120" t="n"/>
      <c r="E170" s="120" t="n"/>
      <c r="F170" s="121" t="n"/>
      <c r="G170" s="120" t="n"/>
      <c r="H170" s="11" t="n"/>
      <c r="I170" s="11" t="n"/>
      <c r="J170" s="120" t="n"/>
      <c r="K170" s="120" t="n"/>
      <c r="L170" s="120" t="n"/>
      <c r="M170" s="11" t="n"/>
      <c r="N170" s="11" t="n"/>
      <c r="O170" s="11" t="n"/>
      <c r="P170" s="11" t="n"/>
      <c r="Q170" s="11" t="n"/>
      <c r="R170" s="11" t="n"/>
      <c r="S170" s="54" t="n"/>
    </row>
    <row r="171" ht="15.75" customHeight="1" s="236">
      <c r="A171" s="11" t="n"/>
      <c r="B171" s="120" t="n"/>
      <c r="C171" s="120" t="n"/>
      <c r="D171" s="120" t="n"/>
      <c r="E171" s="120" t="n"/>
      <c r="F171" s="121" t="n"/>
      <c r="G171" s="120" t="n"/>
      <c r="H171" s="11" t="n"/>
      <c r="I171" s="11" t="n"/>
      <c r="J171" s="120" t="n"/>
      <c r="K171" s="120" t="n"/>
      <c r="L171" s="120" t="n"/>
      <c r="M171" s="11" t="n"/>
      <c r="N171" s="11" t="n"/>
      <c r="O171" s="11" t="n"/>
      <c r="P171" s="11" t="n"/>
      <c r="Q171" s="11" t="n"/>
      <c r="R171" s="11" t="n"/>
      <c r="S171" s="54" t="n"/>
    </row>
    <row r="172" ht="15.75" customHeight="1" s="236">
      <c r="A172" s="11" t="n"/>
      <c r="B172" s="120" t="n"/>
      <c r="C172" s="120" t="n"/>
      <c r="D172" s="120" t="n"/>
      <c r="E172" s="120" t="n"/>
      <c r="F172" s="121" t="n"/>
      <c r="G172" s="120" t="n"/>
      <c r="H172" s="11" t="n"/>
      <c r="I172" s="11" t="n"/>
      <c r="J172" s="120" t="n"/>
      <c r="K172" s="120" t="n"/>
      <c r="L172" s="120" t="n"/>
      <c r="M172" s="11" t="n"/>
      <c r="N172" s="11" t="n"/>
      <c r="O172" s="11" t="n"/>
      <c r="P172" s="11" t="n"/>
      <c r="Q172" s="11" t="n"/>
      <c r="R172" s="11" t="n"/>
      <c r="S172" s="54" t="n"/>
    </row>
    <row r="173" ht="15.75" customHeight="1" s="236">
      <c r="A173" s="11" t="n"/>
      <c r="B173" s="120" t="n"/>
      <c r="C173" s="120" t="n"/>
      <c r="D173" s="120" t="n"/>
      <c r="E173" s="120" t="n"/>
      <c r="F173" s="121" t="n"/>
      <c r="G173" s="120" t="n"/>
      <c r="H173" s="11" t="n"/>
      <c r="I173" s="11" t="n"/>
      <c r="J173" s="120" t="n"/>
      <c r="K173" s="120" t="n"/>
      <c r="L173" s="120" t="n"/>
      <c r="M173" s="11" t="n"/>
      <c r="N173" s="11" t="n"/>
      <c r="O173" s="11" t="n"/>
      <c r="P173" s="11" t="n"/>
      <c r="Q173" s="11" t="n"/>
      <c r="R173" s="11" t="n"/>
      <c r="S173" s="54" t="n"/>
    </row>
    <row r="174" ht="15.75" customHeight="1" s="236">
      <c r="A174" s="11" t="n"/>
      <c r="B174" s="120" t="n"/>
      <c r="C174" s="120" t="n"/>
      <c r="D174" s="120" t="n"/>
      <c r="E174" s="120" t="n"/>
      <c r="F174" s="121" t="n"/>
      <c r="G174" s="120" t="n"/>
      <c r="H174" s="11" t="n"/>
      <c r="I174" s="11" t="n"/>
      <c r="J174" s="120" t="n"/>
      <c r="K174" s="120" t="n"/>
      <c r="L174" s="120" t="n"/>
      <c r="M174" s="11" t="n"/>
      <c r="N174" s="11" t="n"/>
      <c r="O174" s="11" t="n"/>
      <c r="P174" s="11" t="n"/>
      <c r="Q174" s="11" t="n"/>
      <c r="R174" s="11" t="n"/>
      <c r="S174" s="54" t="n"/>
    </row>
    <row r="175" ht="15.75" customHeight="1" s="236">
      <c r="A175" s="11" t="n"/>
      <c r="B175" s="120" t="n"/>
      <c r="C175" s="120" t="n"/>
      <c r="D175" s="120" t="n"/>
      <c r="E175" s="120" t="n"/>
      <c r="F175" s="121" t="n"/>
      <c r="G175" s="120" t="n"/>
      <c r="H175" s="11" t="n"/>
      <c r="I175" s="11" t="n"/>
      <c r="J175" s="120" t="n"/>
      <c r="K175" s="120" t="n"/>
      <c r="L175" s="120" t="n"/>
      <c r="M175" s="11" t="n"/>
      <c r="N175" s="11" t="n"/>
      <c r="O175" s="11" t="n"/>
      <c r="P175" s="11" t="n"/>
      <c r="Q175" s="11" t="n"/>
      <c r="R175" s="11" t="n"/>
      <c r="S175" s="54" t="n"/>
    </row>
    <row r="176" ht="15.75" customHeight="1" s="236">
      <c r="A176" s="11" t="n"/>
      <c r="B176" s="120" t="n"/>
      <c r="C176" s="120" t="n"/>
      <c r="D176" s="120" t="n"/>
      <c r="E176" s="120" t="n"/>
      <c r="F176" s="121" t="n"/>
      <c r="G176" s="120" t="n"/>
      <c r="H176" s="11" t="n"/>
      <c r="I176" s="11" t="n"/>
      <c r="J176" s="120" t="n"/>
      <c r="K176" s="120" t="n"/>
      <c r="L176" s="120" t="n"/>
      <c r="M176" s="11" t="n"/>
      <c r="N176" s="11" t="n"/>
      <c r="O176" s="11" t="n"/>
      <c r="P176" s="11" t="n"/>
      <c r="Q176" s="11" t="n"/>
      <c r="R176" s="11" t="n"/>
      <c r="S176" s="54" t="n"/>
    </row>
    <row r="177" ht="15.75" customHeight="1" s="236">
      <c r="A177" s="11" t="n"/>
      <c r="B177" s="120" t="n"/>
      <c r="C177" s="120" t="n"/>
      <c r="D177" s="120" t="n"/>
      <c r="E177" s="120" t="n"/>
      <c r="F177" s="121" t="n"/>
      <c r="G177" s="120" t="n"/>
      <c r="H177" s="11" t="n"/>
      <c r="I177" s="11" t="n"/>
      <c r="J177" s="120" t="n"/>
      <c r="K177" s="120" t="n"/>
      <c r="L177" s="120" t="n"/>
      <c r="M177" s="11" t="n"/>
      <c r="N177" s="11" t="n"/>
      <c r="O177" s="11" t="n"/>
      <c r="P177" s="11" t="n"/>
      <c r="Q177" s="11" t="n"/>
      <c r="R177" s="11" t="n"/>
      <c r="S177" s="54" t="n"/>
    </row>
    <row r="178" ht="15.75" customHeight="1" s="236">
      <c r="A178" s="11" t="n"/>
      <c r="B178" s="120" t="n"/>
      <c r="C178" s="120" t="n"/>
      <c r="D178" s="120" t="n"/>
      <c r="E178" s="120" t="n"/>
      <c r="F178" s="121" t="n"/>
      <c r="G178" s="120" t="n"/>
      <c r="H178" s="11" t="n"/>
      <c r="I178" s="11" t="n"/>
      <c r="J178" s="120" t="n"/>
      <c r="K178" s="120" t="n"/>
      <c r="L178" s="120" t="n"/>
      <c r="M178" s="11" t="n"/>
      <c r="N178" s="11" t="n"/>
      <c r="O178" s="11" t="n"/>
      <c r="P178" s="11" t="n"/>
      <c r="Q178" s="11" t="n"/>
      <c r="R178" s="11" t="n"/>
      <c r="S178" s="54" t="n"/>
    </row>
    <row r="179" ht="15.75" customHeight="1" s="236">
      <c r="A179" s="11" t="n"/>
      <c r="B179" s="120" t="n"/>
      <c r="C179" s="120" t="n"/>
      <c r="D179" s="120" t="n"/>
      <c r="E179" s="120" t="n"/>
      <c r="F179" s="121" t="n"/>
      <c r="G179" s="120" t="n"/>
      <c r="H179" s="11" t="n"/>
      <c r="I179" s="11" t="n"/>
      <c r="J179" s="120" t="n"/>
      <c r="K179" s="120" t="n"/>
      <c r="L179" s="120" t="n"/>
      <c r="M179" s="11" t="n"/>
      <c r="N179" s="11" t="n"/>
      <c r="O179" s="11" t="n"/>
      <c r="P179" s="11" t="n"/>
      <c r="Q179" s="11" t="n"/>
      <c r="R179" s="11" t="n"/>
      <c r="S179" s="54" t="n"/>
    </row>
    <row r="180" ht="15.75" customHeight="1" s="236">
      <c r="A180" s="11" t="n"/>
      <c r="B180" s="120" t="n"/>
      <c r="C180" s="120" t="n"/>
      <c r="D180" s="120" t="n"/>
      <c r="E180" s="120" t="n"/>
      <c r="F180" s="121" t="n"/>
      <c r="G180" s="120" t="n"/>
      <c r="H180" s="11" t="n"/>
      <c r="I180" s="11" t="n"/>
      <c r="J180" s="120" t="n"/>
      <c r="K180" s="120" t="n"/>
      <c r="L180" s="120" t="n"/>
      <c r="M180" s="11" t="n"/>
      <c r="N180" s="11" t="n"/>
      <c r="O180" s="11" t="n"/>
      <c r="P180" s="11" t="n"/>
      <c r="Q180" s="11" t="n"/>
      <c r="R180" s="11" t="n"/>
      <c r="S180" s="54" t="n"/>
    </row>
    <row r="181" ht="15.75" customHeight="1" s="236">
      <c r="A181" s="11" t="n"/>
      <c r="B181" s="120" t="n"/>
      <c r="C181" s="120" t="n"/>
      <c r="D181" s="120" t="n"/>
      <c r="E181" s="120" t="n"/>
      <c r="F181" s="121" t="n"/>
      <c r="G181" s="120" t="n"/>
      <c r="H181" s="11" t="n"/>
      <c r="I181" s="11" t="n"/>
      <c r="J181" s="120" t="n"/>
      <c r="K181" s="120" t="n"/>
      <c r="L181" s="120" t="n"/>
      <c r="M181" s="11" t="n"/>
      <c r="N181" s="11" t="n"/>
      <c r="O181" s="11" t="n"/>
      <c r="P181" s="11" t="n"/>
      <c r="Q181" s="11" t="n"/>
      <c r="R181" s="11" t="n"/>
      <c r="S181" s="54" t="n"/>
    </row>
    <row r="182" ht="15.75" customHeight="1" s="236">
      <c r="A182" s="11" t="n"/>
      <c r="B182" s="120" t="n"/>
      <c r="C182" s="120" t="n"/>
      <c r="D182" s="120" t="n"/>
      <c r="E182" s="120" t="n"/>
      <c r="F182" s="121" t="n"/>
      <c r="G182" s="120" t="n"/>
      <c r="H182" s="11" t="n"/>
      <c r="I182" s="11" t="n"/>
      <c r="J182" s="120" t="n"/>
      <c r="K182" s="120" t="n"/>
      <c r="L182" s="120" t="n"/>
      <c r="M182" s="11" t="n"/>
      <c r="N182" s="11" t="n"/>
      <c r="O182" s="11" t="n"/>
      <c r="P182" s="11" t="n"/>
      <c r="Q182" s="11" t="n"/>
      <c r="R182" s="11" t="n"/>
      <c r="S182" s="54" t="n"/>
    </row>
    <row r="183" ht="15.75" customHeight="1" s="236">
      <c r="A183" s="11" t="n"/>
      <c r="B183" s="120" t="n"/>
      <c r="C183" s="120" t="n"/>
      <c r="D183" s="120" t="n"/>
      <c r="E183" s="120" t="n"/>
      <c r="F183" s="121" t="n"/>
      <c r="G183" s="120" t="n"/>
      <c r="H183" s="11" t="n"/>
      <c r="I183" s="11" t="n"/>
      <c r="J183" s="120" t="n"/>
      <c r="K183" s="120" t="n"/>
      <c r="L183" s="120" t="n"/>
      <c r="M183" s="11" t="n"/>
      <c r="N183" s="11" t="n"/>
      <c r="O183" s="11" t="n"/>
      <c r="P183" s="11" t="n"/>
      <c r="Q183" s="11" t="n"/>
      <c r="R183" s="11" t="n"/>
      <c r="S183" s="54" t="n"/>
    </row>
    <row r="184" ht="15.75" customHeight="1" s="236">
      <c r="A184" s="11" t="n"/>
      <c r="B184" s="120" t="n"/>
      <c r="C184" s="120" t="n"/>
      <c r="D184" s="120" t="n"/>
      <c r="E184" s="120" t="n"/>
      <c r="F184" s="121" t="n"/>
      <c r="G184" s="120" t="n"/>
      <c r="H184" s="11" t="n"/>
      <c r="I184" s="11" t="n"/>
      <c r="J184" s="120" t="n"/>
      <c r="K184" s="120" t="n"/>
      <c r="L184" s="120" t="n"/>
      <c r="M184" s="11" t="n"/>
      <c r="N184" s="11" t="n"/>
      <c r="O184" s="11" t="n"/>
      <c r="P184" s="11" t="n"/>
      <c r="Q184" s="11" t="n"/>
      <c r="R184" s="11" t="n"/>
      <c r="S184" s="54" t="n"/>
    </row>
    <row r="185" ht="15.75" customHeight="1" s="236">
      <c r="A185" s="11" t="n"/>
      <c r="B185" s="120" t="n"/>
      <c r="C185" s="120" t="n"/>
      <c r="D185" s="120" t="n"/>
      <c r="E185" s="120" t="n"/>
      <c r="F185" s="121" t="n"/>
      <c r="G185" s="120" t="n"/>
      <c r="H185" s="11" t="n"/>
      <c r="I185" s="11" t="n"/>
      <c r="J185" s="120" t="n"/>
      <c r="K185" s="120" t="n"/>
      <c r="L185" s="120" t="n"/>
      <c r="M185" s="11" t="n"/>
      <c r="N185" s="11" t="n"/>
      <c r="O185" s="11" t="n"/>
      <c r="P185" s="11" t="n"/>
      <c r="Q185" s="11" t="n"/>
      <c r="R185" s="11" t="n"/>
      <c r="S185" s="54" t="n"/>
    </row>
    <row r="186" ht="15.75" customHeight="1" s="236">
      <c r="A186" s="11" t="n"/>
      <c r="B186" s="120" t="n"/>
      <c r="C186" s="120" t="n"/>
      <c r="D186" s="120" t="n"/>
      <c r="E186" s="120" t="n"/>
      <c r="F186" s="121" t="n"/>
      <c r="G186" s="120" t="n"/>
      <c r="H186" s="11" t="n"/>
      <c r="I186" s="11" t="n"/>
      <c r="J186" s="120" t="n"/>
      <c r="K186" s="120" t="n"/>
      <c r="L186" s="120" t="n"/>
      <c r="M186" s="11" t="n"/>
      <c r="N186" s="11" t="n"/>
      <c r="O186" s="11" t="n"/>
      <c r="P186" s="11" t="n"/>
      <c r="Q186" s="11" t="n"/>
      <c r="R186" s="11" t="n"/>
      <c r="S186" s="54" t="n"/>
    </row>
    <row r="187" ht="15.75" customHeight="1" s="236">
      <c r="A187" s="11" t="n"/>
      <c r="B187" s="120" t="n"/>
      <c r="C187" s="120" t="n"/>
      <c r="D187" s="120" t="n"/>
      <c r="E187" s="120" t="n"/>
      <c r="F187" s="121" t="n"/>
      <c r="G187" s="120" t="n"/>
      <c r="H187" s="11" t="n"/>
      <c r="I187" s="11" t="n"/>
      <c r="J187" s="120" t="n"/>
      <c r="K187" s="120" t="n"/>
      <c r="L187" s="120" t="n"/>
      <c r="M187" s="11" t="n"/>
      <c r="N187" s="11" t="n"/>
      <c r="O187" s="11" t="n"/>
      <c r="P187" s="11" t="n"/>
      <c r="Q187" s="11" t="n"/>
      <c r="R187" s="11" t="n"/>
      <c r="S187" s="54" t="n"/>
    </row>
    <row r="188" ht="15.75" customHeight="1" s="236">
      <c r="A188" s="11" t="n"/>
      <c r="B188" s="120" t="n"/>
      <c r="C188" s="120" t="n"/>
      <c r="D188" s="120" t="n"/>
      <c r="E188" s="120" t="n"/>
      <c r="F188" s="121" t="n"/>
      <c r="G188" s="120" t="n"/>
      <c r="H188" s="11" t="n"/>
      <c r="I188" s="11" t="n"/>
      <c r="J188" s="120" t="n"/>
      <c r="K188" s="120" t="n"/>
      <c r="L188" s="120" t="n"/>
      <c r="M188" s="11" t="n"/>
      <c r="N188" s="11" t="n"/>
      <c r="O188" s="11" t="n"/>
      <c r="P188" s="11" t="n"/>
      <c r="Q188" s="11" t="n"/>
      <c r="R188" s="11" t="n"/>
      <c r="S188" s="54" t="n"/>
    </row>
    <row r="189" ht="15.75" customHeight="1" s="236">
      <c r="A189" s="11" t="n"/>
      <c r="B189" s="120" t="n"/>
      <c r="C189" s="120" t="n"/>
      <c r="D189" s="120" t="n"/>
      <c r="E189" s="120" t="n"/>
      <c r="F189" s="121" t="n"/>
      <c r="G189" s="120" t="n"/>
      <c r="H189" s="11" t="n"/>
      <c r="I189" s="11" t="n"/>
      <c r="J189" s="120" t="n"/>
      <c r="K189" s="120" t="n"/>
      <c r="L189" s="120" t="n"/>
      <c r="M189" s="11" t="n"/>
      <c r="N189" s="11" t="n"/>
      <c r="O189" s="11" t="n"/>
      <c r="P189" s="11" t="n"/>
      <c r="Q189" s="11" t="n"/>
      <c r="R189" s="11" t="n"/>
      <c r="S189" s="54" t="n"/>
    </row>
    <row r="190" ht="15.75" customHeight="1" s="236">
      <c r="A190" s="11" t="n"/>
      <c r="B190" s="120" t="n"/>
      <c r="C190" s="120" t="n"/>
      <c r="D190" s="120" t="n"/>
      <c r="E190" s="120" t="n"/>
      <c r="F190" s="121" t="n"/>
      <c r="G190" s="120" t="n"/>
      <c r="H190" s="11" t="n"/>
      <c r="I190" s="11" t="n"/>
      <c r="J190" s="120" t="n"/>
      <c r="K190" s="120" t="n"/>
      <c r="L190" s="120" t="n"/>
      <c r="M190" s="11" t="n"/>
      <c r="N190" s="11" t="n"/>
      <c r="O190" s="11" t="n"/>
      <c r="P190" s="11" t="n"/>
      <c r="Q190" s="11" t="n"/>
      <c r="R190" s="11" t="n"/>
      <c r="S190" s="54" t="n"/>
    </row>
    <row r="191" ht="15.75" customHeight="1" s="236">
      <c r="A191" s="11" t="n"/>
      <c r="B191" s="120" t="n"/>
      <c r="C191" s="120" t="n"/>
      <c r="D191" s="120" t="n"/>
      <c r="E191" s="120" t="n"/>
      <c r="F191" s="121" t="n"/>
      <c r="G191" s="120" t="n"/>
      <c r="H191" s="11" t="n"/>
      <c r="I191" s="11" t="n"/>
      <c r="J191" s="120" t="n"/>
      <c r="K191" s="120" t="n"/>
      <c r="L191" s="120" t="n"/>
      <c r="M191" s="11" t="n"/>
      <c r="N191" s="11" t="n"/>
      <c r="O191" s="11" t="n"/>
      <c r="P191" s="11" t="n"/>
      <c r="Q191" s="11" t="n"/>
      <c r="R191" s="11" t="n"/>
      <c r="S191" s="54" t="n"/>
    </row>
    <row r="192" ht="15.75" customHeight="1" s="236">
      <c r="A192" s="11" t="n"/>
      <c r="B192" s="120" t="n"/>
      <c r="C192" s="120" t="n"/>
      <c r="D192" s="120" t="n"/>
      <c r="E192" s="120" t="n"/>
      <c r="F192" s="121" t="n"/>
      <c r="G192" s="120" t="n"/>
      <c r="H192" s="11" t="n"/>
      <c r="I192" s="11" t="n"/>
      <c r="J192" s="120" t="n"/>
      <c r="K192" s="120" t="n"/>
      <c r="L192" s="120" t="n"/>
      <c r="M192" s="11" t="n"/>
      <c r="N192" s="11" t="n"/>
      <c r="O192" s="11" t="n"/>
      <c r="P192" s="11" t="n"/>
      <c r="Q192" s="11" t="n"/>
      <c r="R192" s="11" t="n"/>
      <c r="S192" s="54" t="n"/>
    </row>
    <row r="193" ht="15.75" customHeight="1" s="236">
      <c r="A193" s="11" t="n"/>
      <c r="B193" s="120" t="n"/>
      <c r="C193" s="120" t="n"/>
      <c r="D193" s="120" t="n"/>
      <c r="E193" s="120" t="n"/>
      <c r="F193" s="121" t="n"/>
      <c r="G193" s="120" t="n"/>
      <c r="H193" s="11" t="n"/>
      <c r="I193" s="11" t="n"/>
      <c r="J193" s="120" t="n"/>
      <c r="K193" s="120" t="n"/>
      <c r="L193" s="120" t="n"/>
      <c r="M193" s="11" t="n"/>
      <c r="N193" s="11" t="n"/>
      <c r="O193" s="11" t="n"/>
      <c r="P193" s="11" t="n"/>
      <c r="Q193" s="11" t="n"/>
      <c r="R193" s="11" t="n"/>
      <c r="S193" s="54" t="n"/>
    </row>
    <row r="194" ht="15.75" customHeight="1" s="236">
      <c r="A194" s="11" t="n"/>
      <c r="B194" s="120" t="n"/>
      <c r="C194" s="120" t="n"/>
      <c r="D194" s="120" t="n"/>
      <c r="E194" s="120" t="n"/>
      <c r="F194" s="121" t="n"/>
      <c r="G194" s="120" t="n"/>
      <c r="H194" s="11" t="n"/>
      <c r="I194" s="11" t="n"/>
      <c r="J194" s="120" t="n"/>
      <c r="K194" s="120" t="n"/>
      <c r="L194" s="120" t="n"/>
      <c r="M194" s="11" t="n"/>
      <c r="N194" s="11" t="n"/>
      <c r="O194" s="11" t="n"/>
      <c r="P194" s="11" t="n"/>
      <c r="Q194" s="11" t="n"/>
      <c r="R194" s="11" t="n"/>
      <c r="S194" s="54" t="n"/>
    </row>
    <row r="195" ht="15.75" customHeight="1" s="236">
      <c r="A195" s="11" t="n"/>
      <c r="B195" s="120" t="n"/>
      <c r="C195" s="120" t="n"/>
      <c r="D195" s="120" t="n"/>
      <c r="E195" s="120" t="n"/>
      <c r="F195" s="121" t="n"/>
      <c r="G195" s="120" t="n"/>
      <c r="H195" s="11" t="n"/>
      <c r="I195" s="11" t="n"/>
      <c r="J195" s="120" t="n"/>
      <c r="K195" s="120" t="n"/>
      <c r="L195" s="120" t="n"/>
      <c r="M195" s="11" t="n"/>
      <c r="N195" s="11" t="n"/>
      <c r="O195" s="11" t="n"/>
      <c r="P195" s="11" t="n"/>
      <c r="Q195" s="11" t="n"/>
      <c r="R195" s="11" t="n"/>
      <c r="S195" s="54" t="n"/>
    </row>
    <row r="196" ht="15.75" customHeight="1" s="236">
      <c r="A196" s="11" t="n"/>
      <c r="B196" s="120" t="n"/>
      <c r="C196" s="120" t="n"/>
      <c r="D196" s="120" t="n"/>
      <c r="E196" s="120" t="n"/>
      <c r="F196" s="121" t="n"/>
      <c r="G196" s="120" t="n"/>
      <c r="H196" s="11" t="n"/>
      <c r="I196" s="11" t="n"/>
      <c r="J196" s="120" t="n"/>
      <c r="K196" s="120" t="n"/>
      <c r="L196" s="120" t="n"/>
      <c r="M196" s="11" t="n"/>
      <c r="N196" s="11" t="n"/>
      <c r="O196" s="11" t="n"/>
      <c r="P196" s="11" t="n"/>
      <c r="Q196" s="11" t="n"/>
      <c r="R196" s="11" t="n"/>
      <c r="S196" s="54" t="n"/>
    </row>
    <row r="197" ht="15.75" customHeight="1" s="236">
      <c r="A197" s="11" t="n"/>
      <c r="B197" s="120" t="n"/>
      <c r="C197" s="120" t="n"/>
      <c r="D197" s="120" t="n"/>
      <c r="E197" s="120" t="n"/>
      <c r="F197" s="121" t="n"/>
      <c r="G197" s="120" t="n"/>
      <c r="H197" s="11" t="n"/>
      <c r="I197" s="11" t="n"/>
      <c r="J197" s="120" t="n"/>
      <c r="K197" s="120" t="n"/>
      <c r="L197" s="120" t="n"/>
      <c r="M197" s="11" t="n"/>
      <c r="N197" s="11" t="n"/>
      <c r="O197" s="11" t="n"/>
      <c r="P197" s="11" t="n"/>
      <c r="Q197" s="11" t="n"/>
      <c r="R197" s="11" t="n"/>
      <c r="S197" s="54" t="n"/>
    </row>
    <row r="198" ht="15.75" customHeight="1" s="236">
      <c r="A198" s="11" t="n"/>
      <c r="B198" s="120" t="n"/>
      <c r="C198" s="120" t="n"/>
      <c r="D198" s="120" t="n"/>
      <c r="E198" s="120" t="n"/>
      <c r="F198" s="121" t="n"/>
      <c r="G198" s="120" t="n"/>
      <c r="H198" s="11" t="n"/>
      <c r="I198" s="11" t="n"/>
      <c r="J198" s="120" t="n"/>
      <c r="K198" s="120" t="n"/>
      <c r="L198" s="120" t="n"/>
      <c r="M198" s="11" t="n"/>
      <c r="N198" s="11" t="n"/>
      <c r="O198" s="11" t="n"/>
      <c r="P198" s="11" t="n"/>
      <c r="Q198" s="11" t="n"/>
      <c r="R198" s="11" t="n"/>
      <c r="S198" s="54" t="n"/>
    </row>
    <row r="199" ht="15.75" customHeight="1" s="236">
      <c r="A199" s="11" t="n"/>
      <c r="B199" s="120" t="n"/>
      <c r="C199" s="120" t="n"/>
      <c r="D199" s="120" t="n"/>
      <c r="E199" s="120" t="n"/>
      <c r="F199" s="121" t="n"/>
      <c r="G199" s="120" t="n"/>
      <c r="H199" s="11" t="n"/>
      <c r="I199" s="11" t="n"/>
      <c r="J199" s="120" t="n"/>
      <c r="K199" s="120" t="n"/>
      <c r="L199" s="120" t="n"/>
      <c r="M199" s="11" t="n"/>
      <c r="N199" s="11" t="n"/>
      <c r="O199" s="11" t="n"/>
      <c r="P199" s="11" t="n"/>
      <c r="Q199" s="11" t="n"/>
      <c r="R199" s="11" t="n"/>
      <c r="S199" s="54" t="n"/>
    </row>
    <row r="200" ht="15.75" customHeight="1" s="236">
      <c r="A200" s="11" t="n"/>
      <c r="B200" s="120" t="n"/>
      <c r="C200" s="120" t="n"/>
      <c r="D200" s="120" t="n"/>
      <c r="E200" s="120" t="n"/>
      <c r="F200" s="121" t="n"/>
      <c r="G200" s="120" t="n"/>
      <c r="H200" s="11" t="n"/>
      <c r="I200" s="11" t="n"/>
      <c r="J200" s="120" t="n"/>
      <c r="K200" s="120" t="n"/>
      <c r="L200" s="120" t="n"/>
      <c r="M200" s="11" t="n"/>
      <c r="N200" s="11" t="n"/>
      <c r="O200" s="11" t="n"/>
      <c r="P200" s="11" t="n"/>
      <c r="Q200" s="11" t="n"/>
      <c r="R200" s="11" t="n"/>
      <c r="S200" s="54" t="n"/>
    </row>
    <row r="201" ht="15.75" customHeight="1" s="236">
      <c r="A201" s="11" t="n"/>
      <c r="B201" s="120" t="n"/>
      <c r="C201" s="120" t="n"/>
      <c r="D201" s="120" t="n"/>
      <c r="E201" s="120" t="n"/>
      <c r="F201" s="121" t="n"/>
      <c r="G201" s="120" t="n"/>
      <c r="H201" s="11" t="n"/>
      <c r="I201" s="11" t="n"/>
      <c r="J201" s="120" t="n"/>
      <c r="K201" s="120" t="n"/>
      <c r="L201" s="120" t="n"/>
      <c r="M201" s="11" t="n"/>
      <c r="N201" s="11" t="n"/>
      <c r="O201" s="11" t="n"/>
      <c r="P201" s="11" t="n"/>
      <c r="Q201" s="11" t="n"/>
      <c r="R201" s="11" t="n"/>
      <c r="S201" s="54" t="n"/>
    </row>
    <row r="202" ht="15.75" customHeight="1" s="236">
      <c r="A202" s="11" t="n"/>
      <c r="B202" s="120" t="n"/>
      <c r="C202" s="120" t="n"/>
      <c r="D202" s="120" t="n"/>
      <c r="E202" s="120" t="n"/>
      <c r="F202" s="121" t="n"/>
      <c r="G202" s="120" t="n"/>
      <c r="H202" s="11" t="n"/>
      <c r="I202" s="11" t="n"/>
      <c r="J202" s="120" t="n"/>
      <c r="K202" s="120" t="n"/>
      <c r="L202" s="120" t="n"/>
      <c r="M202" s="11" t="n"/>
      <c r="N202" s="11" t="n"/>
      <c r="O202" s="11" t="n"/>
      <c r="P202" s="11" t="n"/>
      <c r="Q202" s="11" t="n"/>
      <c r="R202" s="11" t="n"/>
      <c r="S202" s="54" t="n"/>
    </row>
    <row r="203" ht="15.75" customHeight="1" s="236">
      <c r="A203" s="11" t="n"/>
      <c r="B203" s="120" t="n"/>
      <c r="C203" s="120" t="n"/>
      <c r="D203" s="120" t="n"/>
      <c r="E203" s="120" t="n"/>
      <c r="F203" s="121" t="n"/>
      <c r="G203" s="120" t="n"/>
      <c r="H203" s="11" t="n"/>
      <c r="I203" s="11" t="n"/>
      <c r="J203" s="120" t="n"/>
      <c r="K203" s="120" t="n"/>
      <c r="L203" s="120" t="n"/>
      <c r="M203" s="11" t="n"/>
      <c r="N203" s="11" t="n"/>
      <c r="O203" s="11" t="n"/>
      <c r="P203" s="11" t="n"/>
      <c r="Q203" s="11" t="n"/>
      <c r="R203" s="11" t="n"/>
      <c r="S203" s="54" t="n"/>
    </row>
    <row r="204" ht="15.75" customHeight="1" s="236">
      <c r="A204" s="11" t="n"/>
      <c r="B204" s="120" t="n"/>
      <c r="C204" s="120" t="n"/>
      <c r="D204" s="120" t="n"/>
      <c r="E204" s="120" t="n"/>
      <c r="F204" s="121" t="n"/>
      <c r="G204" s="120" t="n"/>
      <c r="H204" s="11" t="n"/>
      <c r="I204" s="11" t="n"/>
      <c r="J204" s="120" t="n"/>
      <c r="K204" s="120" t="n"/>
      <c r="L204" s="120" t="n"/>
      <c r="M204" s="11" t="n"/>
      <c r="N204" s="11" t="n"/>
      <c r="O204" s="11" t="n"/>
      <c r="P204" s="11" t="n"/>
      <c r="Q204" s="11" t="n"/>
      <c r="R204" s="11" t="n"/>
      <c r="S204" s="54" t="n"/>
    </row>
    <row r="205" ht="15.75" customHeight="1" s="236">
      <c r="A205" s="11" t="n"/>
      <c r="B205" s="120" t="n"/>
      <c r="C205" s="120" t="n"/>
      <c r="D205" s="120" t="n"/>
      <c r="E205" s="120" t="n"/>
      <c r="F205" s="121" t="n"/>
      <c r="G205" s="120" t="n"/>
      <c r="H205" s="11" t="n"/>
      <c r="I205" s="11" t="n"/>
      <c r="J205" s="120" t="n"/>
      <c r="K205" s="120" t="n"/>
      <c r="L205" s="120" t="n"/>
      <c r="M205" s="11" t="n"/>
      <c r="N205" s="11" t="n"/>
      <c r="O205" s="11" t="n"/>
      <c r="P205" s="11" t="n"/>
      <c r="Q205" s="11" t="n"/>
      <c r="R205" s="11" t="n"/>
      <c r="S205" s="54" t="n"/>
    </row>
    <row r="206" ht="15.75" customHeight="1" s="236">
      <c r="A206" s="11" t="n"/>
      <c r="B206" s="120" t="n"/>
      <c r="C206" s="120" t="n"/>
      <c r="D206" s="120" t="n"/>
      <c r="E206" s="120" t="n"/>
      <c r="F206" s="121" t="n"/>
      <c r="G206" s="120" t="n"/>
      <c r="H206" s="11" t="n"/>
      <c r="I206" s="11" t="n"/>
      <c r="J206" s="120" t="n"/>
      <c r="K206" s="120" t="n"/>
      <c r="L206" s="120" t="n"/>
      <c r="M206" s="11" t="n"/>
      <c r="N206" s="11" t="n"/>
      <c r="O206" s="11" t="n"/>
      <c r="P206" s="11" t="n"/>
      <c r="Q206" s="11" t="n"/>
      <c r="R206" s="11" t="n"/>
      <c r="S206" s="54" t="n"/>
    </row>
    <row r="207" ht="15.75" customHeight="1" s="236">
      <c r="A207" s="11" t="n"/>
      <c r="B207" s="120" t="n"/>
      <c r="C207" s="120" t="n"/>
      <c r="D207" s="120" t="n"/>
      <c r="E207" s="120" t="n"/>
      <c r="F207" s="121" t="n"/>
      <c r="G207" s="120" t="n"/>
      <c r="H207" s="11" t="n"/>
      <c r="I207" s="11" t="n"/>
      <c r="J207" s="120" t="n"/>
      <c r="K207" s="120" t="n"/>
      <c r="L207" s="120" t="n"/>
      <c r="M207" s="11" t="n"/>
      <c r="N207" s="11" t="n"/>
      <c r="O207" s="11" t="n"/>
      <c r="P207" s="11" t="n"/>
      <c r="Q207" s="11" t="n"/>
      <c r="R207" s="11" t="n"/>
      <c r="S207" s="54" t="n"/>
    </row>
    <row r="208" ht="15.75" customHeight="1" s="236">
      <c r="A208" s="11" t="n"/>
      <c r="B208" s="120" t="n"/>
      <c r="C208" s="120" t="n"/>
      <c r="D208" s="120" t="n"/>
      <c r="E208" s="120" t="n"/>
      <c r="F208" s="121" t="n"/>
      <c r="G208" s="120" t="n"/>
      <c r="H208" s="11" t="n"/>
      <c r="I208" s="11" t="n"/>
      <c r="J208" s="120" t="n"/>
      <c r="K208" s="120" t="n"/>
      <c r="L208" s="120" t="n"/>
      <c r="M208" s="11" t="n"/>
      <c r="N208" s="11" t="n"/>
      <c r="O208" s="11" t="n"/>
      <c r="P208" s="11" t="n"/>
      <c r="Q208" s="11" t="n"/>
      <c r="R208" s="11" t="n"/>
      <c r="S208" s="54" t="n"/>
    </row>
    <row r="209" ht="15.75" customHeight="1" s="236">
      <c r="A209" s="11" t="n"/>
      <c r="B209" s="120" t="n"/>
      <c r="C209" s="120" t="n"/>
      <c r="D209" s="120" t="n"/>
      <c r="E209" s="120" t="n"/>
      <c r="F209" s="121" t="n"/>
      <c r="G209" s="120" t="n"/>
      <c r="H209" s="11" t="n"/>
      <c r="I209" s="11" t="n"/>
      <c r="J209" s="120" t="n"/>
      <c r="K209" s="120" t="n"/>
      <c r="L209" s="120" t="n"/>
      <c r="M209" s="11" t="n"/>
      <c r="N209" s="11" t="n"/>
      <c r="O209" s="11" t="n"/>
      <c r="P209" s="11" t="n"/>
      <c r="Q209" s="11" t="n"/>
      <c r="R209" s="11" t="n"/>
      <c r="S209" s="54" t="n"/>
    </row>
    <row r="210" ht="15.75" customHeight="1" s="236">
      <c r="A210" s="11" t="n"/>
      <c r="B210" s="120" t="n"/>
      <c r="C210" s="120" t="n"/>
      <c r="D210" s="120" t="n"/>
      <c r="E210" s="120" t="n"/>
      <c r="F210" s="121" t="n"/>
      <c r="G210" s="120" t="n"/>
      <c r="H210" s="11" t="n"/>
      <c r="I210" s="11" t="n"/>
      <c r="J210" s="120" t="n"/>
      <c r="K210" s="120" t="n"/>
      <c r="L210" s="120" t="n"/>
      <c r="M210" s="11" t="n"/>
      <c r="N210" s="11" t="n"/>
      <c r="O210" s="11" t="n"/>
      <c r="P210" s="11" t="n"/>
      <c r="Q210" s="11" t="n"/>
      <c r="R210" s="11" t="n"/>
      <c r="S210" s="54" t="n"/>
    </row>
    <row r="211" ht="15.75" customHeight="1" s="236">
      <c r="A211" s="11" t="n"/>
      <c r="B211" s="120" t="n"/>
      <c r="C211" s="120" t="n"/>
      <c r="D211" s="120" t="n"/>
      <c r="E211" s="120" t="n"/>
      <c r="F211" s="121" t="n"/>
      <c r="G211" s="120" t="n"/>
      <c r="H211" s="11" t="n"/>
      <c r="I211" s="11" t="n"/>
      <c r="J211" s="120" t="n"/>
      <c r="K211" s="120" t="n"/>
      <c r="L211" s="120" t="n"/>
      <c r="M211" s="11" t="n"/>
      <c r="N211" s="11" t="n"/>
      <c r="O211" s="11" t="n"/>
      <c r="P211" s="11" t="n"/>
      <c r="Q211" s="11" t="n"/>
      <c r="R211" s="11" t="n"/>
      <c r="S211" s="54" t="n"/>
    </row>
    <row r="212" ht="15.75" customHeight="1" s="236">
      <c r="A212" s="11" t="n"/>
      <c r="B212" s="120" t="n"/>
      <c r="C212" s="120" t="n"/>
      <c r="D212" s="120" t="n"/>
      <c r="E212" s="120" t="n"/>
      <c r="F212" s="121" t="n"/>
      <c r="G212" s="120" t="n"/>
      <c r="H212" s="11" t="n"/>
      <c r="I212" s="11" t="n"/>
      <c r="J212" s="120" t="n"/>
      <c r="K212" s="120" t="n"/>
      <c r="L212" s="120" t="n"/>
      <c r="M212" s="11" t="n"/>
      <c r="N212" s="11" t="n"/>
      <c r="O212" s="11" t="n"/>
      <c r="P212" s="11" t="n"/>
      <c r="Q212" s="11" t="n"/>
      <c r="R212" s="11" t="n"/>
      <c r="S212" s="54" t="n"/>
    </row>
    <row r="213" ht="15.75" customHeight="1" s="236">
      <c r="A213" s="11" t="n"/>
      <c r="B213" s="120" t="n"/>
      <c r="C213" s="120" t="n"/>
      <c r="D213" s="120" t="n"/>
      <c r="E213" s="120" t="n"/>
      <c r="F213" s="121" t="n"/>
      <c r="G213" s="120" t="n"/>
      <c r="H213" s="11" t="n"/>
      <c r="I213" s="11" t="n"/>
      <c r="J213" s="120" t="n"/>
      <c r="K213" s="120" t="n"/>
      <c r="L213" s="120" t="n"/>
      <c r="M213" s="11" t="n"/>
      <c r="N213" s="11" t="n"/>
      <c r="O213" s="11" t="n"/>
      <c r="P213" s="11" t="n"/>
      <c r="Q213" s="11" t="n"/>
      <c r="R213" s="11" t="n"/>
      <c r="S213" s="54" t="n"/>
    </row>
    <row r="214" ht="15.75" customHeight="1" s="236">
      <c r="A214" s="11" t="n"/>
      <c r="B214" s="120" t="n"/>
      <c r="C214" s="120" t="n"/>
      <c r="D214" s="120" t="n"/>
      <c r="E214" s="120" t="n"/>
      <c r="F214" s="121" t="n"/>
      <c r="G214" s="120" t="n"/>
      <c r="H214" s="11" t="n"/>
      <c r="I214" s="11" t="n"/>
      <c r="J214" s="120" t="n"/>
      <c r="K214" s="120" t="n"/>
      <c r="L214" s="120" t="n"/>
      <c r="M214" s="11" t="n"/>
      <c r="N214" s="11" t="n"/>
      <c r="O214" s="11" t="n"/>
      <c r="P214" s="11" t="n"/>
      <c r="Q214" s="11" t="n"/>
      <c r="R214" s="11" t="n"/>
      <c r="S214" s="54" t="n"/>
    </row>
    <row r="215" ht="15.75" customHeight="1" s="236">
      <c r="A215" s="11" t="n"/>
      <c r="B215" s="120" t="n"/>
      <c r="C215" s="120" t="n"/>
      <c r="D215" s="120" t="n"/>
      <c r="E215" s="120" t="n"/>
      <c r="F215" s="121" t="n"/>
      <c r="G215" s="120" t="n"/>
      <c r="H215" s="11" t="n"/>
      <c r="I215" s="11" t="n"/>
      <c r="J215" s="120" t="n"/>
      <c r="K215" s="120" t="n"/>
      <c r="L215" s="120" t="n"/>
      <c r="M215" s="11" t="n"/>
      <c r="N215" s="11" t="n"/>
      <c r="O215" s="11" t="n"/>
      <c r="P215" s="11" t="n"/>
      <c r="Q215" s="11" t="n"/>
      <c r="R215" s="11" t="n"/>
      <c r="S215" s="54" t="n"/>
    </row>
    <row r="216" ht="15.75" customHeight="1" s="236">
      <c r="A216" s="11" t="n"/>
      <c r="B216" s="120" t="n"/>
      <c r="C216" s="120" t="n"/>
      <c r="D216" s="120" t="n"/>
      <c r="E216" s="120" t="n"/>
      <c r="F216" s="121" t="n"/>
      <c r="G216" s="120" t="n"/>
      <c r="H216" s="11" t="n"/>
      <c r="I216" s="11" t="n"/>
      <c r="J216" s="120" t="n"/>
      <c r="K216" s="120" t="n"/>
      <c r="L216" s="120" t="n"/>
      <c r="M216" s="11" t="n"/>
      <c r="N216" s="11" t="n"/>
      <c r="O216" s="11" t="n"/>
      <c r="P216" s="11" t="n"/>
      <c r="Q216" s="11" t="n"/>
      <c r="R216" s="11" t="n"/>
      <c r="S216" s="54" t="n"/>
    </row>
    <row r="217" ht="15.75" customHeight="1" s="236">
      <c r="A217" s="11" t="n"/>
      <c r="B217" s="120" t="n"/>
      <c r="C217" s="120" t="n"/>
      <c r="D217" s="120" t="n"/>
      <c r="E217" s="120" t="n"/>
      <c r="F217" s="121" t="n"/>
      <c r="G217" s="120" t="n"/>
      <c r="H217" s="11" t="n"/>
      <c r="I217" s="11" t="n"/>
      <c r="J217" s="120" t="n"/>
      <c r="K217" s="120" t="n"/>
      <c r="L217" s="120" t="n"/>
      <c r="M217" s="11" t="n"/>
      <c r="N217" s="11" t="n"/>
      <c r="O217" s="11" t="n"/>
      <c r="P217" s="11" t="n"/>
      <c r="Q217" s="11" t="n"/>
      <c r="R217" s="11" t="n"/>
      <c r="S217" s="54" t="n"/>
    </row>
    <row r="218" ht="15.75" customHeight="1" s="236">
      <c r="A218" s="11" t="n"/>
      <c r="B218" s="120" t="n"/>
      <c r="C218" s="120" t="n"/>
      <c r="D218" s="120" t="n"/>
      <c r="E218" s="120" t="n"/>
      <c r="F218" s="121" t="n"/>
      <c r="G218" s="120" t="n"/>
      <c r="H218" s="11" t="n"/>
      <c r="I218" s="11" t="n"/>
      <c r="J218" s="120" t="n"/>
      <c r="K218" s="120" t="n"/>
      <c r="L218" s="120" t="n"/>
      <c r="M218" s="11" t="n"/>
      <c r="N218" s="11" t="n"/>
      <c r="O218" s="11" t="n"/>
      <c r="P218" s="11" t="n"/>
      <c r="Q218" s="11" t="n"/>
      <c r="R218" s="11" t="n"/>
      <c r="S218" s="54" t="n"/>
    </row>
    <row r="219" ht="15.75" customHeight="1" s="236">
      <c r="A219" s="11" t="n"/>
      <c r="B219" s="120" t="n"/>
      <c r="C219" s="120" t="n"/>
      <c r="D219" s="120" t="n"/>
      <c r="E219" s="120" t="n"/>
      <c r="F219" s="121" t="n"/>
      <c r="G219" s="120" t="n"/>
      <c r="H219" s="11" t="n"/>
      <c r="I219" s="11" t="n"/>
      <c r="J219" s="120" t="n"/>
      <c r="K219" s="120" t="n"/>
      <c r="L219" s="120" t="n"/>
      <c r="M219" s="11" t="n"/>
      <c r="N219" s="11" t="n"/>
      <c r="O219" s="11" t="n"/>
      <c r="P219" s="11" t="n"/>
      <c r="Q219" s="11" t="n"/>
      <c r="R219" s="11" t="n"/>
      <c r="S219" s="54" t="n"/>
    </row>
    <row r="220" ht="15.75" customHeight="1" s="236">
      <c r="A220" s="11" t="n"/>
      <c r="B220" s="120" t="n"/>
      <c r="C220" s="120" t="n"/>
      <c r="D220" s="120" t="n"/>
      <c r="E220" s="120" t="n"/>
      <c r="F220" s="121" t="n"/>
      <c r="G220" s="120" t="n"/>
      <c r="H220" s="11" t="n"/>
      <c r="I220" s="11" t="n"/>
      <c r="J220" s="120" t="n"/>
      <c r="K220" s="120" t="n"/>
      <c r="L220" s="120" t="n"/>
      <c r="M220" s="11" t="n"/>
      <c r="N220" s="11" t="n"/>
      <c r="O220" s="11" t="n"/>
      <c r="P220" s="11" t="n"/>
      <c r="Q220" s="11" t="n"/>
      <c r="R220" s="11" t="n"/>
      <c r="S220" s="54" t="n"/>
    </row>
    <row r="221" ht="15.75" customHeight="1" s="236">
      <c r="A221" s="11" t="n"/>
      <c r="B221" s="120" t="n"/>
      <c r="C221" s="120" t="n"/>
      <c r="D221" s="120" t="n"/>
      <c r="E221" s="120" t="n"/>
      <c r="F221" s="121" t="n"/>
      <c r="G221" s="120" t="n"/>
      <c r="H221" s="11" t="n"/>
      <c r="I221" s="11" t="n"/>
      <c r="J221" s="120" t="n"/>
      <c r="K221" s="120" t="n"/>
      <c r="L221" s="120" t="n"/>
      <c r="M221" s="11" t="n"/>
      <c r="N221" s="11" t="n"/>
      <c r="O221" s="11" t="n"/>
      <c r="P221" s="11" t="n"/>
      <c r="Q221" s="11" t="n"/>
      <c r="R221" s="11" t="n"/>
      <c r="S221" s="54" t="n"/>
    </row>
    <row r="222" ht="15.75" customHeight="1" s="236">
      <c r="A222" s="11" t="n"/>
      <c r="B222" s="120" t="n"/>
      <c r="C222" s="120" t="n"/>
      <c r="D222" s="120" t="n"/>
      <c r="E222" s="120" t="n"/>
      <c r="F222" s="121" t="n"/>
      <c r="G222" s="120" t="n"/>
      <c r="H222" s="11" t="n"/>
      <c r="I222" s="11" t="n"/>
      <c r="J222" s="120" t="n"/>
      <c r="K222" s="120" t="n"/>
      <c r="L222" s="120" t="n"/>
      <c r="M222" s="11" t="n"/>
      <c r="N222" s="11" t="n"/>
      <c r="O222" s="11" t="n"/>
      <c r="P222" s="11" t="n"/>
      <c r="Q222" s="11" t="n"/>
      <c r="R222" s="11" t="n"/>
      <c r="S222" s="54" t="n"/>
    </row>
    <row r="223" ht="15.75" customHeight="1" s="236">
      <c r="A223" s="11" t="n"/>
      <c r="B223" s="120" t="n"/>
      <c r="C223" s="120" t="n"/>
      <c r="D223" s="120" t="n"/>
      <c r="E223" s="120" t="n"/>
      <c r="F223" s="121" t="n"/>
      <c r="G223" s="120" t="n"/>
      <c r="H223" s="11" t="n"/>
      <c r="I223" s="11" t="n"/>
      <c r="J223" s="120" t="n"/>
      <c r="K223" s="120" t="n"/>
      <c r="L223" s="120" t="n"/>
      <c r="M223" s="11" t="n"/>
      <c r="N223" s="11" t="n"/>
      <c r="O223" s="11" t="n"/>
      <c r="P223" s="11" t="n"/>
      <c r="Q223" s="11" t="n"/>
      <c r="R223" s="11" t="n"/>
      <c r="S223" s="54" t="n"/>
    </row>
    <row r="224" ht="15.75" customHeight="1" s="236">
      <c r="A224" s="11" t="n"/>
      <c r="B224" s="120" t="n"/>
      <c r="C224" s="120" t="n"/>
      <c r="D224" s="120" t="n"/>
      <c r="E224" s="120" t="n"/>
      <c r="F224" s="121" t="n"/>
      <c r="G224" s="120" t="n"/>
      <c r="H224" s="11" t="n"/>
      <c r="I224" s="11" t="n"/>
      <c r="J224" s="120" t="n"/>
      <c r="K224" s="120" t="n"/>
      <c r="L224" s="120" t="n"/>
      <c r="M224" s="11" t="n"/>
      <c r="N224" s="11" t="n"/>
      <c r="O224" s="11" t="n"/>
      <c r="P224" s="11" t="n"/>
      <c r="Q224" s="11" t="n"/>
      <c r="R224" s="11" t="n"/>
      <c r="S224" s="54" t="n"/>
    </row>
    <row r="225" ht="15.75" customHeight="1" s="236">
      <c r="A225" s="11" t="n"/>
      <c r="B225" s="120" t="n"/>
      <c r="C225" s="120" t="n"/>
      <c r="D225" s="120" t="n"/>
      <c r="E225" s="120" t="n"/>
      <c r="F225" s="121" t="n"/>
      <c r="G225" s="120" t="n"/>
      <c r="H225" s="11" t="n"/>
      <c r="I225" s="11" t="n"/>
      <c r="J225" s="120" t="n"/>
      <c r="K225" s="120" t="n"/>
      <c r="L225" s="120" t="n"/>
      <c r="M225" s="11" t="n"/>
      <c r="N225" s="11" t="n"/>
      <c r="O225" s="11" t="n"/>
      <c r="P225" s="11" t="n"/>
      <c r="Q225" s="11" t="n"/>
      <c r="R225" s="11" t="n"/>
      <c r="S225" s="54" t="n"/>
    </row>
    <row r="226" ht="15.75" customHeight="1" s="236">
      <c r="A226" s="11" t="n"/>
      <c r="B226" s="120" t="n"/>
      <c r="C226" s="120" t="n"/>
      <c r="D226" s="120" t="n"/>
      <c r="E226" s="120" t="n"/>
      <c r="F226" s="121" t="n"/>
      <c r="G226" s="120" t="n"/>
      <c r="H226" s="11" t="n"/>
      <c r="I226" s="11" t="n"/>
      <c r="J226" s="120" t="n"/>
      <c r="K226" s="120" t="n"/>
      <c r="L226" s="120" t="n"/>
      <c r="M226" s="11" t="n"/>
      <c r="N226" s="11" t="n"/>
      <c r="O226" s="11" t="n"/>
      <c r="P226" s="11" t="n"/>
      <c r="Q226" s="11" t="n"/>
      <c r="R226" s="11" t="n"/>
      <c r="S226" s="54" t="n"/>
    </row>
    <row r="227" ht="15.75" customHeight="1" s="236">
      <c r="A227" s="11" t="n"/>
      <c r="B227" s="120" t="n"/>
      <c r="C227" s="120" t="n"/>
      <c r="D227" s="120" t="n"/>
      <c r="E227" s="120" t="n"/>
      <c r="F227" s="121" t="n"/>
      <c r="G227" s="120" t="n"/>
      <c r="H227" s="11" t="n"/>
      <c r="I227" s="11" t="n"/>
      <c r="J227" s="120" t="n"/>
      <c r="K227" s="120" t="n"/>
      <c r="L227" s="120" t="n"/>
      <c r="M227" s="11" t="n"/>
      <c r="N227" s="11" t="n"/>
      <c r="O227" s="11" t="n"/>
      <c r="P227" s="11" t="n"/>
      <c r="Q227" s="11" t="n"/>
      <c r="R227" s="11" t="n"/>
      <c r="S227" s="54" t="n"/>
    </row>
    <row r="228" ht="15.75" customHeight="1" s="236">
      <c r="A228" s="11" t="n"/>
      <c r="B228" s="120" t="n"/>
      <c r="C228" s="120" t="n"/>
      <c r="D228" s="120" t="n"/>
      <c r="E228" s="120" t="n"/>
      <c r="F228" s="121" t="n"/>
      <c r="G228" s="120" t="n"/>
      <c r="H228" s="11" t="n"/>
      <c r="I228" s="11" t="n"/>
      <c r="J228" s="120" t="n"/>
      <c r="K228" s="120" t="n"/>
      <c r="L228" s="120" t="n"/>
      <c r="M228" s="11" t="n"/>
      <c r="N228" s="11" t="n"/>
      <c r="O228" s="11" t="n"/>
      <c r="P228" s="11" t="n"/>
      <c r="Q228" s="11" t="n"/>
      <c r="R228" s="11" t="n"/>
      <c r="S228" s="54" t="n"/>
    </row>
    <row r="229" ht="15.75" customHeight="1" s="236">
      <c r="A229" s="11" t="n"/>
      <c r="B229" s="120" t="n"/>
      <c r="C229" s="120" t="n"/>
      <c r="D229" s="120" t="n"/>
      <c r="E229" s="120" t="n"/>
      <c r="F229" s="121" t="n"/>
      <c r="G229" s="120" t="n"/>
      <c r="H229" s="11" t="n"/>
      <c r="I229" s="11" t="n"/>
      <c r="J229" s="120" t="n"/>
      <c r="K229" s="120" t="n"/>
      <c r="L229" s="120" t="n"/>
      <c r="M229" s="11" t="n"/>
      <c r="N229" s="11" t="n"/>
      <c r="O229" s="11" t="n"/>
      <c r="P229" s="11" t="n"/>
      <c r="Q229" s="11" t="n"/>
      <c r="R229" s="11" t="n"/>
      <c r="S229" s="54" t="n"/>
    </row>
    <row r="230" ht="15.75" customHeight="1" s="236">
      <c r="A230" s="11" t="n"/>
      <c r="B230" s="120" t="n"/>
      <c r="C230" s="120" t="n"/>
      <c r="D230" s="120" t="n"/>
      <c r="E230" s="120" t="n"/>
      <c r="F230" s="121" t="n"/>
      <c r="G230" s="120" t="n"/>
      <c r="H230" s="11" t="n"/>
      <c r="I230" s="11" t="n"/>
      <c r="J230" s="120" t="n"/>
      <c r="K230" s="120" t="n"/>
      <c r="L230" s="120" t="n"/>
      <c r="M230" s="11" t="n"/>
      <c r="N230" s="11" t="n"/>
      <c r="O230" s="11" t="n"/>
      <c r="P230" s="11" t="n"/>
      <c r="Q230" s="11" t="n"/>
      <c r="R230" s="11" t="n"/>
      <c r="S230" s="54" t="n"/>
    </row>
    <row r="231" ht="15.75" customHeight="1" s="236">
      <c r="A231" s="11" t="n"/>
      <c r="B231" s="120" t="n"/>
      <c r="C231" s="120" t="n"/>
      <c r="D231" s="120" t="n"/>
      <c r="E231" s="120" t="n"/>
      <c r="F231" s="121" t="n"/>
      <c r="G231" s="120" t="n"/>
      <c r="H231" s="11" t="n"/>
      <c r="I231" s="11" t="n"/>
      <c r="J231" s="120" t="n"/>
      <c r="K231" s="120" t="n"/>
      <c r="L231" s="120" t="n"/>
      <c r="M231" s="11" t="n"/>
      <c r="N231" s="11" t="n"/>
      <c r="O231" s="11" t="n"/>
      <c r="P231" s="11" t="n"/>
      <c r="Q231" s="11" t="n"/>
      <c r="R231" s="11" t="n"/>
      <c r="S231" s="54" t="n"/>
    </row>
    <row r="232" ht="15.75" customHeight="1" s="236">
      <c r="A232" s="11" t="n"/>
      <c r="B232" s="120" t="n"/>
      <c r="C232" s="120" t="n"/>
      <c r="D232" s="120" t="n"/>
      <c r="E232" s="120" t="n"/>
      <c r="F232" s="121" t="n"/>
      <c r="G232" s="120" t="n"/>
      <c r="H232" s="11" t="n"/>
      <c r="I232" s="11" t="n"/>
      <c r="J232" s="120" t="n"/>
      <c r="K232" s="120" t="n"/>
      <c r="L232" s="120" t="n"/>
      <c r="M232" s="11" t="n"/>
      <c r="N232" s="11" t="n"/>
      <c r="O232" s="11" t="n"/>
      <c r="P232" s="11" t="n"/>
      <c r="Q232" s="11" t="n"/>
      <c r="R232" s="11" t="n"/>
      <c r="S232" s="54" t="n"/>
    </row>
    <row r="233" ht="15.75" customHeight="1" s="236">
      <c r="A233" s="11" t="n"/>
      <c r="B233" s="120" t="n"/>
      <c r="C233" s="120" t="n"/>
      <c r="D233" s="120" t="n"/>
      <c r="E233" s="120" t="n"/>
      <c r="F233" s="121" t="n"/>
      <c r="G233" s="120" t="n"/>
      <c r="H233" s="11" t="n"/>
      <c r="I233" s="11" t="n"/>
      <c r="J233" s="120" t="n"/>
      <c r="K233" s="120" t="n"/>
      <c r="L233" s="120" t="n"/>
      <c r="M233" s="11" t="n"/>
      <c r="N233" s="11" t="n"/>
      <c r="O233" s="11" t="n"/>
      <c r="P233" s="11" t="n"/>
      <c r="Q233" s="11" t="n"/>
      <c r="R233" s="11" t="n"/>
      <c r="S233" s="54" t="n"/>
    </row>
    <row r="234" ht="15.75" customHeight="1" s="236">
      <c r="A234" s="11" t="n"/>
      <c r="B234" s="120" t="n"/>
      <c r="C234" s="120" t="n"/>
      <c r="D234" s="120" t="n"/>
      <c r="E234" s="120" t="n"/>
      <c r="F234" s="121" t="n"/>
      <c r="G234" s="120" t="n"/>
      <c r="H234" s="11" t="n"/>
      <c r="I234" s="11" t="n"/>
      <c r="J234" s="120" t="n"/>
      <c r="K234" s="120" t="n"/>
      <c r="L234" s="120" t="n"/>
      <c r="M234" s="11" t="n"/>
      <c r="N234" s="11" t="n"/>
      <c r="O234" s="11" t="n"/>
      <c r="P234" s="11" t="n"/>
      <c r="Q234" s="11" t="n"/>
      <c r="R234" s="11" t="n"/>
      <c r="S234" s="54" t="n"/>
    </row>
    <row r="235" ht="15.75" customHeight="1" s="236">
      <c r="A235" s="11" t="n"/>
      <c r="B235" s="120" t="n"/>
      <c r="C235" s="120" t="n"/>
      <c r="D235" s="120" t="n"/>
      <c r="E235" s="120" t="n"/>
      <c r="F235" s="121" t="n"/>
      <c r="G235" s="120" t="n"/>
      <c r="H235" s="11" t="n"/>
      <c r="I235" s="11" t="n"/>
      <c r="J235" s="120" t="n"/>
      <c r="K235" s="120" t="n"/>
      <c r="L235" s="120" t="n"/>
      <c r="M235" s="11" t="n"/>
      <c r="N235" s="11" t="n"/>
      <c r="O235" s="11" t="n"/>
      <c r="P235" s="11" t="n"/>
      <c r="Q235" s="11" t="n"/>
      <c r="R235" s="11" t="n"/>
      <c r="S235" s="54" t="n"/>
    </row>
    <row r="236" ht="15.75" customHeight="1" s="236">
      <c r="A236" s="11" t="n"/>
      <c r="B236" s="120" t="n"/>
      <c r="C236" s="120" t="n"/>
      <c r="D236" s="120" t="n"/>
      <c r="E236" s="120" t="n"/>
      <c r="F236" s="121" t="n"/>
      <c r="G236" s="120" t="n"/>
      <c r="H236" s="11" t="n"/>
      <c r="I236" s="11" t="n"/>
      <c r="J236" s="120" t="n"/>
      <c r="K236" s="120" t="n"/>
      <c r="L236" s="120" t="n"/>
      <c r="M236" s="11" t="n"/>
      <c r="N236" s="11" t="n"/>
      <c r="O236" s="11" t="n"/>
      <c r="P236" s="11" t="n"/>
      <c r="Q236" s="11" t="n"/>
      <c r="R236" s="11" t="n"/>
      <c r="S236" s="54" t="n"/>
    </row>
    <row r="237" ht="15.75" customHeight="1" s="236">
      <c r="A237" s="11" t="n"/>
      <c r="B237" s="120" t="n"/>
      <c r="C237" s="120" t="n"/>
      <c r="D237" s="120" t="n"/>
      <c r="E237" s="120" t="n"/>
      <c r="F237" s="121" t="n"/>
      <c r="G237" s="120" t="n"/>
      <c r="H237" s="11" t="n"/>
      <c r="I237" s="11" t="n"/>
      <c r="J237" s="120" t="n"/>
      <c r="K237" s="120" t="n"/>
      <c r="L237" s="120" t="n"/>
      <c r="M237" s="11" t="n"/>
      <c r="N237" s="11" t="n"/>
      <c r="O237" s="11" t="n"/>
      <c r="P237" s="11" t="n"/>
      <c r="Q237" s="11" t="n"/>
      <c r="R237" s="11" t="n"/>
      <c r="S237" s="54" t="n"/>
    </row>
    <row r="238" ht="15.75" customHeight="1" s="236">
      <c r="A238" s="11" t="n"/>
      <c r="B238" s="120" t="n"/>
      <c r="C238" s="120" t="n"/>
      <c r="D238" s="120" t="n"/>
      <c r="E238" s="120" t="n"/>
      <c r="F238" s="121" t="n"/>
      <c r="G238" s="120" t="n"/>
      <c r="H238" s="11" t="n"/>
      <c r="I238" s="11" t="n"/>
      <c r="J238" s="120" t="n"/>
      <c r="K238" s="120" t="n"/>
      <c r="L238" s="120" t="n"/>
      <c r="M238" s="11" t="n"/>
      <c r="N238" s="11" t="n"/>
      <c r="O238" s="11" t="n"/>
      <c r="P238" s="11" t="n"/>
      <c r="Q238" s="11" t="n"/>
      <c r="R238" s="11" t="n"/>
      <c r="S238" s="54" t="n"/>
    </row>
    <row r="239" ht="15.75" customHeight="1" s="236">
      <c r="A239" s="11" t="n"/>
      <c r="B239" s="120" t="n"/>
      <c r="C239" s="120" t="n"/>
      <c r="D239" s="120" t="n"/>
      <c r="E239" s="120" t="n"/>
      <c r="F239" s="121" t="n"/>
      <c r="G239" s="120" t="n"/>
      <c r="H239" s="11" t="n"/>
      <c r="I239" s="11" t="n"/>
      <c r="J239" s="120" t="n"/>
      <c r="K239" s="120" t="n"/>
      <c r="L239" s="120" t="n"/>
      <c r="M239" s="11" t="n"/>
      <c r="N239" s="11" t="n"/>
      <c r="O239" s="11" t="n"/>
      <c r="P239" s="11" t="n"/>
      <c r="Q239" s="11" t="n"/>
      <c r="R239" s="11" t="n"/>
      <c r="S239" s="54" t="n"/>
    </row>
    <row r="240" ht="15.75" customHeight="1" s="236">
      <c r="A240" s="11" t="n"/>
      <c r="B240" s="120" t="n"/>
      <c r="C240" s="120" t="n"/>
      <c r="D240" s="120" t="n"/>
      <c r="E240" s="120" t="n"/>
      <c r="F240" s="121" t="n"/>
      <c r="G240" s="120" t="n"/>
      <c r="H240" s="11" t="n"/>
      <c r="I240" s="11" t="n"/>
      <c r="J240" s="120" t="n"/>
      <c r="K240" s="120" t="n"/>
      <c r="L240" s="120" t="n"/>
      <c r="M240" s="11" t="n"/>
      <c r="N240" s="11" t="n"/>
      <c r="O240" s="11" t="n"/>
      <c r="P240" s="11" t="n"/>
      <c r="Q240" s="11" t="n"/>
      <c r="R240" s="11" t="n"/>
      <c r="S240" s="54" t="n"/>
    </row>
    <row r="241" ht="15.75" customHeight="1" s="236">
      <c r="A241" s="11" t="n"/>
      <c r="B241" s="120" t="n"/>
      <c r="C241" s="120" t="n"/>
      <c r="D241" s="120" t="n"/>
      <c r="E241" s="120" t="n"/>
      <c r="F241" s="121" t="n"/>
      <c r="G241" s="120" t="n"/>
      <c r="H241" s="11" t="n"/>
      <c r="I241" s="11" t="n"/>
      <c r="J241" s="120" t="n"/>
      <c r="K241" s="120" t="n"/>
      <c r="L241" s="120" t="n"/>
      <c r="M241" s="11" t="n"/>
      <c r="N241" s="11" t="n"/>
      <c r="O241" s="11" t="n"/>
      <c r="P241" s="11" t="n"/>
      <c r="Q241" s="11" t="n"/>
      <c r="R241" s="11" t="n"/>
      <c r="S241" s="54" t="n"/>
    </row>
    <row r="242" ht="15.75" customHeight="1" s="236">
      <c r="A242" s="11" t="n"/>
      <c r="B242" s="120" t="n"/>
      <c r="C242" s="120" t="n"/>
      <c r="D242" s="120" t="n"/>
      <c r="E242" s="120" t="n"/>
      <c r="F242" s="121" t="n"/>
      <c r="G242" s="120" t="n"/>
      <c r="H242" s="11" t="n"/>
      <c r="I242" s="11" t="n"/>
      <c r="J242" s="120" t="n"/>
      <c r="K242" s="120" t="n"/>
      <c r="L242" s="120" t="n"/>
      <c r="M242" s="11" t="n"/>
      <c r="N242" s="11" t="n"/>
      <c r="O242" s="11" t="n"/>
      <c r="P242" s="11" t="n"/>
      <c r="Q242" s="11" t="n"/>
      <c r="R242" s="11" t="n"/>
      <c r="S242" s="54" t="n"/>
    </row>
    <row r="243" ht="15.75" customHeight="1" s="236">
      <c r="A243" s="11" t="n"/>
      <c r="B243" s="120" t="n"/>
      <c r="C243" s="120" t="n"/>
      <c r="D243" s="120" t="n"/>
      <c r="E243" s="120" t="n"/>
      <c r="F243" s="121" t="n"/>
      <c r="G243" s="120" t="n"/>
      <c r="H243" s="11" t="n"/>
      <c r="I243" s="11" t="n"/>
      <c r="J243" s="120" t="n"/>
      <c r="K243" s="120" t="n"/>
      <c r="L243" s="120" t="n"/>
      <c r="M243" s="11" t="n"/>
      <c r="N243" s="11" t="n"/>
      <c r="O243" s="11" t="n"/>
      <c r="P243" s="11" t="n"/>
      <c r="Q243" s="11" t="n"/>
      <c r="R243" s="11" t="n"/>
      <c r="S243" s="54" t="n"/>
    </row>
    <row r="244" ht="15.75" customHeight="1" s="236">
      <c r="A244" s="11" t="n"/>
      <c r="B244" s="120" t="n"/>
      <c r="C244" s="120" t="n"/>
      <c r="D244" s="120" t="n"/>
      <c r="E244" s="120" t="n"/>
      <c r="F244" s="121" t="n"/>
      <c r="G244" s="120" t="n"/>
      <c r="H244" s="11" t="n"/>
      <c r="I244" s="11" t="n"/>
      <c r="J244" s="120" t="n"/>
      <c r="K244" s="120" t="n"/>
      <c r="L244" s="120" t="n"/>
      <c r="M244" s="11" t="n"/>
      <c r="N244" s="11" t="n"/>
      <c r="O244" s="11" t="n"/>
      <c r="P244" s="11" t="n"/>
      <c r="Q244" s="11" t="n"/>
      <c r="R244" s="11" t="n"/>
      <c r="S244" s="54" t="n"/>
    </row>
    <row r="245" ht="15.75" customHeight="1" s="236">
      <c r="A245" s="11" t="n"/>
      <c r="B245" s="120" t="n"/>
      <c r="C245" s="120" t="n"/>
      <c r="D245" s="120" t="n"/>
      <c r="E245" s="120" t="n"/>
      <c r="F245" s="121" t="n"/>
      <c r="G245" s="120" t="n"/>
      <c r="H245" s="11" t="n"/>
      <c r="I245" s="11" t="n"/>
      <c r="J245" s="120" t="n"/>
      <c r="K245" s="120" t="n"/>
      <c r="L245" s="120" t="n"/>
      <c r="M245" s="11" t="n"/>
      <c r="N245" s="11" t="n"/>
      <c r="O245" s="11" t="n"/>
      <c r="P245" s="11" t="n"/>
      <c r="Q245" s="11" t="n"/>
      <c r="R245" s="11" t="n"/>
      <c r="S245" s="54" t="n"/>
    </row>
    <row r="246" ht="15.75" customHeight="1" s="236">
      <c r="A246" s="11" t="n"/>
      <c r="B246" s="120" t="n"/>
      <c r="C246" s="120" t="n"/>
      <c r="D246" s="120" t="n"/>
      <c r="E246" s="120" t="n"/>
      <c r="F246" s="121" t="n"/>
      <c r="G246" s="120" t="n"/>
      <c r="H246" s="11" t="n"/>
      <c r="I246" s="11" t="n"/>
      <c r="J246" s="120" t="n"/>
      <c r="K246" s="120" t="n"/>
      <c r="L246" s="120" t="n"/>
      <c r="M246" s="11" t="n"/>
      <c r="N246" s="11" t="n"/>
      <c r="O246" s="11" t="n"/>
      <c r="P246" s="11" t="n"/>
      <c r="Q246" s="11" t="n"/>
      <c r="R246" s="11" t="n"/>
      <c r="S246" s="54" t="n"/>
    </row>
    <row r="247" ht="15.75" customHeight="1" s="236">
      <c r="A247" s="11" t="n"/>
      <c r="B247" s="120" t="n"/>
      <c r="C247" s="120" t="n"/>
      <c r="D247" s="120" t="n"/>
      <c r="E247" s="120" t="n"/>
      <c r="F247" s="121" t="n"/>
      <c r="G247" s="120" t="n"/>
      <c r="H247" s="11" t="n"/>
      <c r="I247" s="11" t="n"/>
      <c r="J247" s="120" t="n"/>
      <c r="K247" s="120" t="n"/>
      <c r="L247" s="120" t="n"/>
      <c r="M247" s="11" t="n"/>
      <c r="N247" s="11" t="n"/>
      <c r="O247" s="11" t="n"/>
      <c r="P247" s="11" t="n"/>
      <c r="Q247" s="11" t="n"/>
      <c r="R247" s="11" t="n"/>
      <c r="S247" s="54" t="n"/>
    </row>
    <row r="248" ht="15.75" customHeight="1" s="236">
      <c r="A248" s="11" t="n"/>
      <c r="B248" s="120" t="n"/>
      <c r="C248" s="120" t="n"/>
      <c r="D248" s="120" t="n"/>
      <c r="E248" s="120" t="n"/>
      <c r="F248" s="121" t="n"/>
      <c r="G248" s="120" t="n"/>
      <c r="H248" s="11" t="n"/>
      <c r="I248" s="11" t="n"/>
      <c r="J248" s="120" t="n"/>
      <c r="K248" s="120" t="n"/>
      <c r="L248" s="120" t="n"/>
      <c r="M248" s="11" t="n"/>
      <c r="N248" s="11" t="n"/>
      <c r="O248" s="11" t="n"/>
      <c r="P248" s="11" t="n"/>
      <c r="Q248" s="11" t="n"/>
      <c r="R248" s="11" t="n"/>
      <c r="S248" s="54" t="n"/>
    </row>
    <row r="249" ht="15.75" customHeight="1" s="236">
      <c r="A249" s="11" t="n"/>
      <c r="B249" s="120" t="n"/>
      <c r="C249" s="120" t="n"/>
      <c r="D249" s="120" t="n"/>
      <c r="E249" s="120" t="n"/>
      <c r="F249" s="121" t="n"/>
      <c r="G249" s="120" t="n"/>
      <c r="H249" s="11" t="n"/>
      <c r="I249" s="11" t="n"/>
      <c r="J249" s="120" t="n"/>
      <c r="K249" s="120" t="n"/>
      <c r="L249" s="120" t="n"/>
      <c r="M249" s="11" t="n"/>
      <c r="N249" s="11" t="n"/>
      <c r="O249" s="11" t="n"/>
      <c r="P249" s="11" t="n"/>
      <c r="Q249" s="11" t="n"/>
      <c r="R249" s="11" t="n"/>
      <c r="S249" s="54" t="n"/>
    </row>
    <row r="250" ht="15.75" customHeight="1" s="236">
      <c r="A250" s="11" t="n"/>
      <c r="B250" s="120" t="n"/>
      <c r="C250" s="120" t="n"/>
      <c r="D250" s="120" t="n"/>
      <c r="E250" s="120" t="n"/>
      <c r="F250" s="121" t="n"/>
      <c r="G250" s="120" t="n"/>
      <c r="H250" s="11" t="n"/>
      <c r="I250" s="11" t="n"/>
      <c r="J250" s="120" t="n"/>
      <c r="K250" s="120" t="n"/>
      <c r="L250" s="120" t="n"/>
      <c r="M250" s="11" t="n"/>
      <c r="N250" s="11" t="n"/>
      <c r="O250" s="11" t="n"/>
      <c r="P250" s="11" t="n"/>
      <c r="Q250" s="11" t="n"/>
      <c r="R250" s="11" t="n"/>
      <c r="S250" s="54" t="n"/>
    </row>
    <row r="251" ht="15.75" customHeight="1" s="236">
      <c r="A251" s="11" t="n"/>
      <c r="B251" s="120" t="n"/>
      <c r="C251" s="120" t="n"/>
      <c r="D251" s="120" t="n"/>
      <c r="E251" s="120" t="n"/>
      <c r="F251" s="121" t="n"/>
      <c r="G251" s="120" t="n"/>
      <c r="H251" s="11" t="n"/>
      <c r="I251" s="11" t="n"/>
      <c r="J251" s="120" t="n"/>
      <c r="K251" s="120" t="n"/>
      <c r="L251" s="120" t="n"/>
      <c r="M251" s="11" t="n"/>
      <c r="N251" s="11" t="n"/>
      <c r="O251" s="11" t="n"/>
      <c r="P251" s="11" t="n"/>
      <c r="Q251" s="11" t="n"/>
      <c r="R251" s="11" t="n"/>
      <c r="S251" s="54" t="n"/>
    </row>
    <row r="252" ht="15.75" customHeight="1" s="236">
      <c r="A252" s="11" t="n"/>
      <c r="B252" s="120" t="n"/>
      <c r="C252" s="120" t="n"/>
      <c r="D252" s="120" t="n"/>
      <c r="E252" s="120" t="n"/>
      <c r="F252" s="121" t="n"/>
      <c r="G252" s="120" t="n"/>
      <c r="H252" s="11" t="n"/>
      <c r="I252" s="11" t="n"/>
      <c r="J252" s="120" t="n"/>
      <c r="K252" s="120" t="n"/>
      <c r="L252" s="120" t="n"/>
      <c r="M252" s="11" t="n"/>
      <c r="N252" s="11" t="n"/>
      <c r="O252" s="11" t="n"/>
      <c r="P252" s="11" t="n"/>
      <c r="Q252" s="11" t="n"/>
      <c r="R252" s="11" t="n"/>
      <c r="S252" s="54" t="n"/>
    </row>
    <row r="253" ht="15.75" customHeight="1" s="236">
      <c r="A253" s="11" t="n"/>
      <c r="B253" s="120" t="n"/>
      <c r="C253" s="120" t="n"/>
      <c r="D253" s="120" t="n"/>
      <c r="E253" s="120" t="n"/>
      <c r="F253" s="121" t="n"/>
      <c r="G253" s="120" t="n"/>
      <c r="H253" s="11" t="n"/>
      <c r="I253" s="11" t="n"/>
      <c r="J253" s="120" t="n"/>
      <c r="K253" s="120" t="n"/>
      <c r="L253" s="120" t="n"/>
      <c r="M253" s="11" t="n"/>
      <c r="N253" s="11" t="n"/>
      <c r="O253" s="11" t="n"/>
      <c r="P253" s="11" t="n"/>
      <c r="Q253" s="11" t="n"/>
      <c r="R253" s="11" t="n"/>
      <c r="S253" s="54" t="n"/>
    </row>
    <row r="254" ht="15.75" customHeight="1" s="236">
      <c r="A254" s="11" t="n"/>
      <c r="B254" s="120" t="n"/>
      <c r="C254" s="120" t="n"/>
      <c r="D254" s="120" t="n"/>
      <c r="E254" s="120" t="n"/>
      <c r="F254" s="121" t="n"/>
      <c r="G254" s="120" t="n"/>
      <c r="H254" s="11" t="n"/>
      <c r="I254" s="11" t="n"/>
      <c r="J254" s="120" t="n"/>
      <c r="K254" s="120" t="n"/>
      <c r="L254" s="120" t="n"/>
      <c r="M254" s="11" t="n"/>
      <c r="N254" s="11" t="n"/>
      <c r="O254" s="11" t="n"/>
      <c r="P254" s="11" t="n"/>
      <c r="Q254" s="11" t="n"/>
      <c r="R254" s="11" t="n"/>
      <c r="S254" s="54" t="n"/>
    </row>
    <row r="255" ht="15.75" customHeight="1" s="236">
      <c r="A255" s="11" t="n"/>
      <c r="B255" s="120" t="n"/>
      <c r="C255" s="120" t="n"/>
      <c r="D255" s="120" t="n"/>
      <c r="E255" s="120" t="n"/>
      <c r="F255" s="121" t="n"/>
      <c r="G255" s="120" t="n"/>
      <c r="H255" s="11" t="n"/>
      <c r="I255" s="11" t="n"/>
      <c r="J255" s="120" t="n"/>
      <c r="K255" s="120" t="n"/>
      <c r="L255" s="120" t="n"/>
      <c r="M255" s="11" t="n"/>
      <c r="N255" s="11" t="n"/>
      <c r="O255" s="11" t="n"/>
      <c r="P255" s="11" t="n"/>
      <c r="Q255" s="11" t="n"/>
      <c r="R255" s="11" t="n"/>
      <c r="S255" s="54" t="n"/>
    </row>
    <row r="256" ht="15.75" customHeight="1" s="236">
      <c r="A256" s="11" t="n"/>
      <c r="B256" s="120" t="n"/>
      <c r="C256" s="120" t="n"/>
      <c r="D256" s="120" t="n"/>
      <c r="E256" s="120" t="n"/>
      <c r="F256" s="121" t="n"/>
      <c r="G256" s="120" t="n"/>
      <c r="H256" s="11" t="n"/>
      <c r="I256" s="11" t="n"/>
      <c r="J256" s="120" t="n"/>
      <c r="K256" s="120" t="n"/>
      <c r="L256" s="120" t="n"/>
      <c r="M256" s="11" t="n"/>
      <c r="N256" s="11" t="n"/>
      <c r="O256" s="11" t="n"/>
      <c r="P256" s="11" t="n"/>
      <c r="Q256" s="11" t="n"/>
      <c r="R256" s="11" t="n"/>
      <c r="S256" s="54" t="n"/>
    </row>
    <row r="257" ht="15.75" customHeight="1" s="236">
      <c r="A257" s="11" t="n"/>
      <c r="B257" s="120" t="n"/>
      <c r="C257" s="120" t="n"/>
      <c r="D257" s="120" t="n"/>
      <c r="E257" s="120" t="n"/>
      <c r="F257" s="121" t="n"/>
      <c r="G257" s="120" t="n"/>
      <c r="H257" s="11" t="n"/>
      <c r="I257" s="11" t="n"/>
      <c r="J257" s="120" t="n"/>
      <c r="K257" s="120" t="n"/>
      <c r="L257" s="120" t="n"/>
      <c r="M257" s="11" t="n"/>
      <c r="N257" s="11" t="n"/>
      <c r="O257" s="11" t="n"/>
      <c r="P257" s="11" t="n"/>
      <c r="Q257" s="11" t="n"/>
      <c r="R257" s="11" t="n"/>
      <c r="S257" s="54" t="n"/>
    </row>
    <row r="258" ht="15.75" customHeight="1" s="236">
      <c r="A258" s="11" t="n"/>
      <c r="B258" s="120" t="n"/>
      <c r="C258" s="120" t="n"/>
      <c r="D258" s="120" t="n"/>
      <c r="E258" s="120" t="n"/>
      <c r="F258" s="121" t="n"/>
      <c r="G258" s="120" t="n"/>
      <c r="H258" s="11" t="n"/>
      <c r="I258" s="11" t="n"/>
      <c r="J258" s="120" t="n"/>
      <c r="K258" s="120" t="n"/>
      <c r="L258" s="120" t="n"/>
      <c r="M258" s="11" t="n"/>
      <c r="N258" s="11" t="n"/>
      <c r="O258" s="11" t="n"/>
      <c r="P258" s="11" t="n"/>
      <c r="Q258" s="11" t="n"/>
      <c r="R258" s="11" t="n"/>
      <c r="S258" s="54" t="n"/>
    </row>
    <row r="259" ht="15.75" customHeight="1" s="236">
      <c r="A259" s="11" t="n"/>
      <c r="B259" s="120" t="n"/>
      <c r="C259" s="120" t="n"/>
      <c r="D259" s="120" t="n"/>
      <c r="E259" s="120" t="n"/>
      <c r="F259" s="121" t="n"/>
      <c r="G259" s="120" t="n"/>
      <c r="H259" s="11" t="n"/>
      <c r="I259" s="11" t="n"/>
      <c r="J259" s="120" t="n"/>
      <c r="K259" s="120" t="n"/>
      <c r="L259" s="120" t="n"/>
      <c r="M259" s="11" t="n"/>
      <c r="N259" s="11" t="n"/>
      <c r="O259" s="11" t="n"/>
      <c r="P259" s="11" t="n"/>
      <c r="Q259" s="11" t="n"/>
      <c r="R259" s="11" t="n"/>
      <c r="S259" s="54" t="n"/>
    </row>
    <row r="260" ht="15.75" customHeight="1" s="236">
      <c r="A260" s="11" t="n"/>
      <c r="B260" s="120" t="n"/>
      <c r="C260" s="120" t="n"/>
      <c r="D260" s="120" t="n"/>
      <c r="E260" s="120" t="n"/>
      <c r="F260" s="121" t="n"/>
      <c r="G260" s="120" t="n"/>
      <c r="H260" s="11" t="n"/>
      <c r="I260" s="11" t="n"/>
      <c r="J260" s="120" t="n"/>
      <c r="K260" s="120" t="n"/>
      <c r="L260" s="120" t="n"/>
      <c r="M260" s="11" t="n"/>
      <c r="N260" s="11" t="n"/>
      <c r="O260" s="11" t="n"/>
      <c r="P260" s="11" t="n"/>
      <c r="Q260" s="11" t="n"/>
      <c r="R260" s="11" t="n"/>
      <c r="S260" s="54" t="n"/>
    </row>
    <row r="261" ht="15.75" customHeight="1" s="236">
      <c r="A261" s="11" t="n"/>
      <c r="B261" s="120" t="n"/>
      <c r="C261" s="120" t="n"/>
      <c r="D261" s="120" t="n"/>
      <c r="E261" s="120" t="n"/>
      <c r="F261" s="121" t="n"/>
      <c r="G261" s="120" t="n"/>
      <c r="H261" s="11" t="n"/>
      <c r="I261" s="11" t="n"/>
      <c r="J261" s="120" t="n"/>
      <c r="K261" s="120" t="n"/>
      <c r="L261" s="120" t="n"/>
      <c r="M261" s="11" t="n"/>
      <c r="N261" s="11" t="n"/>
      <c r="O261" s="11" t="n"/>
      <c r="P261" s="11" t="n"/>
      <c r="Q261" s="11" t="n"/>
      <c r="R261" s="11" t="n"/>
      <c r="S261" s="54" t="n"/>
    </row>
    <row r="262" ht="15.75" customHeight="1" s="236">
      <c r="A262" s="11" t="n"/>
      <c r="B262" s="120" t="n"/>
      <c r="C262" s="120" t="n"/>
      <c r="D262" s="120" t="n"/>
      <c r="E262" s="120" t="n"/>
      <c r="F262" s="121" t="n"/>
      <c r="G262" s="120" t="n"/>
      <c r="H262" s="11" t="n"/>
      <c r="I262" s="11" t="n"/>
      <c r="J262" s="120" t="n"/>
      <c r="K262" s="120" t="n"/>
      <c r="L262" s="120" t="n"/>
      <c r="M262" s="11" t="n"/>
      <c r="N262" s="11" t="n"/>
      <c r="O262" s="11" t="n"/>
      <c r="P262" s="11" t="n"/>
      <c r="Q262" s="11" t="n"/>
      <c r="R262" s="11" t="n"/>
      <c r="S262" s="54" t="n"/>
    </row>
    <row r="263" ht="15.75" customHeight="1" s="236">
      <c r="A263" s="11" t="n"/>
      <c r="B263" s="120" t="n"/>
      <c r="C263" s="120" t="n"/>
      <c r="D263" s="120" t="n"/>
      <c r="E263" s="120" t="n"/>
      <c r="F263" s="121" t="n"/>
      <c r="G263" s="120" t="n"/>
      <c r="H263" s="11" t="n"/>
      <c r="I263" s="11" t="n"/>
      <c r="J263" s="120" t="n"/>
      <c r="K263" s="120" t="n"/>
      <c r="L263" s="120" t="n"/>
      <c r="M263" s="11" t="n"/>
      <c r="N263" s="11" t="n"/>
      <c r="O263" s="11" t="n"/>
      <c r="P263" s="11" t="n"/>
      <c r="Q263" s="11" t="n"/>
      <c r="R263" s="11" t="n"/>
      <c r="S263" s="54" t="n"/>
    </row>
    <row r="264" ht="15.75" customHeight="1" s="236">
      <c r="A264" s="11" t="n"/>
      <c r="B264" s="120" t="n"/>
      <c r="C264" s="120" t="n"/>
      <c r="D264" s="120" t="n"/>
      <c r="E264" s="120" t="n"/>
      <c r="F264" s="121" t="n"/>
      <c r="G264" s="120" t="n"/>
      <c r="H264" s="11" t="n"/>
      <c r="I264" s="11" t="n"/>
      <c r="J264" s="120" t="n"/>
      <c r="K264" s="120" t="n"/>
      <c r="L264" s="120" t="n"/>
      <c r="M264" s="11" t="n"/>
      <c r="N264" s="11" t="n"/>
      <c r="O264" s="11" t="n"/>
      <c r="P264" s="11" t="n"/>
      <c r="Q264" s="11" t="n"/>
      <c r="R264" s="11" t="n"/>
      <c r="S264" s="54" t="n"/>
    </row>
    <row r="265" ht="15.75" customHeight="1" s="236">
      <c r="A265" s="11" t="n"/>
      <c r="B265" s="120" t="n"/>
      <c r="C265" s="120" t="n"/>
      <c r="D265" s="120" t="n"/>
      <c r="E265" s="120" t="n"/>
      <c r="F265" s="121" t="n"/>
      <c r="G265" s="120" t="n"/>
      <c r="H265" s="11" t="n"/>
      <c r="I265" s="11" t="n"/>
      <c r="J265" s="120" t="n"/>
      <c r="K265" s="120" t="n"/>
      <c r="L265" s="120" t="n"/>
      <c r="M265" s="11" t="n"/>
      <c r="N265" s="11" t="n"/>
      <c r="O265" s="11" t="n"/>
      <c r="P265" s="11" t="n"/>
      <c r="Q265" s="11" t="n"/>
      <c r="R265" s="11" t="n"/>
      <c r="S265" s="54" t="n"/>
    </row>
    <row r="266" ht="15.75" customHeight="1" s="236">
      <c r="A266" s="11" t="n"/>
      <c r="B266" s="120" t="n"/>
      <c r="C266" s="120" t="n"/>
      <c r="D266" s="120" t="n"/>
      <c r="E266" s="120" t="n"/>
      <c r="F266" s="121" t="n"/>
      <c r="G266" s="120" t="n"/>
      <c r="H266" s="11" t="n"/>
      <c r="I266" s="11" t="n"/>
      <c r="J266" s="120" t="n"/>
      <c r="K266" s="120" t="n"/>
      <c r="L266" s="120" t="n"/>
      <c r="M266" s="11" t="n"/>
      <c r="N266" s="11" t="n"/>
      <c r="O266" s="11" t="n"/>
      <c r="P266" s="11" t="n"/>
      <c r="Q266" s="11" t="n"/>
      <c r="R266" s="11" t="n"/>
      <c r="S266" s="54" t="n"/>
    </row>
    <row r="267" ht="15.75" customHeight="1" s="236">
      <c r="A267" s="11" t="n"/>
      <c r="B267" s="120" t="n"/>
      <c r="C267" s="120" t="n"/>
      <c r="D267" s="120" t="n"/>
      <c r="E267" s="120" t="n"/>
      <c r="F267" s="121" t="n"/>
      <c r="G267" s="120" t="n"/>
      <c r="H267" s="11" t="n"/>
      <c r="I267" s="11" t="n"/>
      <c r="J267" s="120" t="n"/>
      <c r="K267" s="120" t="n"/>
      <c r="L267" s="120" t="n"/>
      <c r="M267" s="11" t="n"/>
      <c r="N267" s="11" t="n"/>
      <c r="O267" s="11" t="n"/>
      <c r="P267" s="11" t="n"/>
      <c r="Q267" s="11" t="n"/>
      <c r="R267" s="11" t="n"/>
      <c r="S267" s="54" t="n"/>
    </row>
    <row r="268" ht="15.75" customHeight="1" s="236">
      <c r="A268" s="11" t="n"/>
      <c r="B268" s="120" t="n"/>
      <c r="C268" s="120" t="n"/>
      <c r="D268" s="120" t="n"/>
      <c r="E268" s="120" t="n"/>
      <c r="F268" s="121" t="n"/>
      <c r="G268" s="120" t="n"/>
      <c r="H268" s="11" t="n"/>
      <c r="I268" s="11" t="n"/>
      <c r="J268" s="120" t="n"/>
      <c r="K268" s="120" t="n"/>
      <c r="L268" s="120" t="n"/>
      <c r="M268" s="11" t="n"/>
      <c r="N268" s="11" t="n"/>
      <c r="O268" s="11" t="n"/>
      <c r="P268" s="11" t="n"/>
      <c r="Q268" s="11" t="n"/>
      <c r="R268" s="11" t="n"/>
      <c r="S268" s="54" t="n"/>
    </row>
    <row r="269" ht="15.75" customHeight="1" s="236">
      <c r="A269" s="11" t="n"/>
      <c r="B269" s="120" t="n"/>
      <c r="C269" s="120" t="n"/>
      <c r="D269" s="120" t="n"/>
      <c r="E269" s="120" t="n"/>
      <c r="F269" s="121" t="n"/>
      <c r="G269" s="120" t="n"/>
      <c r="H269" s="11" t="n"/>
      <c r="I269" s="11" t="n"/>
      <c r="J269" s="120" t="n"/>
      <c r="K269" s="120" t="n"/>
      <c r="L269" s="120" t="n"/>
      <c r="M269" s="11" t="n"/>
      <c r="N269" s="11" t="n"/>
      <c r="O269" s="11" t="n"/>
      <c r="P269" s="11" t="n"/>
      <c r="Q269" s="11" t="n"/>
      <c r="R269" s="11" t="n"/>
      <c r="S269" s="54" t="n"/>
    </row>
    <row r="270" ht="15.75" customHeight="1" s="236">
      <c r="A270" s="11" t="n"/>
      <c r="B270" s="120" t="n"/>
      <c r="C270" s="120" t="n"/>
      <c r="D270" s="120" t="n"/>
      <c r="E270" s="120" t="n"/>
      <c r="F270" s="121" t="n"/>
      <c r="G270" s="120" t="n"/>
      <c r="H270" s="11" t="n"/>
      <c r="I270" s="11" t="n"/>
      <c r="J270" s="120" t="n"/>
      <c r="K270" s="120" t="n"/>
      <c r="L270" s="120" t="n"/>
      <c r="M270" s="11" t="n"/>
      <c r="N270" s="11" t="n"/>
      <c r="O270" s="11" t="n"/>
      <c r="P270" s="11" t="n"/>
      <c r="Q270" s="11" t="n"/>
      <c r="R270" s="11" t="n"/>
      <c r="S270" s="54" t="n"/>
    </row>
    <row r="271" ht="15.75" customHeight="1" s="236">
      <c r="A271" s="11" t="n"/>
      <c r="B271" s="120" t="n"/>
      <c r="C271" s="120" t="n"/>
      <c r="D271" s="120" t="n"/>
      <c r="E271" s="120" t="n"/>
      <c r="F271" s="121" t="n"/>
      <c r="G271" s="120" t="n"/>
      <c r="H271" s="11" t="n"/>
      <c r="I271" s="11" t="n"/>
      <c r="J271" s="120" t="n"/>
      <c r="K271" s="120" t="n"/>
      <c r="L271" s="120" t="n"/>
      <c r="M271" s="11" t="n"/>
      <c r="N271" s="11" t="n"/>
      <c r="O271" s="11" t="n"/>
      <c r="P271" s="11" t="n"/>
      <c r="Q271" s="11" t="n"/>
      <c r="R271" s="11" t="n"/>
      <c r="S271" s="54" t="n"/>
    </row>
    <row r="272" ht="15.75" customHeight="1" s="236">
      <c r="A272" s="11" t="n"/>
      <c r="B272" s="120" t="n"/>
      <c r="C272" s="120" t="n"/>
      <c r="D272" s="120" t="n"/>
      <c r="E272" s="120" t="n"/>
      <c r="F272" s="121" t="n"/>
      <c r="G272" s="120" t="n"/>
      <c r="H272" s="11" t="n"/>
      <c r="I272" s="11" t="n"/>
      <c r="J272" s="120" t="n"/>
      <c r="K272" s="120" t="n"/>
      <c r="L272" s="120" t="n"/>
      <c r="M272" s="11" t="n"/>
      <c r="N272" s="11" t="n"/>
      <c r="O272" s="11" t="n"/>
      <c r="P272" s="11" t="n"/>
      <c r="Q272" s="11" t="n"/>
      <c r="R272" s="11" t="n"/>
      <c r="S272" s="54" t="n"/>
    </row>
    <row r="273" ht="15.75" customHeight="1" s="236">
      <c r="A273" s="11" t="n"/>
      <c r="B273" s="120" t="n"/>
      <c r="C273" s="120" t="n"/>
      <c r="D273" s="120" t="n"/>
      <c r="E273" s="120" t="n"/>
      <c r="F273" s="121" t="n"/>
      <c r="G273" s="120" t="n"/>
      <c r="H273" s="11" t="n"/>
      <c r="I273" s="11" t="n"/>
      <c r="J273" s="120" t="n"/>
      <c r="K273" s="120" t="n"/>
      <c r="L273" s="120" t="n"/>
      <c r="M273" s="11" t="n"/>
      <c r="N273" s="11" t="n"/>
      <c r="O273" s="11" t="n"/>
      <c r="P273" s="11" t="n"/>
      <c r="Q273" s="11" t="n"/>
      <c r="R273" s="11" t="n"/>
      <c r="S273" s="54" t="n"/>
    </row>
    <row r="274" ht="15.75" customHeight="1" s="236">
      <c r="A274" s="11" t="n"/>
      <c r="B274" s="120" t="n"/>
      <c r="C274" s="120" t="n"/>
      <c r="D274" s="120" t="n"/>
      <c r="E274" s="120" t="n"/>
      <c r="F274" s="121" t="n"/>
      <c r="G274" s="120" t="n"/>
      <c r="H274" s="11" t="n"/>
      <c r="I274" s="11" t="n"/>
      <c r="J274" s="120" t="n"/>
      <c r="K274" s="120" t="n"/>
      <c r="L274" s="120" t="n"/>
      <c r="M274" s="11" t="n"/>
      <c r="N274" s="11" t="n"/>
      <c r="O274" s="11" t="n"/>
      <c r="P274" s="11" t="n"/>
      <c r="Q274" s="11" t="n"/>
      <c r="R274" s="11" t="n"/>
      <c r="S274" s="54" t="n"/>
    </row>
    <row r="275" ht="15.75" customHeight="1" s="236">
      <c r="A275" s="11" t="n"/>
      <c r="B275" s="120" t="n"/>
      <c r="C275" s="120" t="n"/>
      <c r="D275" s="120" t="n"/>
      <c r="E275" s="120" t="n"/>
      <c r="F275" s="121" t="n"/>
      <c r="G275" s="120" t="n"/>
      <c r="H275" s="11" t="n"/>
      <c r="I275" s="11" t="n"/>
      <c r="J275" s="120" t="n"/>
      <c r="K275" s="120" t="n"/>
      <c r="L275" s="120" t="n"/>
      <c r="M275" s="11" t="n"/>
      <c r="N275" s="11" t="n"/>
      <c r="O275" s="11" t="n"/>
      <c r="P275" s="11" t="n"/>
      <c r="Q275" s="11" t="n"/>
      <c r="R275" s="11" t="n"/>
      <c r="S275" s="54" t="n"/>
    </row>
    <row r="276" ht="15.75" customHeight="1" s="236">
      <c r="A276" s="11" t="n"/>
      <c r="B276" s="120" t="n"/>
      <c r="C276" s="120" t="n"/>
      <c r="D276" s="120" t="n"/>
      <c r="E276" s="120" t="n"/>
      <c r="F276" s="121" t="n"/>
      <c r="G276" s="120" t="n"/>
      <c r="H276" s="11" t="n"/>
      <c r="I276" s="11" t="n"/>
      <c r="J276" s="120" t="n"/>
      <c r="K276" s="120" t="n"/>
      <c r="L276" s="120" t="n"/>
      <c r="M276" s="11" t="n"/>
      <c r="N276" s="11" t="n"/>
      <c r="O276" s="11" t="n"/>
      <c r="P276" s="11" t="n"/>
      <c r="Q276" s="11" t="n"/>
      <c r="R276" s="11" t="n"/>
      <c r="S276" s="54" t="n"/>
    </row>
    <row r="277" ht="15.75" customHeight="1" s="236">
      <c r="A277" s="11" t="n"/>
      <c r="B277" s="120" t="n"/>
      <c r="C277" s="120" t="n"/>
      <c r="D277" s="120" t="n"/>
      <c r="E277" s="120" t="n"/>
      <c r="F277" s="121" t="n"/>
      <c r="G277" s="120" t="n"/>
      <c r="H277" s="11" t="n"/>
      <c r="I277" s="11" t="n"/>
      <c r="J277" s="120" t="n"/>
      <c r="K277" s="120" t="n"/>
      <c r="L277" s="120" t="n"/>
      <c r="M277" s="11" t="n"/>
      <c r="N277" s="11" t="n"/>
      <c r="O277" s="11" t="n"/>
      <c r="P277" s="11" t="n"/>
      <c r="Q277" s="11" t="n"/>
      <c r="R277" s="11" t="n"/>
      <c r="S277" s="54" t="n"/>
    </row>
    <row r="278" ht="15.75" customHeight="1" s="236">
      <c r="A278" s="11" t="n"/>
      <c r="B278" s="120" t="n"/>
      <c r="C278" s="120" t="n"/>
      <c r="D278" s="120" t="n"/>
      <c r="E278" s="120" t="n"/>
      <c r="F278" s="121" t="n"/>
      <c r="G278" s="120" t="n"/>
      <c r="H278" s="11" t="n"/>
      <c r="I278" s="11" t="n"/>
      <c r="J278" s="120" t="n"/>
      <c r="K278" s="120" t="n"/>
      <c r="L278" s="120" t="n"/>
      <c r="M278" s="11" t="n"/>
      <c r="N278" s="11" t="n"/>
      <c r="O278" s="11" t="n"/>
      <c r="P278" s="11" t="n"/>
      <c r="Q278" s="11" t="n"/>
      <c r="R278" s="11" t="n"/>
      <c r="S278" s="54" t="n"/>
    </row>
    <row r="279" ht="15.75" customHeight="1" s="236">
      <c r="A279" s="11" t="n"/>
      <c r="B279" s="120" t="n"/>
      <c r="C279" s="120" t="n"/>
      <c r="D279" s="120" t="n"/>
      <c r="E279" s="120" t="n"/>
      <c r="F279" s="121" t="n"/>
      <c r="G279" s="120" t="n"/>
      <c r="H279" s="11" t="n"/>
      <c r="I279" s="11" t="n"/>
      <c r="J279" s="120" t="n"/>
      <c r="K279" s="120" t="n"/>
      <c r="L279" s="120" t="n"/>
      <c r="M279" s="11" t="n"/>
      <c r="N279" s="11" t="n"/>
      <c r="O279" s="11" t="n"/>
      <c r="P279" s="11" t="n"/>
      <c r="Q279" s="11" t="n"/>
      <c r="R279" s="11" t="n"/>
      <c r="S279" s="54" t="n"/>
    </row>
    <row r="280" ht="15.75" customHeight="1" s="236">
      <c r="A280" s="11" t="n"/>
      <c r="B280" s="120" t="n"/>
      <c r="C280" s="120" t="n"/>
      <c r="D280" s="120" t="n"/>
      <c r="E280" s="120" t="n"/>
      <c r="F280" s="121" t="n"/>
      <c r="G280" s="120" t="n"/>
      <c r="H280" s="11" t="n"/>
      <c r="I280" s="11" t="n"/>
      <c r="J280" s="120" t="n"/>
      <c r="K280" s="120" t="n"/>
      <c r="L280" s="120" t="n"/>
      <c r="M280" s="11" t="n"/>
      <c r="N280" s="11" t="n"/>
      <c r="O280" s="11" t="n"/>
      <c r="P280" s="11" t="n"/>
      <c r="Q280" s="11" t="n"/>
      <c r="R280" s="11" t="n"/>
      <c r="S280" s="54" t="n"/>
    </row>
    <row r="281" ht="15.75" customHeight="1" s="236">
      <c r="A281" s="11" t="n"/>
      <c r="B281" s="120" t="n"/>
      <c r="C281" s="120" t="n"/>
      <c r="D281" s="120" t="n"/>
      <c r="E281" s="120" t="n"/>
      <c r="F281" s="121" t="n"/>
      <c r="G281" s="120" t="n"/>
      <c r="H281" s="11" t="n"/>
      <c r="I281" s="11" t="n"/>
      <c r="J281" s="120" t="n"/>
      <c r="K281" s="120" t="n"/>
      <c r="L281" s="120" t="n"/>
      <c r="M281" s="11" t="n"/>
      <c r="N281" s="11" t="n"/>
      <c r="O281" s="11" t="n"/>
      <c r="P281" s="11" t="n"/>
      <c r="Q281" s="11" t="n"/>
      <c r="R281" s="11" t="n"/>
      <c r="S281" s="54" t="n"/>
    </row>
    <row r="282" ht="15.75" customHeight="1" s="236">
      <c r="A282" s="11" t="n"/>
      <c r="B282" s="120" t="n"/>
      <c r="C282" s="120" t="n"/>
      <c r="D282" s="120" t="n"/>
      <c r="E282" s="120" t="n"/>
      <c r="F282" s="121" t="n"/>
      <c r="G282" s="120" t="n"/>
      <c r="H282" s="11" t="n"/>
      <c r="I282" s="11" t="n"/>
      <c r="J282" s="120" t="n"/>
      <c r="K282" s="120" t="n"/>
      <c r="L282" s="120" t="n"/>
      <c r="M282" s="11" t="n"/>
      <c r="N282" s="11" t="n"/>
      <c r="O282" s="11" t="n"/>
      <c r="P282" s="11" t="n"/>
      <c r="Q282" s="11" t="n"/>
      <c r="R282" s="11" t="n"/>
      <c r="S282" s="54" t="n"/>
    </row>
    <row r="283" ht="15.75" customHeight="1" s="236">
      <c r="A283" s="11" t="n"/>
      <c r="B283" s="120" t="n"/>
      <c r="C283" s="120" t="n"/>
      <c r="D283" s="120" t="n"/>
      <c r="E283" s="120" t="n"/>
      <c r="F283" s="121" t="n"/>
      <c r="G283" s="120" t="n"/>
      <c r="H283" s="11" t="n"/>
      <c r="I283" s="11" t="n"/>
      <c r="J283" s="120" t="n"/>
      <c r="K283" s="120" t="n"/>
      <c r="L283" s="120" t="n"/>
      <c r="M283" s="11" t="n"/>
      <c r="N283" s="11" t="n"/>
      <c r="O283" s="11" t="n"/>
      <c r="P283" s="11" t="n"/>
      <c r="Q283" s="11" t="n"/>
      <c r="R283" s="11" t="n"/>
      <c r="S283" s="54" t="n"/>
    </row>
    <row r="284" ht="15.75" customHeight="1" s="236">
      <c r="A284" s="11" t="n"/>
      <c r="B284" s="120" t="n"/>
      <c r="C284" s="120" t="n"/>
      <c r="D284" s="120" t="n"/>
      <c r="E284" s="120" t="n"/>
      <c r="F284" s="121" t="n"/>
      <c r="G284" s="120" t="n"/>
      <c r="H284" s="11" t="n"/>
      <c r="I284" s="11" t="n"/>
      <c r="J284" s="120" t="n"/>
      <c r="K284" s="120" t="n"/>
      <c r="L284" s="120" t="n"/>
      <c r="M284" s="11" t="n"/>
      <c r="N284" s="11" t="n"/>
      <c r="O284" s="11" t="n"/>
      <c r="P284" s="11" t="n"/>
      <c r="Q284" s="11" t="n"/>
      <c r="R284" s="11" t="n"/>
      <c r="S284" s="54" t="n"/>
    </row>
    <row r="285" ht="15.75" customHeight="1" s="236">
      <c r="A285" s="11" t="n"/>
      <c r="B285" s="120" t="n"/>
      <c r="C285" s="120" t="n"/>
      <c r="D285" s="120" t="n"/>
      <c r="E285" s="120" t="n"/>
      <c r="F285" s="121" t="n"/>
      <c r="G285" s="120" t="n"/>
      <c r="H285" s="11" t="n"/>
      <c r="I285" s="11" t="n"/>
      <c r="J285" s="120" t="n"/>
      <c r="K285" s="120" t="n"/>
      <c r="L285" s="120" t="n"/>
      <c r="M285" s="11" t="n"/>
      <c r="N285" s="11" t="n"/>
      <c r="O285" s="11" t="n"/>
      <c r="P285" s="11" t="n"/>
      <c r="Q285" s="11" t="n"/>
      <c r="R285" s="11" t="n"/>
      <c r="S285" s="54" t="n"/>
    </row>
    <row r="286" ht="15.75" customHeight="1" s="236">
      <c r="A286" s="11" t="n"/>
      <c r="B286" s="120" t="n"/>
      <c r="C286" s="120" t="n"/>
      <c r="D286" s="120" t="n"/>
      <c r="E286" s="120" t="n"/>
      <c r="F286" s="121" t="n"/>
      <c r="G286" s="120" t="n"/>
      <c r="H286" s="11" t="n"/>
      <c r="I286" s="11" t="n"/>
      <c r="J286" s="120" t="n"/>
      <c r="K286" s="120" t="n"/>
      <c r="L286" s="120" t="n"/>
      <c r="M286" s="11" t="n"/>
      <c r="N286" s="11" t="n"/>
      <c r="O286" s="11" t="n"/>
      <c r="P286" s="11" t="n"/>
      <c r="Q286" s="11" t="n"/>
      <c r="R286" s="11" t="n"/>
      <c r="S286" s="54" t="n"/>
    </row>
    <row r="287" ht="15.75" customHeight="1" s="236">
      <c r="A287" s="11" t="n"/>
      <c r="B287" s="120" t="n"/>
      <c r="C287" s="120" t="n"/>
      <c r="D287" s="120" t="n"/>
      <c r="E287" s="120" t="n"/>
      <c r="F287" s="121" t="n"/>
      <c r="G287" s="120" t="n"/>
      <c r="H287" s="11" t="n"/>
      <c r="I287" s="11" t="n"/>
      <c r="J287" s="120" t="n"/>
      <c r="K287" s="120" t="n"/>
      <c r="L287" s="120" t="n"/>
      <c r="M287" s="11" t="n"/>
      <c r="N287" s="11" t="n"/>
      <c r="O287" s="11" t="n"/>
      <c r="P287" s="11" t="n"/>
      <c r="Q287" s="11" t="n"/>
      <c r="R287" s="11" t="n"/>
      <c r="S287" s="54" t="n"/>
    </row>
    <row r="288" ht="15.75" customHeight="1" s="236">
      <c r="A288" s="11" t="n"/>
      <c r="B288" s="120" t="n"/>
      <c r="C288" s="120" t="n"/>
      <c r="D288" s="120" t="n"/>
      <c r="E288" s="120" t="n"/>
      <c r="F288" s="121" t="n"/>
      <c r="G288" s="120" t="n"/>
      <c r="H288" s="11" t="n"/>
      <c r="I288" s="11" t="n"/>
      <c r="J288" s="120" t="n"/>
      <c r="K288" s="120" t="n"/>
      <c r="L288" s="120" t="n"/>
      <c r="M288" s="11" t="n"/>
      <c r="N288" s="11" t="n"/>
      <c r="O288" s="11" t="n"/>
      <c r="P288" s="11" t="n"/>
      <c r="Q288" s="11" t="n"/>
      <c r="R288" s="11" t="n"/>
      <c r="S288" s="54" t="n"/>
    </row>
    <row r="289" ht="15.75" customHeight="1" s="236">
      <c r="A289" s="11" t="n"/>
      <c r="B289" s="120" t="n"/>
      <c r="C289" s="120" t="n"/>
      <c r="D289" s="120" t="n"/>
      <c r="E289" s="120" t="n"/>
      <c r="F289" s="121" t="n"/>
      <c r="G289" s="120" t="n"/>
      <c r="H289" s="11" t="n"/>
      <c r="I289" s="11" t="n"/>
      <c r="J289" s="120" t="n"/>
      <c r="K289" s="120" t="n"/>
      <c r="L289" s="120" t="n"/>
      <c r="M289" s="11" t="n"/>
      <c r="N289" s="11" t="n"/>
      <c r="O289" s="11" t="n"/>
      <c r="P289" s="11" t="n"/>
      <c r="Q289" s="11" t="n"/>
      <c r="R289" s="11" t="n"/>
      <c r="S289" s="54" t="n"/>
    </row>
    <row r="290" ht="15.75" customHeight="1" s="236">
      <c r="A290" s="11" t="n"/>
      <c r="B290" s="120" t="n"/>
      <c r="C290" s="120" t="n"/>
      <c r="D290" s="120" t="n"/>
      <c r="E290" s="120" t="n"/>
      <c r="F290" s="121" t="n"/>
      <c r="G290" s="120" t="n"/>
      <c r="H290" s="11" t="n"/>
      <c r="I290" s="11" t="n"/>
      <c r="J290" s="120" t="n"/>
      <c r="K290" s="120" t="n"/>
      <c r="L290" s="120" t="n"/>
      <c r="M290" s="11" t="n"/>
      <c r="N290" s="11" t="n"/>
      <c r="O290" s="11" t="n"/>
      <c r="P290" s="11" t="n"/>
      <c r="Q290" s="11" t="n"/>
      <c r="R290" s="11" t="n"/>
      <c r="S290" s="54" t="n"/>
    </row>
    <row r="291" ht="15.75" customHeight="1" s="236">
      <c r="A291" s="11" t="n"/>
      <c r="B291" s="120" t="n"/>
      <c r="C291" s="120" t="n"/>
      <c r="D291" s="120" t="n"/>
      <c r="E291" s="120" t="n"/>
      <c r="F291" s="121" t="n"/>
      <c r="G291" s="120" t="n"/>
      <c r="H291" s="11" t="n"/>
      <c r="I291" s="11" t="n"/>
      <c r="J291" s="120" t="n"/>
      <c r="K291" s="120" t="n"/>
      <c r="L291" s="120" t="n"/>
      <c r="M291" s="11" t="n"/>
      <c r="N291" s="11" t="n"/>
      <c r="O291" s="11" t="n"/>
      <c r="P291" s="11" t="n"/>
      <c r="Q291" s="11" t="n"/>
      <c r="R291" s="11" t="n"/>
      <c r="S291" s="54" t="n"/>
    </row>
    <row r="292" ht="15.75" customHeight="1" s="236">
      <c r="A292" s="11" t="n"/>
      <c r="B292" s="120" t="n"/>
      <c r="C292" s="120" t="n"/>
      <c r="D292" s="120" t="n"/>
      <c r="E292" s="120" t="n"/>
      <c r="F292" s="121" t="n"/>
      <c r="G292" s="120" t="n"/>
      <c r="H292" s="11" t="n"/>
      <c r="I292" s="11" t="n"/>
      <c r="J292" s="120" t="n"/>
      <c r="K292" s="120" t="n"/>
      <c r="L292" s="120" t="n"/>
      <c r="M292" s="11" t="n"/>
      <c r="N292" s="11" t="n"/>
      <c r="O292" s="11" t="n"/>
      <c r="P292" s="11" t="n"/>
      <c r="Q292" s="11" t="n"/>
      <c r="R292" s="11" t="n"/>
      <c r="S292" s="54" t="n"/>
    </row>
    <row r="293" ht="15.75" customHeight="1" s="236">
      <c r="A293" s="11" t="n"/>
      <c r="B293" s="120" t="n"/>
      <c r="C293" s="120" t="n"/>
      <c r="D293" s="120" t="n"/>
      <c r="E293" s="120" t="n"/>
      <c r="F293" s="121" t="n"/>
      <c r="G293" s="120" t="n"/>
      <c r="H293" s="11" t="n"/>
      <c r="I293" s="11" t="n"/>
      <c r="J293" s="120" t="n"/>
      <c r="K293" s="120" t="n"/>
      <c r="L293" s="120" t="n"/>
      <c r="M293" s="11" t="n"/>
      <c r="N293" s="11" t="n"/>
      <c r="O293" s="11" t="n"/>
      <c r="P293" s="11" t="n"/>
      <c r="Q293" s="11" t="n"/>
      <c r="R293" s="11" t="n"/>
      <c r="S293" s="54" t="n"/>
    </row>
    <row r="294" ht="15.75" customHeight="1" s="236">
      <c r="A294" s="11" t="n"/>
      <c r="B294" s="120" t="n"/>
      <c r="C294" s="120" t="n"/>
      <c r="D294" s="120" t="n"/>
      <c r="E294" s="120" t="n"/>
      <c r="F294" s="121" t="n"/>
      <c r="G294" s="120" t="n"/>
      <c r="H294" s="11" t="n"/>
      <c r="I294" s="11" t="n"/>
      <c r="J294" s="120" t="n"/>
      <c r="K294" s="120" t="n"/>
      <c r="L294" s="120" t="n"/>
      <c r="M294" s="11" t="n"/>
      <c r="N294" s="11" t="n"/>
      <c r="O294" s="11" t="n"/>
      <c r="P294" s="11" t="n"/>
      <c r="Q294" s="11" t="n"/>
      <c r="R294" s="11" t="n"/>
      <c r="S294" s="54" t="n"/>
    </row>
    <row r="295" ht="15.75" customHeight="1" s="236">
      <c r="A295" s="11" t="n"/>
      <c r="B295" s="120" t="n"/>
      <c r="C295" s="120" t="n"/>
      <c r="D295" s="120" t="n"/>
      <c r="E295" s="120" t="n"/>
      <c r="F295" s="121" t="n"/>
      <c r="G295" s="120" t="n"/>
      <c r="H295" s="11" t="n"/>
      <c r="I295" s="11" t="n"/>
      <c r="J295" s="120" t="n"/>
      <c r="K295" s="120" t="n"/>
      <c r="L295" s="120" t="n"/>
      <c r="M295" s="11" t="n"/>
      <c r="N295" s="11" t="n"/>
      <c r="O295" s="11" t="n"/>
      <c r="P295" s="11" t="n"/>
      <c r="Q295" s="11" t="n"/>
      <c r="R295" s="11" t="n"/>
      <c r="S295" s="54" t="n"/>
    </row>
    <row r="296" ht="15.75" customHeight="1" s="236">
      <c r="A296" s="11" t="n"/>
      <c r="B296" s="120" t="n"/>
      <c r="C296" s="120" t="n"/>
      <c r="D296" s="120" t="n"/>
      <c r="E296" s="120" t="n"/>
      <c r="F296" s="121" t="n"/>
      <c r="G296" s="120" t="n"/>
      <c r="H296" s="11" t="n"/>
      <c r="I296" s="11" t="n"/>
      <c r="J296" s="120" t="n"/>
      <c r="K296" s="120" t="n"/>
      <c r="L296" s="120" t="n"/>
      <c r="M296" s="11" t="n"/>
      <c r="N296" s="11" t="n"/>
      <c r="O296" s="11" t="n"/>
      <c r="P296" s="11" t="n"/>
      <c r="Q296" s="11" t="n"/>
      <c r="R296" s="11" t="n"/>
      <c r="S296" s="54" t="n"/>
    </row>
    <row r="297" ht="15.75" customHeight="1" s="236">
      <c r="A297" s="11" t="n"/>
      <c r="B297" s="120" t="n"/>
      <c r="C297" s="120" t="n"/>
      <c r="D297" s="120" t="n"/>
      <c r="E297" s="120" t="n"/>
      <c r="F297" s="121" t="n"/>
      <c r="G297" s="120" t="n"/>
      <c r="H297" s="11" t="n"/>
      <c r="I297" s="11" t="n"/>
      <c r="J297" s="120" t="n"/>
      <c r="K297" s="120" t="n"/>
      <c r="L297" s="120" t="n"/>
      <c r="M297" s="11" t="n"/>
      <c r="N297" s="11" t="n"/>
      <c r="O297" s="11" t="n"/>
      <c r="P297" s="11" t="n"/>
      <c r="Q297" s="11" t="n"/>
      <c r="R297" s="11" t="n"/>
      <c r="S297" s="54" t="n"/>
    </row>
    <row r="298" ht="15.75" customHeight="1" s="236">
      <c r="A298" s="11" t="n"/>
      <c r="B298" s="120" t="n"/>
      <c r="C298" s="120" t="n"/>
      <c r="D298" s="120" t="n"/>
      <c r="E298" s="120" t="n"/>
      <c r="F298" s="121" t="n"/>
      <c r="G298" s="120" t="n"/>
      <c r="H298" s="11" t="n"/>
      <c r="I298" s="11" t="n"/>
      <c r="J298" s="120" t="n"/>
      <c r="K298" s="120" t="n"/>
      <c r="L298" s="120" t="n"/>
      <c r="M298" s="11" t="n"/>
      <c r="N298" s="11" t="n"/>
      <c r="O298" s="11" t="n"/>
      <c r="P298" s="11" t="n"/>
      <c r="Q298" s="11" t="n"/>
      <c r="R298" s="11" t="n"/>
      <c r="S298" s="54" t="n"/>
    </row>
    <row r="299" ht="15.75" customHeight="1" s="236">
      <c r="A299" s="11" t="n"/>
      <c r="B299" s="120" t="n"/>
      <c r="C299" s="120" t="n"/>
      <c r="D299" s="120" t="n"/>
      <c r="E299" s="120" t="n"/>
      <c r="F299" s="121" t="n"/>
      <c r="G299" s="120" t="n"/>
      <c r="H299" s="11" t="n"/>
      <c r="I299" s="11" t="n"/>
      <c r="J299" s="120" t="n"/>
      <c r="K299" s="120" t="n"/>
      <c r="L299" s="120" t="n"/>
      <c r="M299" s="11" t="n"/>
      <c r="N299" s="11" t="n"/>
      <c r="O299" s="11" t="n"/>
      <c r="P299" s="11" t="n"/>
      <c r="Q299" s="11" t="n"/>
      <c r="R299" s="11" t="n"/>
      <c r="S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</row>
  </sheetData>
  <autoFilter ref="$A$1:$L$46">
    <sortState ref="A1:L46">
      <sortCondition ref="C1:C46"/>
    </sortState>
  </autoFilter>
  <conditionalFormatting sqref="J2:J299">
    <cfRule type="notContainsBlanks" priority="1" dxfId="4">
      <formula>LEN(TRIM(J2))&gt;0</formula>
    </cfRule>
  </conditionalFormatting>
  <conditionalFormatting sqref="B2:B50 L41">
    <cfRule type="containsBlanks" priority="2" dxfId="5">
      <formula>LEN(TRIM(B2))=0</formula>
    </cfRule>
  </conditionalFormatting>
  <conditionalFormatting sqref="E1:G45 E47:G47">
    <cfRule type="containsBlanks" priority="3" dxfId="5">
      <formula>LEN(TRIM(E1))=0</formula>
    </cfRule>
  </conditionalFormatting>
  <dataValidations count="2">
    <dataValidation sqref="B2:B99 J2:K12 J13:L13 J14:K15 J16:L16 J17:K18 J19:L19 J20:K40 J41:L41 J42:K99" showDropDown="0" showInputMessage="1" showErrorMessage="1" allowBlank="1" prompt="Select Date - Choose a date from the calendar." type="date">
      <formula1>DATE(2000,1,1)</formula1>
      <formula2>DATE(2100,12,31)</formula2>
    </dataValidation>
    <dataValidation sqref="L2:L12 L14:L15 L17:L18 L20:L40 L42:L99" showDropDown="0" showInputMessage="1" showErrorMessage="1" allowBlank="1" prompt="Date Entry - Select a date from the calendar." type="date">
      <formula1>DATE(2000,1,1)</formula1>
      <formula2>DATE(2100,12,31)</formula2>
    </dataValidation>
  </dataValidations>
  <hyperlinks>
    <hyperlink ref="S1" location="'Smart Dashboard'!A1" display="DESHBOARD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2"/>
    <col width="11.38" customWidth="1" style="236" min="3" max="3"/>
    <col width="23.63" customWidth="1" style="236" min="4" max="4"/>
    <col width="14.88" customWidth="1" style="236" min="5" max="6"/>
    <col width="17.5" customWidth="1" style="236" min="7" max="7"/>
    <col hidden="1" width="12.25" customWidth="1" style="236" min="8" max="8"/>
    <col hidden="1" width="9.25" customWidth="1" style="236" min="9" max="9"/>
    <col hidden="1" width="26.25" customWidth="1" style="236" min="10" max="10"/>
  </cols>
  <sheetData>
    <row r="1" ht="27.75" customHeight="1" s="236">
      <c r="A1" s="2" t="inlineStr">
        <is>
          <t>Sr. No</t>
        </is>
      </c>
      <c r="B1" s="6" t="inlineStr">
        <is>
          <t>Shed No.</t>
        </is>
      </c>
      <c r="C1" s="6" t="inlineStr">
        <is>
          <t>Stack No.</t>
        </is>
      </c>
      <c r="D1" s="6" t="inlineStr">
        <is>
          <t>Commodity / Crop Year</t>
        </is>
      </c>
      <c r="E1" s="8" t="inlineStr">
        <is>
          <t>LAST FUMIGATION</t>
        </is>
      </c>
      <c r="F1" s="6" t="inlineStr">
        <is>
          <t>Fumigation Period</t>
        </is>
      </c>
      <c r="G1" s="9" t="inlineStr">
        <is>
          <t>TA INSPECTION/FN</t>
        </is>
      </c>
      <c r="H1" s="12" t="inlineStr">
        <is>
          <t>MIR</t>
        </is>
      </c>
      <c r="I1" s="15" t="inlineStr">
        <is>
          <t xml:space="preserve"> Remarks</t>
        </is>
      </c>
      <c r="J1" s="15" t="inlineStr">
        <is>
          <t xml:space="preserve"> Remarks</t>
        </is>
      </c>
      <c r="K1" s="19" t="inlineStr">
        <is>
          <t>DESHOARD</t>
        </is>
      </c>
    </row>
    <row r="2" ht="15" customHeight="1" s="236">
      <c r="A2" s="33">
        <f t="array" ref="A2:A47">SEQUENCE(46,1)</f>
        <v/>
      </c>
      <c r="B2" s="37">
        <f>'Master Stock'!C2</f>
        <v/>
      </c>
      <c r="C2" s="37">
        <f>'Master Stock'!D2</f>
        <v/>
      </c>
      <c r="D2" s="37">
        <f>'Master Stock'!G2</f>
        <v/>
      </c>
      <c r="E2" s="40">
        <f>IF('Master Stock'!L2="","",'Master Stock'!L2)</f>
        <v/>
      </c>
      <c r="F2" s="42">
        <f>IF(E2="","",MAX(0,TODAY()-E2))</f>
        <v/>
      </c>
      <c r="G2" s="44" t="n"/>
      <c r="H2" s="45" t="n"/>
      <c r="I2" s="46" t="n"/>
      <c r="J2" s="46">
        <f>'Master Stock'!L2</f>
        <v/>
      </c>
      <c r="K2" s="48" t="n"/>
    </row>
    <row r="3" ht="15" customHeight="1" s="236">
      <c r="A3" s="33" t="n">
        <v>2</v>
      </c>
      <c r="B3" s="37">
        <f>'Master Stock'!C3</f>
        <v/>
      </c>
      <c r="C3" s="37">
        <f>'Master Stock'!D3</f>
        <v/>
      </c>
      <c r="D3" s="37">
        <f>'Master Stock'!G3</f>
        <v/>
      </c>
      <c r="E3" s="40">
        <f>IF('Master Stock'!L3="","",'Master Stock'!L3)</f>
        <v/>
      </c>
      <c r="F3" s="42">
        <f>IF(E3="","",MAX(0,TODAY()-E3))</f>
        <v/>
      </c>
      <c r="G3" s="44" t="n"/>
      <c r="H3" s="45" t="n"/>
      <c r="I3" s="46" t="n"/>
      <c r="J3" s="46">
        <f>'Master Stock'!L3</f>
        <v/>
      </c>
      <c r="K3" s="51" t="n"/>
    </row>
    <row r="4" ht="15" customHeight="1" s="236">
      <c r="A4" s="33" t="n">
        <v>3</v>
      </c>
      <c r="B4" s="37">
        <f>'Master Stock'!C4</f>
        <v/>
      </c>
      <c r="C4" s="37">
        <f>'Master Stock'!D4</f>
        <v/>
      </c>
      <c r="D4" s="37">
        <f>'Master Stock'!G4</f>
        <v/>
      </c>
      <c r="E4" s="40">
        <f>IF('Master Stock'!L4="","",'Master Stock'!L4)</f>
        <v/>
      </c>
      <c r="F4" s="42">
        <f>IF(E4="","",MAX(0,TODAY()-E4))</f>
        <v/>
      </c>
      <c r="G4" s="44" t="n"/>
      <c r="H4" s="45" t="n"/>
      <c r="I4" s="46" t="n"/>
      <c r="J4" s="46">
        <f>'Master Stock'!L4</f>
        <v/>
      </c>
      <c r="K4" s="48" t="n"/>
    </row>
    <row r="5" ht="15" customHeight="1" s="236">
      <c r="A5" s="33" t="n">
        <v>4</v>
      </c>
      <c r="B5" s="37">
        <f>'Master Stock'!C5</f>
        <v/>
      </c>
      <c r="C5" s="37">
        <f>'Master Stock'!D5</f>
        <v/>
      </c>
      <c r="D5" s="37">
        <f>'Master Stock'!G5</f>
        <v/>
      </c>
      <c r="E5" s="40">
        <f>IF('Master Stock'!L5="","",'Master Stock'!L5)</f>
        <v/>
      </c>
      <c r="F5" s="42">
        <f>IF(E5="","",MAX(0,TODAY()-E5))</f>
        <v/>
      </c>
      <c r="G5" s="44" t="n"/>
      <c r="H5" s="45" t="n"/>
      <c r="I5" s="46" t="n"/>
      <c r="J5" s="46">
        <f>'Master Stock'!L5</f>
        <v/>
      </c>
      <c r="K5" s="48" t="n"/>
    </row>
    <row r="6" ht="15" customHeight="1" s="236">
      <c r="A6" s="33" t="n">
        <v>5</v>
      </c>
      <c r="B6" s="37">
        <f>'Master Stock'!C6</f>
        <v/>
      </c>
      <c r="C6" s="37">
        <f>'Master Stock'!D6</f>
        <v/>
      </c>
      <c r="D6" s="37">
        <f>'Master Stock'!G6</f>
        <v/>
      </c>
      <c r="E6" s="40">
        <f>IF('Master Stock'!L6="","",'Master Stock'!L6)</f>
        <v/>
      </c>
      <c r="F6" s="42">
        <f>IF(E6="","",MAX(0,TODAY()-E6))</f>
        <v/>
      </c>
      <c r="G6" s="44" t="n"/>
      <c r="H6" s="45" t="n"/>
      <c r="I6" s="46" t="n"/>
      <c r="J6" s="46">
        <f>'Master Stock'!L6</f>
        <v/>
      </c>
      <c r="K6" s="48" t="n"/>
    </row>
    <row r="7" ht="15" customHeight="1" s="236">
      <c r="A7" s="33" t="n">
        <v>6</v>
      </c>
      <c r="B7" s="37">
        <f>'Master Stock'!C7</f>
        <v/>
      </c>
      <c r="C7" s="37">
        <f>'Master Stock'!D7</f>
        <v/>
      </c>
      <c r="D7" s="37">
        <f>'Master Stock'!G7</f>
        <v/>
      </c>
      <c r="E7" s="40">
        <f>IF('Master Stock'!L7="","",'Master Stock'!L7)</f>
        <v/>
      </c>
      <c r="F7" s="42">
        <f>IF(E7="","",MAX(0,TODAY()-E7))</f>
        <v/>
      </c>
      <c r="G7" s="44" t="n"/>
      <c r="H7" s="45" t="n"/>
      <c r="I7" s="46" t="n"/>
      <c r="J7" s="46">
        <f>'Master Stock'!L7</f>
        <v/>
      </c>
      <c r="K7" s="48" t="n"/>
    </row>
    <row r="8" ht="15" customHeight="1" s="236">
      <c r="A8" s="33" t="n">
        <v>7</v>
      </c>
      <c r="B8" s="37">
        <f>'Master Stock'!C8</f>
        <v/>
      </c>
      <c r="C8" s="37">
        <f>'Master Stock'!D8</f>
        <v/>
      </c>
      <c r="D8" s="37">
        <f>'Master Stock'!G8</f>
        <v/>
      </c>
      <c r="E8" s="40">
        <f>IF('Master Stock'!L8="","",'Master Stock'!L8)</f>
        <v/>
      </c>
      <c r="F8" s="42">
        <f>IF(E8="","",MAX(0,TODAY()-E8))</f>
        <v/>
      </c>
      <c r="G8" s="44" t="n"/>
      <c r="H8" s="45" t="n"/>
      <c r="I8" s="46" t="n"/>
      <c r="J8" s="46">
        <f>'Master Stock'!L8</f>
        <v/>
      </c>
      <c r="K8" s="48" t="n"/>
    </row>
    <row r="9" ht="15" customHeight="1" s="236">
      <c r="A9" s="33" t="n">
        <v>8</v>
      </c>
      <c r="B9" s="37">
        <f>'Master Stock'!C9</f>
        <v/>
      </c>
      <c r="C9" s="37">
        <f>'Master Stock'!D9</f>
        <v/>
      </c>
      <c r="D9" s="37">
        <f>'Master Stock'!G9</f>
        <v/>
      </c>
      <c r="E9" s="40">
        <f>IF('Master Stock'!L9="","",'Master Stock'!L9)</f>
        <v/>
      </c>
      <c r="F9" s="42">
        <f>IF(E9="","",MAX(0,TODAY()-E9))</f>
        <v/>
      </c>
      <c r="G9" s="44" t="n"/>
      <c r="H9" s="45" t="n"/>
      <c r="I9" s="46" t="n"/>
      <c r="J9" s="46">
        <f>'Master Stock'!L9</f>
        <v/>
      </c>
      <c r="K9" s="48" t="n"/>
    </row>
    <row r="10" ht="15" customHeight="1" s="236">
      <c r="A10" s="33" t="n">
        <v>9</v>
      </c>
      <c r="B10" s="37">
        <f>'Master Stock'!C10</f>
        <v/>
      </c>
      <c r="C10" s="37">
        <f>'Master Stock'!D10</f>
        <v/>
      </c>
      <c r="D10" s="37">
        <f>'Master Stock'!G10</f>
        <v/>
      </c>
      <c r="E10" s="40">
        <f>IF('Master Stock'!L10="","",'Master Stock'!L10)</f>
        <v/>
      </c>
      <c r="F10" s="42">
        <f>IF(E10="","",MAX(0,TODAY()-E10))</f>
        <v/>
      </c>
      <c r="G10" s="44" t="n"/>
      <c r="H10" s="45" t="n"/>
      <c r="I10" s="46" t="n"/>
      <c r="J10" s="46">
        <f>'Master Stock'!L10</f>
        <v/>
      </c>
      <c r="K10" s="48" t="n"/>
    </row>
    <row r="11" ht="15" customHeight="1" s="236">
      <c r="A11" s="33" t="n">
        <v>10</v>
      </c>
      <c r="B11" s="37">
        <f>'Master Stock'!C11</f>
        <v/>
      </c>
      <c r="C11" s="37">
        <f>'Master Stock'!D11</f>
        <v/>
      </c>
      <c r="D11" s="37">
        <f>'Master Stock'!G11</f>
        <v/>
      </c>
      <c r="E11" s="40">
        <f>IF('Master Stock'!L11="","",'Master Stock'!L11)</f>
        <v/>
      </c>
      <c r="F11" s="42">
        <f>IF(E11="","",MAX(0,TODAY()-E11))</f>
        <v/>
      </c>
      <c r="G11" s="44" t="n"/>
      <c r="H11" s="45" t="n"/>
      <c r="I11" s="46" t="n"/>
      <c r="J11" s="46">
        <f>'Master Stock'!L11</f>
        <v/>
      </c>
      <c r="K11" s="48" t="n"/>
    </row>
    <row r="12" ht="15" customHeight="1" s="236">
      <c r="A12" s="33" t="n">
        <v>11</v>
      </c>
      <c r="B12" s="37">
        <f>'Master Stock'!C12</f>
        <v/>
      </c>
      <c r="C12" s="37">
        <f>'Master Stock'!D12</f>
        <v/>
      </c>
      <c r="D12" s="37">
        <f>'Master Stock'!G12</f>
        <v/>
      </c>
      <c r="E12" s="40">
        <f>IF('Master Stock'!L12="","",'Master Stock'!L12)</f>
        <v/>
      </c>
      <c r="F12" s="42">
        <f>IF(E12="","",MAX(0,TODAY()-E12))</f>
        <v/>
      </c>
      <c r="G12" s="44" t="n"/>
      <c r="H12" s="45" t="n"/>
      <c r="I12" s="46" t="n"/>
      <c r="J12" s="46">
        <f>'Master Stock'!L12</f>
        <v/>
      </c>
      <c r="K12" s="48" t="n"/>
    </row>
    <row r="13" ht="15" customHeight="1" s="236">
      <c r="A13" s="33" t="n">
        <v>12</v>
      </c>
      <c r="B13" s="37">
        <f>'Master Stock'!C13</f>
        <v/>
      </c>
      <c r="C13" s="37">
        <f>'Master Stock'!D13</f>
        <v/>
      </c>
      <c r="D13" s="37">
        <f>'Master Stock'!G13</f>
        <v/>
      </c>
      <c r="E13" s="40">
        <f>IF('Master Stock'!L13="","",'Master Stock'!L13)</f>
        <v/>
      </c>
      <c r="F13" s="42">
        <f>IF(E13="","",MAX(0,TODAY()-E13))</f>
        <v/>
      </c>
      <c r="G13" s="44" t="n"/>
      <c r="H13" s="45" t="n"/>
      <c r="I13" s="46" t="n"/>
      <c r="J13" s="46">
        <f>'Master Stock'!L13</f>
        <v/>
      </c>
      <c r="K13" s="48" t="n"/>
    </row>
    <row r="14" ht="15" customHeight="1" s="236">
      <c r="A14" s="33" t="n">
        <v>13</v>
      </c>
      <c r="B14" s="37">
        <f>'Master Stock'!C14</f>
        <v/>
      </c>
      <c r="C14" s="37">
        <f>'Master Stock'!D14</f>
        <v/>
      </c>
      <c r="D14" s="37">
        <f>'Master Stock'!G14</f>
        <v/>
      </c>
      <c r="E14" s="40">
        <f>IF('Master Stock'!L14="","",'Master Stock'!L14)</f>
        <v/>
      </c>
      <c r="F14" s="42">
        <f>IF(E14="","",MAX(0,TODAY()-E14))</f>
        <v/>
      </c>
      <c r="G14" s="44" t="n"/>
      <c r="H14" s="45" t="n"/>
      <c r="I14" s="46" t="n"/>
      <c r="J14" s="46">
        <f>'Master Stock'!L14</f>
        <v/>
      </c>
      <c r="K14" s="48" t="n"/>
    </row>
    <row r="15" ht="15" customHeight="1" s="236">
      <c r="A15" s="33" t="n">
        <v>14</v>
      </c>
      <c r="B15" s="37">
        <f>'Master Stock'!C15</f>
        <v/>
      </c>
      <c r="C15" s="37">
        <f>'Master Stock'!D15</f>
        <v/>
      </c>
      <c r="D15" s="37">
        <f>'Master Stock'!G15</f>
        <v/>
      </c>
      <c r="E15" s="40">
        <f>IF('Master Stock'!L15="","",'Master Stock'!L15)</f>
        <v/>
      </c>
      <c r="F15" s="42">
        <f>IF(E15="","",MAX(0,TODAY()-E15))</f>
        <v/>
      </c>
      <c r="G15" s="44" t="n"/>
      <c r="H15" s="45" t="n"/>
      <c r="I15" s="46" t="n"/>
      <c r="J15" s="46">
        <f>'Master Stock'!L15</f>
        <v/>
      </c>
      <c r="K15" s="48" t="n"/>
    </row>
    <row r="16" ht="15" customHeight="1" s="236">
      <c r="A16" s="33" t="n">
        <v>15</v>
      </c>
      <c r="B16" s="37">
        <f>'Master Stock'!C16</f>
        <v/>
      </c>
      <c r="C16" s="37">
        <f>'Master Stock'!D16</f>
        <v/>
      </c>
      <c r="D16" s="37">
        <f>'Master Stock'!G16</f>
        <v/>
      </c>
      <c r="E16" s="40">
        <f>IF('Master Stock'!L16="","",'Master Stock'!L16)</f>
        <v/>
      </c>
      <c r="F16" s="42">
        <f>IF(E16="","",MAX(0,TODAY()-E16))</f>
        <v/>
      </c>
      <c r="G16" s="44" t="n"/>
      <c r="H16" s="45" t="n"/>
      <c r="I16" s="46" t="n"/>
      <c r="J16" s="46">
        <f>'Master Stock'!L16</f>
        <v/>
      </c>
      <c r="K16" s="48" t="n"/>
    </row>
    <row r="17" ht="15" customHeight="1" s="236">
      <c r="A17" s="33" t="n">
        <v>16</v>
      </c>
      <c r="B17" s="37">
        <f>'Master Stock'!C17</f>
        <v/>
      </c>
      <c r="C17" s="37">
        <f>'Master Stock'!D17</f>
        <v/>
      </c>
      <c r="D17" s="37">
        <f>'Master Stock'!G17</f>
        <v/>
      </c>
      <c r="E17" s="40">
        <f>IF('Master Stock'!L17="","",'Master Stock'!L17)</f>
        <v/>
      </c>
      <c r="F17" s="42">
        <f>IF(E17="","",MAX(0,TODAY()-E17))</f>
        <v/>
      </c>
      <c r="G17" s="44" t="n"/>
      <c r="H17" s="45" t="n"/>
      <c r="I17" s="46" t="n"/>
      <c r="J17" s="46">
        <f>'Master Stock'!L17</f>
        <v/>
      </c>
      <c r="K17" s="48" t="n"/>
    </row>
    <row r="18" ht="15" customHeight="1" s="236">
      <c r="A18" s="33" t="n">
        <v>17</v>
      </c>
      <c r="B18" s="37">
        <f>'Master Stock'!C18</f>
        <v/>
      </c>
      <c r="C18" s="37">
        <f>'Master Stock'!D18</f>
        <v/>
      </c>
      <c r="D18" s="37">
        <f>'Master Stock'!G18</f>
        <v/>
      </c>
      <c r="E18" s="40">
        <f>IF('Master Stock'!L18="","",'Master Stock'!L18)</f>
        <v/>
      </c>
      <c r="F18" s="42">
        <f>IF(E18="","",MAX(0,TODAY()-E18))</f>
        <v/>
      </c>
      <c r="G18" s="44" t="n"/>
      <c r="H18" s="45" t="n"/>
      <c r="I18" s="46" t="n"/>
      <c r="J18" s="46">
        <f>'Master Stock'!L18</f>
        <v/>
      </c>
      <c r="K18" s="48" t="n"/>
    </row>
    <row r="19" ht="15" customHeight="1" s="236">
      <c r="A19" s="33" t="n">
        <v>18</v>
      </c>
      <c r="B19" s="37">
        <f>'Master Stock'!C19</f>
        <v/>
      </c>
      <c r="C19" s="37">
        <f>'Master Stock'!D19</f>
        <v/>
      </c>
      <c r="D19" s="37">
        <f>'Master Stock'!G19</f>
        <v/>
      </c>
      <c r="E19" s="40">
        <f>IF('Master Stock'!L19="","",'Master Stock'!L19)</f>
        <v/>
      </c>
      <c r="F19" s="42">
        <f>IF(E19="","",MAX(0,TODAY()-E19))</f>
        <v/>
      </c>
      <c r="G19" s="44" t="n"/>
      <c r="H19" s="45" t="n"/>
      <c r="I19" s="46" t="n"/>
      <c r="J19" s="46">
        <f>'Master Stock'!L19</f>
        <v/>
      </c>
      <c r="K19" s="48" t="n"/>
    </row>
    <row r="20" ht="15" customHeight="1" s="236">
      <c r="A20" s="33" t="n">
        <v>19</v>
      </c>
      <c r="B20" s="37">
        <f>'Master Stock'!C20</f>
        <v/>
      </c>
      <c r="C20" s="37">
        <f>'Master Stock'!D20</f>
        <v/>
      </c>
      <c r="D20" s="37">
        <f>'Master Stock'!G20</f>
        <v/>
      </c>
      <c r="E20" s="40">
        <f>IF('Master Stock'!L20="","",'Master Stock'!L20)</f>
        <v/>
      </c>
      <c r="F20" s="42">
        <f>IF(E20="","",MAX(0,TODAY()-E20))</f>
        <v/>
      </c>
      <c r="G20" s="44" t="n"/>
      <c r="H20" s="45" t="n"/>
      <c r="I20" s="46" t="n"/>
      <c r="J20" s="46">
        <f>'Master Stock'!L20</f>
        <v/>
      </c>
      <c r="K20" s="48" t="n"/>
    </row>
    <row r="21" ht="15.75" customHeight="1" s="236">
      <c r="A21" s="33" t="n">
        <v>20</v>
      </c>
      <c r="B21" s="37">
        <f>'Master Stock'!C21</f>
        <v/>
      </c>
      <c r="C21" s="37">
        <f>'Master Stock'!D21</f>
        <v/>
      </c>
      <c r="D21" s="37">
        <f>'Master Stock'!G21</f>
        <v/>
      </c>
      <c r="E21" s="40">
        <f>IF('Master Stock'!L21="","",'Master Stock'!L21)</f>
        <v/>
      </c>
      <c r="F21" s="42">
        <f>IF(E21="","",MAX(0,TODAY()-E21))</f>
        <v/>
      </c>
      <c r="G21" s="44" t="n"/>
      <c r="H21" s="45" t="n"/>
      <c r="I21" s="46" t="n"/>
      <c r="J21" s="46">
        <f>'Master Stock'!L21</f>
        <v/>
      </c>
      <c r="K21" s="48" t="n"/>
    </row>
    <row r="22" ht="15.75" customHeight="1" s="236">
      <c r="A22" s="33" t="n">
        <v>21</v>
      </c>
      <c r="B22" s="37">
        <f>'Master Stock'!C22</f>
        <v/>
      </c>
      <c r="C22" s="37">
        <f>'Master Stock'!D22</f>
        <v/>
      </c>
      <c r="D22" s="37">
        <f>'Master Stock'!G22</f>
        <v/>
      </c>
      <c r="E22" s="40">
        <f>IF('Master Stock'!L22="","",'Master Stock'!L22)</f>
        <v/>
      </c>
      <c r="F22" s="42">
        <f>IF(E22="","",MAX(0,TODAY()-E22))</f>
        <v/>
      </c>
      <c r="G22" s="44" t="n"/>
      <c r="H22" s="45" t="n"/>
      <c r="I22" s="46" t="n"/>
      <c r="J22" s="46">
        <f>'Master Stock'!L22</f>
        <v/>
      </c>
      <c r="K22" s="48" t="n"/>
    </row>
    <row r="23" ht="15.75" customHeight="1" s="236">
      <c r="A23" s="33" t="n">
        <v>22</v>
      </c>
      <c r="B23" s="37">
        <f>'Master Stock'!C23</f>
        <v/>
      </c>
      <c r="C23" s="37">
        <f>'Master Stock'!D23</f>
        <v/>
      </c>
      <c r="D23" s="37">
        <f>'Master Stock'!G23</f>
        <v/>
      </c>
      <c r="E23" s="40">
        <f>IF('Master Stock'!L23="","",'Master Stock'!L23)</f>
        <v/>
      </c>
      <c r="F23" s="42">
        <f>IF(E23="","",MAX(0,TODAY()-E23))</f>
        <v/>
      </c>
      <c r="G23" s="44" t="n"/>
      <c r="H23" s="45" t="n"/>
      <c r="I23" s="46" t="n"/>
      <c r="J23" s="46">
        <f>'Master Stock'!L23</f>
        <v/>
      </c>
      <c r="K23" s="48" t="n"/>
    </row>
    <row r="24" ht="15.75" customHeight="1" s="236">
      <c r="A24" s="33" t="n">
        <v>23</v>
      </c>
      <c r="B24" s="37">
        <f>'Master Stock'!C24</f>
        <v/>
      </c>
      <c r="C24" s="37">
        <f>'Master Stock'!D24</f>
        <v/>
      </c>
      <c r="D24" s="37">
        <f>'Master Stock'!G24</f>
        <v/>
      </c>
      <c r="E24" s="40">
        <f>IF('Master Stock'!L24="","",'Master Stock'!L24)</f>
        <v/>
      </c>
      <c r="F24" s="42">
        <f>IF(E24="","",MAX(0,TODAY()-E24))</f>
        <v/>
      </c>
      <c r="G24" s="44" t="n"/>
      <c r="H24" s="45" t="n"/>
      <c r="I24" s="46" t="n"/>
      <c r="J24" s="46">
        <f>'Master Stock'!L24</f>
        <v/>
      </c>
      <c r="K24" s="48" t="n"/>
    </row>
    <row r="25" ht="15.75" customHeight="1" s="236">
      <c r="A25" s="33" t="n">
        <v>24</v>
      </c>
      <c r="B25" s="37">
        <f>'Master Stock'!C25</f>
        <v/>
      </c>
      <c r="C25" s="37">
        <f>'Master Stock'!D25</f>
        <v/>
      </c>
      <c r="D25" s="37">
        <f>'Master Stock'!G25</f>
        <v/>
      </c>
      <c r="E25" s="40">
        <f>IF('Master Stock'!L25="","",'Master Stock'!L25)</f>
        <v/>
      </c>
      <c r="F25" s="42">
        <f>IF(E25="","",MAX(0,TODAY()-E25))</f>
        <v/>
      </c>
      <c r="G25" s="44" t="n"/>
      <c r="H25" s="45" t="n"/>
      <c r="I25" s="46" t="n"/>
      <c r="J25" s="46">
        <f>'Master Stock'!L25</f>
        <v/>
      </c>
      <c r="K25" s="48" t="n"/>
    </row>
    <row r="26" ht="15.75" customHeight="1" s="236">
      <c r="A26" s="33" t="n">
        <v>25</v>
      </c>
      <c r="B26" s="37">
        <f>'Master Stock'!C26</f>
        <v/>
      </c>
      <c r="C26" s="37">
        <f>'Master Stock'!D26</f>
        <v/>
      </c>
      <c r="D26" s="37">
        <f>'Master Stock'!G26</f>
        <v/>
      </c>
      <c r="E26" s="40">
        <f>IF('Master Stock'!L26="","",'Master Stock'!L26)</f>
        <v/>
      </c>
      <c r="F26" s="42">
        <f>IF(E26="","",MAX(0,TODAY()-E26))</f>
        <v/>
      </c>
      <c r="G26" s="44" t="n"/>
      <c r="H26" s="45" t="n"/>
      <c r="I26" s="46" t="n"/>
      <c r="J26" s="46">
        <f>'Master Stock'!L26</f>
        <v/>
      </c>
      <c r="K26" s="48" t="n"/>
    </row>
    <row r="27" ht="15.75" customHeight="1" s="236">
      <c r="A27" s="33" t="n">
        <v>26</v>
      </c>
      <c r="B27" s="37">
        <f>'Master Stock'!C27</f>
        <v/>
      </c>
      <c r="C27" s="37">
        <f>'Master Stock'!D27</f>
        <v/>
      </c>
      <c r="D27" s="37">
        <f>'Master Stock'!G27</f>
        <v/>
      </c>
      <c r="E27" s="40">
        <f>IF('Master Stock'!L27="","",'Master Stock'!L27)</f>
        <v/>
      </c>
      <c r="F27" s="42">
        <f>IF(E27="","",MAX(0,TODAY()-E27))</f>
        <v/>
      </c>
      <c r="G27" s="44" t="n"/>
      <c r="H27" s="45" t="n"/>
      <c r="I27" s="46" t="n"/>
      <c r="J27" s="46">
        <f>'Master Stock'!L27</f>
        <v/>
      </c>
      <c r="K27" s="48" t="n"/>
    </row>
    <row r="28" ht="15.75" customHeight="1" s="236">
      <c r="A28" s="33" t="n">
        <v>27</v>
      </c>
      <c r="B28" s="37">
        <f>'Master Stock'!C28</f>
        <v/>
      </c>
      <c r="C28" s="37">
        <f>'Master Stock'!D28</f>
        <v/>
      </c>
      <c r="D28" s="37">
        <f>'Master Stock'!G28</f>
        <v/>
      </c>
      <c r="E28" s="40">
        <f>IF('Master Stock'!L28="","",'Master Stock'!L28)</f>
        <v/>
      </c>
      <c r="F28" s="42">
        <f>IF(E28="","",MAX(0,TODAY()-E28))</f>
        <v/>
      </c>
      <c r="G28" s="44" t="n"/>
      <c r="H28" s="45" t="n"/>
      <c r="I28" s="46" t="n"/>
      <c r="J28" s="46">
        <f>'Master Stock'!L28</f>
        <v/>
      </c>
      <c r="K28" s="48" t="n"/>
    </row>
    <row r="29" ht="15.75" customHeight="1" s="236">
      <c r="A29" s="33" t="n">
        <v>28</v>
      </c>
      <c r="B29" s="37">
        <f>'Master Stock'!C29</f>
        <v/>
      </c>
      <c r="C29" s="37">
        <f>'Master Stock'!D29</f>
        <v/>
      </c>
      <c r="D29" s="37">
        <f>'Master Stock'!G29</f>
        <v/>
      </c>
      <c r="E29" s="40">
        <f>IF('Master Stock'!L29="","",'Master Stock'!L29)</f>
        <v/>
      </c>
      <c r="F29" s="42">
        <f>IF(E29="","",MAX(0,TODAY()-E29))</f>
        <v/>
      </c>
      <c r="G29" s="44" t="n"/>
      <c r="H29" s="45" t="n"/>
      <c r="I29" s="46" t="n"/>
      <c r="J29" s="46">
        <f>'Master Stock'!L29</f>
        <v/>
      </c>
      <c r="K29" s="48" t="n"/>
    </row>
    <row r="30" ht="15.75" customHeight="1" s="236">
      <c r="A30" s="33" t="n">
        <v>29</v>
      </c>
      <c r="B30" s="37">
        <f>'Master Stock'!C30</f>
        <v/>
      </c>
      <c r="C30" s="37">
        <f>'Master Stock'!D30</f>
        <v/>
      </c>
      <c r="D30" s="37">
        <f>'Master Stock'!G30</f>
        <v/>
      </c>
      <c r="E30" s="40">
        <f>IF('Master Stock'!L30="","",'Master Stock'!L30)</f>
        <v/>
      </c>
      <c r="F30" s="42">
        <f>IF(E30="","",MAX(0,TODAY()-E30))</f>
        <v/>
      </c>
      <c r="G30" s="44" t="n"/>
      <c r="H30" s="45" t="n"/>
      <c r="I30" s="46" t="n"/>
      <c r="J30" s="46">
        <f>'Master Stock'!L30</f>
        <v/>
      </c>
      <c r="K30" s="48" t="n"/>
    </row>
    <row r="31" ht="15.75" customHeight="1" s="236">
      <c r="A31" s="33" t="n">
        <v>30</v>
      </c>
      <c r="B31" s="37">
        <f>'Master Stock'!C31</f>
        <v/>
      </c>
      <c r="C31" s="37">
        <f>'Master Stock'!D31</f>
        <v/>
      </c>
      <c r="D31" s="37">
        <f>'Master Stock'!G31</f>
        <v/>
      </c>
      <c r="E31" s="40">
        <f>IF('Master Stock'!L31="","",'Master Stock'!L31)</f>
        <v/>
      </c>
      <c r="F31" s="42">
        <f>IF(E31="","",MAX(0,TODAY()-E31))</f>
        <v/>
      </c>
      <c r="G31" s="44" t="n"/>
      <c r="H31" s="45" t="n"/>
      <c r="I31" s="46" t="n"/>
      <c r="J31" s="46">
        <f>'Master Stock'!L31</f>
        <v/>
      </c>
      <c r="K31" s="48" t="n"/>
    </row>
    <row r="32" ht="15.75" customHeight="1" s="236">
      <c r="A32" s="33" t="n">
        <v>31</v>
      </c>
      <c r="B32" s="37">
        <f>'Master Stock'!C32</f>
        <v/>
      </c>
      <c r="C32" s="37">
        <f>'Master Stock'!D32</f>
        <v/>
      </c>
      <c r="D32" s="37">
        <f>'Master Stock'!G32</f>
        <v/>
      </c>
      <c r="E32" s="40">
        <f>IF('Master Stock'!L32="","",'Master Stock'!L32)</f>
        <v/>
      </c>
      <c r="F32" s="42">
        <f>IF(E32="","",MAX(0,TODAY()-E32))</f>
        <v/>
      </c>
      <c r="G32" s="44" t="n"/>
      <c r="H32" s="45" t="n"/>
      <c r="I32" s="46" t="n"/>
      <c r="J32" s="46">
        <f>'Master Stock'!L32</f>
        <v/>
      </c>
      <c r="K32" s="48" t="n"/>
    </row>
    <row r="33" ht="15.75" customHeight="1" s="236">
      <c r="A33" s="33" t="n">
        <v>32</v>
      </c>
      <c r="B33" s="37">
        <f>'Master Stock'!C33</f>
        <v/>
      </c>
      <c r="C33" s="37">
        <f>'Master Stock'!D33</f>
        <v/>
      </c>
      <c r="D33" s="37">
        <f>'Master Stock'!G33</f>
        <v/>
      </c>
      <c r="E33" s="40">
        <f>IF('Master Stock'!L33="","",'Master Stock'!L33)</f>
        <v/>
      </c>
      <c r="F33" s="42">
        <f>IF(E33="","",MAX(0,TODAY()-E33))</f>
        <v/>
      </c>
      <c r="G33" s="44" t="n"/>
      <c r="H33" s="45" t="n"/>
      <c r="I33" s="46" t="n"/>
      <c r="J33" s="46">
        <f>'Master Stock'!L33</f>
        <v/>
      </c>
      <c r="K33" s="48" t="n"/>
    </row>
    <row r="34" ht="15.75" customHeight="1" s="236">
      <c r="A34" s="33" t="n">
        <v>33</v>
      </c>
      <c r="B34" s="37">
        <f>'Master Stock'!C34</f>
        <v/>
      </c>
      <c r="C34" s="37">
        <f>'Master Stock'!D34</f>
        <v/>
      </c>
      <c r="D34" s="37">
        <f>'Master Stock'!G34</f>
        <v/>
      </c>
      <c r="E34" s="40">
        <f>IF('Master Stock'!L34="","",'Master Stock'!L34)</f>
        <v/>
      </c>
      <c r="F34" s="42">
        <f>IF(E34="","",MAX(0,TODAY()-E34))</f>
        <v/>
      </c>
      <c r="G34" s="44" t="n"/>
      <c r="H34" s="45" t="n"/>
      <c r="I34" s="46" t="n"/>
      <c r="J34" s="46">
        <f>'Master Stock'!L34</f>
        <v/>
      </c>
      <c r="K34" s="48" t="n"/>
    </row>
    <row r="35" ht="15.75" customHeight="1" s="236">
      <c r="A35" s="33" t="n">
        <v>34</v>
      </c>
      <c r="B35" s="37">
        <f>'Master Stock'!C35</f>
        <v/>
      </c>
      <c r="C35" s="37">
        <f>'Master Stock'!D35</f>
        <v/>
      </c>
      <c r="D35" s="37">
        <f>'Master Stock'!G35</f>
        <v/>
      </c>
      <c r="E35" s="40">
        <f>IF('Master Stock'!L35="","",'Master Stock'!L35)</f>
        <v/>
      </c>
      <c r="F35" s="42">
        <f>IF(E35="","",MAX(0,TODAY()-E35))</f>
        <v/>
      </c>
      <c r="G35" s="44" t="n"/>
      <c r="H35" s="45" t="n"/>
      <c r="I35" s="46" t="n"/>
      <c r="J35" s="46">
        <f>'Master Stock'!L35</f>
        <v/>
      </c>
      <c r="K35" s="48" t="n"/>
    </row>
    <row r="36" ht="15.75" customHeight="1" s="236">
      <c r="A36" s="33" t="n">
        <v>35</v>
      </c>
      <c r="B36" s="37">
        <f>'Master Stock'!C36</f>
        <v/>
      </c>
      <c r="C36" s="37">
        <f>'Master Stock'!D36</f>
        <v/>
      </c>
      <c r="D36" s="37">
        <f>'Master Stock'!G36</f>
        <v/>
      </c>
      <c r="E36" s="40">
        <f>IF('Master Stock'!L36="","",'Master Stock'!L36)</f>
        <v/>
      </c>
      <c r="F36" s="42">
        <f>IF(E36="","",MAX(0,TODAY()-E36))</f>
        <v/>
      </c>
      <c r="G36" s="44" t="n"/>
      <c r="H36" s="45" t="n"/>
      <c r="I36" s="46" t="n"/>
      <c r="J36" s="46">
        <f>'Master Stock'!L36</f>
        <v/>
      </c>
      <c r="K36" s="48" t="n"/>
    </row>
    <row r="37" ht="15.75" customHeight="1" s="236">
      <c r="A37" s="33" t="n">
        <v>36</v>
      </c>
      <c r="B37" s="37">
        <f>'Master Stock'!C37</f>
        <v/>
      </c>
      <c r="C37" s="37">
        <f>'Master Stock'!D37</f>
        <v/>
      </c>
      <c r="D37" s="37">
        <f>'Master Stock'!G37</f>
        <v/>
      </c>
      <c r="E37" s="40">
        <f>IF('Master Stock'!L37="","",'Master Stock'!L37)</f>
        <v/>
      </c>
      <c r="F37" s="42">
        <f>IF(E37="","",MAX(0,TODAY()-E37))</f>
        <v/>
      </c>
      <c r="G37" s="44" t="n"/>
      <c r="H37" s="45" t="n"/>
      <c r="I37" s="46" t="n"/>
      <c r="J37" s="46">
        <f>'Master Stock'!L37</f>
        <v/>
      </c>
      <c r="K37" s="48" t="n"/>
    </row>
    <row r="38" ht="15.75" customHeight="1" s="236">
      <c r="A38" s="33" t="n">
        <v>37</v>
      </c>
      <c r="B38" s="37">
        <f>'Master Stock'!C38</f>
        <v/>
      </c>
      <c r="C38" s="37">
        <f>'Master Stock'!D38</f>
        <v/>
      </c>
      <c r="D38" s="37">
        <f>'Master Stock'!G38</f>
        <v/>
      </c>
      <c r="E38" s="40">
        <f>IF('Master Stock'!L38="","",'Master Stock'!L38)</f>
        <v/>
      </c>
      <c r="F38" s="42">
        <f>IF(E38="","",MAX(0,TODAY()-E38))</f>
        <v/>
      </c>
      <c r="G38" s="44" t="n"/>
      <c r="H38" s="45" t="n"/>
      <c r="I38" s="46" t="n"/>
      <c r="J38" s="46">
        <f>'Master Stock'!L38</f>
        <v/>
      </c>
      <c r="K38" s="48" t="n"/>
    </row>
    <row r="39" ht="15.75" customHeight="1" s="236">
      <c r="A39" s="33" t="n">
        <v>38</v>
      </c>
      <c r="B39" s="37">
        <f>'Master Stock'!C39</f>
        <v/>
      </c>
      <c r="C39" s="37">
        <f>'Master Stock'!D39</f>
        <v/>
      </c>
      <c r="D39" s="37">
        <f>'Master Stock'!G39</f>
        <v/>
      </c>
      <c r="E39" s="40">
        <f>IF('Master Stock'!L39="","",'Master Stock'!L39)</f>
        <v/>
      </c>
      <c r="F39" s="42">
        <f>IF(E39="","",MAX(0,TODAY()-E39))</f>
        <v/>
      </c>
      <c r="G39" s="44" t="n"/>
      <c r="H39" s="45" t="n"/>
      <c r="I39" s="46" t="n"/>
      <c r="J39" s="46">
        <f>'Master Stock'!L39</f>
        <v/>
      </c>
      <c r="K39" s="48" t="n"/>
    </row>
    <row r="40" ht="15.75" customHeight="1" s="236">
      <c r="A40" s="33" t="n">
        <v>39</v>
      </c>
      <c r="B40" s="37">
        <f>'Master Stock'!C40</f>
        <v/>
      </c>
      <c r="C40" s="37">
        <f>'Master Stock'!D40</f>
        <v/>
      </c>
      <c r="D40" s="37">
        <f>'Master Stock'!G40</f>
        <v/>
      </c>
      <c r="E40" s="40">
        <f>IF('Master Stock'!L40="","",'Master Stock'!L40)</f>
        <v/>
      </c>
      <c r="F40" s="42">
        <f>IF(E40="","",MAX(0,TODAY()-E40))</f>
        <v/>
      </c>
      <c r="G40" s="44" t="n"/>
      <c r="H40" s="45" t="n"/>
      <c r="I40" s="46" t="n"/>
      <c r="J40" s="46">
        <f>'Master Stock'!L40</f>
        <v/>
      </c>
      <c r="K40" s="48" t="n"/>
    </row>
    <row r="41" ht="15.75" customHeight="1" s="236">
      <c r="A41" s="33" t="n">
        <v>40</v>
      </c>
      <c r="B41" s="37">
        <f>'Master Stock'!C41</f>
        <v/>
      </c>
      <c r="C41" s="37">
        <f>'Master Stock'!D41</f>
        <v/>
      </c>
      <c r="D41" s="37">
        <f>'Master Stock'!G41</f>
        <v/>
      </c>
      <c r="E41" s="40">
        <f>IF('Master Stock'!L41="","",'Master Stock'!L41)</f>
        <v/>
      </c>
      <c r="F41" s="42">
        <f>IF(E41="","",MAX(0,TODAY()-E41))</f>
        <v/>
      </c>
      <c r="G41" s="44" t="n"/>
      <c r="H41" s="45" t="n"/>
      <c r="I41" s="46" t="n"/>
      <c r="J41" s="46">
        <f>'Master Stock'!L41</f>
        <v/>
      </c>
      <c r="K41" s="48" t="n"/>
    </row>
    <row r="42" ht="15.75" customHeight="1" s="236">
      <c r="A42" s="33" t="n">
        <v>41</v>
      </c>
      <c r="B42" s="37">
        <f>'Master Stock'!C42</f>
        <v/>
      </c>
      <c r="C42" s="37">
        <f>'Master Stock'!D42</f>
        <v/>
      </c>
      <c r="D42" s="37">
        <f>'Master Stock'!G42</f>
        <v/>
      </c>
      <c r="E42" s="40">
        <f>IF('Master Stock'!L42="","",'Master Stock'!L42)</f>
        <v/>
      </c>
      <c r="F42" s="42">
        <f>IF(E42="","",MAX(0,TODAY()-E42))</f>
        <v/>
      </c>
      <c r="G42" s="44" t="n"/>
      <c r="H42" s="45" t="n"/>
      <c r="I42" s="46" t="n"/>
      <c r="J42" s="46">
        <f>'Master Stock'!L42</f>
        <v/>
      </c>
      <c r="K42" s="48" t="n"/>
    </row>
    <row r="43" ht="15.75" customHeight="1" s="236">
      <c r="A43" s="33" t="n">
        <v>42</v>
      </c>
      <c r="B43" s="37">
        <f>'Master Stock'!C43</f>
        <v/>
      </c>
      <c r="C43" s="37">
        <f>'Master Stock'!D43</f>
        <v/>
      </c>
      <c r="D43" s="37">
        <f>'Master Stock'!G43</f>
        <v/>
      </c>
      <c r="E43" s="40">
        <f>IF('Master Stock'!L43="","",'Master Stock'!L43)</f>
        <v/>
      </c>
      <c r="F43" s="42">
        <f>IF(E43="","",MAX(0,TODAY()-E43))</f>
        <v/>
      </c>
      <c r="G43" s="44" t="n"/>
      <c r="H43" s="45" t="n"/>
      <c r="I43" s="46" t="n"/>
      <c r="J43" s="46">
        <f>'Master Stock'!L43</f>
        <v/>
      </c>
      <c r="K43" s="48" t="n"/>
    </row>
    <row r="44" ht="15.75" customHeight="1" s="236">
      <c r="A44" s="33" t="n">
        <v>43</v>
      </c>
      <c r="B44" s="37">
        <f>'Master Stock'!C44</f>
        <v/>
      </c>
      <c r="C44" s="37">
        <f>'Master Stock'!D44</f>
        <v/>
      </c>
      <c r="D44" s="37">
        <f>'Master Stock'!G44</f>
        <v/>
      </c>
      <c r="E44" s="40">
        <f>IF('Master Stock'!L44="","",'Master Stock'!L44)</f>
        <v/>
      </c>
      <c r="F44" s="42">
        <f>IF(E44="","",MAX(0,TODAY()-E44))</f>
        <v/>
      </c>
      <c r="G44" s="44" t="n"/>
      <c r="H44" s="45" t="n"/>
      <c r="I44" s="46" t="n"/>
      <c r="J44" s="46">
        <f>'Master Stock'!L44</f>
        <v/>
      </c>
      <c r="K44" s="48" t="n"/>
    </row>
    <row r="45" ht="15.75" customHeight="1" s="236">
      <c r="A45" s="33" t="n">
        <v>44</v>
      </c>
      <c r="B45" s="37">
        <f>'Master Stock'!C45</f>
        <v/>
      </c>
      <c r="C45" s="37">
        <f>'Master Stock'!D45</f>
        <v/>
      </c>
      <c r="D45" s="37">
        <f>'Master Stock'!G45</f>
        <v/>
      </c>
      <c r="E45" s="40">
        <f>IF('Master Stock'!L45="","",'Master Stock'!L45)</f>
        <v/>
      </c>
      <c r="F45" s="42">
        <f>IF(E45="","",MAX(0,TODAY()-E45))</f>
        <v/>
      </c>
      <c r="G45" s="44" t="n"/>
      <c r="H45" s="45" t="n"/>
      <c r="I45" s="46" t="n"/>
      <c r="J45" s="46">
        <f>'Master Stock'!L45</f>
        <v/>
      </c>
      <c r="K45" s="48" t="n"/>
    </row>
    <row r="46" ht="15.75" customHeight="1" s="236">
      <c r="A46" s="69" t="n">
        <v>45</v>
      </c>
      <c r="B46" s="70">
        <f>'Master Stock'!C46</f>
        <v/>
      </c>
      <c r="C46" s="70">
        <f>'Master Stock'!D46</f>
        <v/>
      </c>
      <c r="D46" s="70">
        <f>'Master Stock'!G46</f>
        <v/>
      </c>
      <c r="E46" s="71">
        <f>IF('Master Stock'!L46="","",'Master Stock'!L46)</f>
        <v/>
      </c>
      <c r="F46" s="72">
        <f>IF(E46="","",MAX(0,TODAY()-E46))</f>
        <v/>
      </c>
      <c r="G46" s="73" t="n"/>
      <c r="H46" s="45" t="n"/>
      <c r="I46" s="46" t="n"/>
      <c r="J46" s="46">
        <f>'Master Stock'!L46</f>
        <v/>
      </c>
      <c r="K46" s="48" t="n"/>
    </row>
    <row r="47" ht="15.75" customHeight="1" s="236">
      <c r="A47" s="74" t="n">
        <v>46</v>
      </c>
      <c r="B47" s="74">
        <f>'Master Stock'!C47</f>
        <v/>
      </c>
      <c r="C47" s="74">
        <f>'Master Stock'!D47</f>
        <v/>
      </c>
      <c r="D47" s="74">
        <f>'Master Stock'!G47</f>
        <v/>
      </c>
      <c r="E47" s="75">
        <f>IF('Master Stock'!L47="","",'Master Stock'!L47)</f>
        <v/>
      </c>
      <c r="F47" s="76">
        <f>IF(E47="","",MAX(0,TODAY()-E47))</f>
        <v/>
      </c>
      <c r="G47" s="77" t="n"/>
      <c r="H47" s="46" t="n"/>
      <c r="I47" s="46" t="n"/>
      <c r="J47" s="78">
        <f>'Master Stock'!L47</f>
        <v/>
      </c>
      <c r="K47" s="48" t="n"/>
    </row>
    <row r="48" ht="15.75" customHeight="1" s="236">
      <c r="A48" s="37" t="n">
        <v>47</v>
      </c>
      <c r="B48" s="37">
        <f>'Master Stock'!C48</f>
        <v/>
      </c>
      <c r="C48" s="37">
        <f>'Master Stock'!D48</f>
        <v/>
      </c>
      <c r="D48" s="37">
        <f>'Master Stock'!G48</f>
        <v/>
      </c>
      <c r="E48" s="40">
        <f>IF('Master Stock'!L48="","",'Master Stock'!L48)</f>
        <v/>
      </c>
      <c r="F48" s="42">
        <f>IF(E48="","",MAX(0,TODAY()-E48))</f>
        <v/>
      </c>
      <c r="G48" s="46" t="n"/>
      <c r="H48" s="46" t="n"/>
      <c r="I48" s="46" t="n"/>
      <c r="J48" s="78">
        <f>'Master Stock'!L48</f>
        <v/>
      </c>
      <c r="K48" s="48" t="n"/>
    </row>
    <row r="49" ht="15.75" customHeight="1" s="236">
      <c r="A49" s="37" t="n"/>
      <c r="B49" s="37">
        <f>'Master Stock'!C49</f>
        <v/>
      </c>
      <c r="C49" s="37">
        <f>'Master Stock'!D49</f>
        <v/>
      </c>
      <c r="D49" s="37">
        <f>'Master Stock'!G49</f>
        <v/>
      </c>
      <c r="E49" s="40">
        <f>IF('Master Stock'!L49="","",'Master Stock'!L49)</f>
        <v/>
      </c>
      <c r="F49" s="42">
        <f>IF(E49="","",MAX(0,TODAY()-E49))</f>
        <v/>
      </c>
      <c r="G49" s="46" t="n"/>
      <c r="H49" s="46" t="n"/>
      <c r="I49" s="46" t="n"/>
      <c r="J49" s="78">
        <f>'Master Stock'!L49</f>
        <v/>
      </c>
      <c r="K49" s="48" t="n"/>
    </row>
    <row r="50" ht="15.75" customHeight="1" s="236">
      <c r="A50" s="37" t="n"/>
      <c r="B50" s="37">
        <f>'Master Stock'!C50</f>
        <v/>
      </c>
      <c r="C50" s="37">
        <f>'Master Stock'!D50</f>
        <v/>
      </c>
      <c r="D50" s="37">
        <f>'Master Stock'!G50</f>
        <v/>
      </c>
      <c r="E50" s="40">
        <f>IF('Master Stock'!L50="","",'Master Stock'!L50)</f>
        <v/>
      </c>
      <c r="F50" s="42">
        <f>IF(E50="","",MAX(0,TODAY()-E50))</f>
        <v/>
      </c>
      <c r="G50" s="46" t="n"/>
      <c r="H50" s="46" t="n"/>
      <c r="I50" s="46" t="n"/>
      <c r="J50" s="78">
        <f>'Master Stock'!L50</f>
        <v/>
      </c>
      <c r="K50" s="48" t="n"/>
    </row>
    <row r="51" ht="15.75" customHeight="1" s="236">
      <c r="A51" s="37" t="n"/>
      <c r="B51" s="37">
        <f>'Master Stock'!C51</f>
        <v/>
      </c>
      <c r="C51" s="37">
        <f>'Master Stock'!D51</f>
        <v/>
      </c>
      <c r="D51" s="37">
        <f>'Master Stock'!G51</f>
        <v/>
      </c>
      <c r="E51" s="40">
        <f>IF('Master Stock'!L51="","",'Master Stock'!L51)</f>
        <v/>
      </c>
      <c r="F51" s="42">
        <f>IF(E51="","",MAX(0,TODAY()-E51))</f>
        <v/>
      </c>
      <c r="G51" s="46" t="n"/>
      <c r="H51" s="46" t="n"/>
      <c r="I51" s="46" t="n"/>
      <c r="J51" s="78">
        <f>'Master Stock'!L51</f>
        <v/>
      </c>
      <c r="K51" s="48" t="n"/>
    </row>
    <row r="52" hidden="1" ht="15.75" customHeight="1" s="236">
      <c r="A52" s="79" t="n"/>
      <c r="B52" s="80">
        <f>'Master Stock'!C52</f>
        <v/>
      </c>
      <c r="C52" s="80">
        <f>'Master Stock'!D52</f>
        <v/>
      </c>
      <c r="D52" s="80">
        <f>'Master Stock'!G52</f>
        <v/>
      </c>
      <c r="E52" s="81">
        <f>IF('Master Stock'!L52="","",'Master Stock'!L52)</f>
        <v/>
      </c>
      <c r="F52" s="41">
        <f>IF(E52="","",MAX(0,TODAY()-E52))</f>
        <v/>
      </c>
      <c r="G52" s="78" t="n"/>
      <c r="H52" s="78" t="n"/>
      <c r="I52" s="78" t="n"/>
      <c r="J52" s="78">
        <f>'Master Stock'!L52</f>
        <v/>
      </c>
      <c r="K52" s="48" t="n"/>
    </row>
    <row r="53" hidden="1" ht="15.75" customHeight="1" s="236">
      <c r="A53" s="79" t="n"/>
      <c r="B53" s="80">
        <f>'Master Stock'!C53</f>
        <v/>
      </c>
      <c r="C53" s="80">
        <f>'Master Stock'!D53</f>
        <v/>
      </c>
      <c r="D53" s="80">
        <f>'Master Stock'!G53</f>
        <v/>
      </c>
      <c r="E53" s="81">
        <f>IF('Master Stock'!L53="","",'Master Stock'!L53)</f>
        <v/>
      </c>
      <c r="F53" s="41">
        <f>IF(E53="","",MAX(0,TODAY()-E53))</f>
        <v/>
      </c>
      <c r="G53" s="78" t="n"/>
      <c r="H53" s="78" t="n"/>
      <c r="I53" s="78" t="n"/>
      <c r="J53" s="78">
        <f>'Master Stock'!L53</f>
        <v/>
      </c>
      <c r="K53" s="48" t="n"/>
    </row>
    <row r="54" hidden="1" ht="15.75" customHeight="1" s="236">
      <c r="A54" s="79" t="n"/>
      <c r="B54" s="80">
        <f>'Master Stock'!C54</f>
        <v/>
      </c>
      <c r="C54" s="80">
        <f>'Master Stock'!D54</f>
        <v/>
      </c>
      <c r="D54" s="80">
        <f>'Master Stock'!G54</f>
        <v/>
      </c>
      <c r="E54" s="81">
        <f>IF('Master Stock'!L54="","",'Master Stock'!L54)</f>
        <v/>
      </c>
      <c r="F54" s="41">
        <f>IF(E54="","",MAX(0,TODAY()-E54))</f>
        <v/>
      </c>
      <c r="G54" s="78" t="n"/>
      <c r="H54" s="78" t="n"/>
      <c r="I54" s="78" t="n"/>
      <c r="J54" s="78">
        <f>'Master Stock'!L54</f>
        <v/>
      </c>
      <c r="K54" s="48" t="n"/>
    </row>
    <row r="55" hidden="1" ht="15.75" customHeight="1" s="236">
      <c r="A55" s="79" t="n"/>
      <c r="B55" s="80">
        <f>'Master Stock'!C55</f>
        <v/>
      </c>
      <c r="C55" s="80">
        <f>'Master Stock'!D55</f>
        <v/>
      </c>
      <c r="D55" s="80">
        <f>'Master Stock'!G55</f>
        <v/>
      </c>
      <c r="E55" s="81">
        <f>IF('Master Stock'!L55="","",'Master Stock'!L55)</f>
        <v/>
      </c>
      <c r="F55" s="41">
        <f>IF(E55="","",MAX(0,TODAY()-E55))</f>
        <v/>
      </c>
      <c r="G55" s="78" t="n"/>
      <c r="H55" s="78" t="n"/>
      <c r="I55" s="78" t="n"/>
      <c r="J55" s="78">
        <f>'Master Stock'!L55</f>
        <v/>
      </c>
      <c r="K55" s="48" t="n"/>
    </row>
    <row r="56" hidden="1" ht="15.75" customHeight="1" s="236">
      <c r="A56" s="79" t="n"/>
      <c r="B56" s="80">
        <f>'Master Stock'!C56</f>
        <v/>
      </c>
      <c r="C56" s="80">
        <f>'Master Stock'!D56</f>
        <v/>
      </c>
      <c r="D56" s="80">
        <f>'Master Stock'!G56</f>
        <v/>
      </c>
      <c r="E56" s="81">
        <f>IF('Master Stock'!L56="","",'Master Stock'!L56)</f>
        <v/>
      </c>
      <c r="F56" s="41">
        <f>IF(E56="","",MAX(0,TODAY()-E56))</f>
        <v/>
      </c>
      <c r="G56" s="78" t="n"/>
      <c r="H56" s="78" t="n"/>
      <c r="I56" s="78" t="n"/>
      <c r="J56" s="78">
        <f>'Master Stock'!L56</f>
        <v/>
      </c>
      <c r="K56" s="48" t="n"/>
    </row>
    <row r="57" hidden="1" ht="15.75" customHeight="1" s="236">
      <c r="A57" s="79" t="n"/>
      <c r="B57" s="80">
        <f>'Master Stock'!C57</f>
        <v/>
      </c>
      <c r="C57" s="80">
        <f>'Master Stock'!D57</f>
        <v/>
      </c>
      <c r="D57" s="80">
        <f>'Master Stock'!G57</f>
        <v/>
      </c>
      <c r="E57" s="81">
        <f>IF('Master Stock'!L57="","",'Master Stock'!L57)</f>
        <v/>
      </c>
      <c r="F57" s="41">
        <f>IF(E57="","",MAX(0,TODAY()-E57))</f>
        <v/>
      </c>
      <c r="G57" s="78" t="n"/>
      <c r="H57" s="78" t="n"/>
      <c r="I57" s="78" t="n"/>
      <c r="J57" s="78">
        <f>'Master Stock'!L57</f>
        <v/>
      </c>
      <c r="K57" s="48" t="n"/>
    </row>
    <row r="58" hidden="1" ht="15.75" customHeight="1" s="236">
      <c r="A58" s="79" t="n"/>
      <c r="B58" s="80">
        <f>'Master Stock'!C58</f>
        <v/>
      </c>
      <c r="C58" s="80">
        <f>'Master Stock'!D58</f>
        <v/>
      </c>
      <c r="D58" s="80">
        <f>'Master Stock'!G58</f>
        <v/>
      </c>
      <c r="E58" s="81">
        <f>IF('Master Stock'!L58="","",'Master Stock'!L58)</f>
        <v/>
      </c>
      <c r="F58" s="41">
        <f>IF(E58="","",MAX(0,TODAY()-E58))</f>
        <v/>
      </c>
      <c r="G58" s="78" t="n"/>
      <c r="H58" s="78" t="n"/>
      <c r="I58" s="78" t="n"/>
      <c r="J58" s="78">
        <f>'Master Stock'!L58</f>
        <v/>
      </c>
      <c r="K58" s="48" t="n"/>
    </row>
    <row r="59" hidden="1" ht="15.75" customHeight="1" s="236">
      <c r="A59" s="79" t="n"/>
      <c r="B59" s="80">
        <f>'Master Stock'!C59</f>
        <v/>
      </c>
      <c r="C59" s="80">
        <f>'Master Stock'!D59</f>
        <v/>
      </c>
      <c r="D59" s="80">
        <f>'Master Stock'!G59</f>
        <v/>
      </c>
      <c r="E59" s="81">
        <f>IF('Master Stock'!L59="","",'Master Stock'!L59)</f>
        <v/>
      </c>
      <c r="F59" s="41">
        <f>IF(E59="","",MAX(0,TODAY()-E59))</f>
        <v/>
      </c>
      <c r="G59" s="78" t="n"/>
      <c r="H59" s="78" t="n"/>
      <c r="I59" s="78" t="n"/>
      <c r="J59" s="78">
        <f>'Master Stock'!L59</f>
        <v/>
      </c>
      <c r="K59" s="48" t="n"/>
    </row>
    <row r="60" hidden="1" ht="15.75" customHeight="1" s="236">
      <c r="A60" s="79" t="n"/>
      <c r="B60" s="80">
        <f>'Master Stock'!C60</f>
        <v/>
      </c>
      <c r="C60" s="80">
        <f>'Master Stock'!D60</f>
        <v/>
      </c>
      <c r="D60" s="80">
        <f>'Master Stock'!G60</f>
        <v/>
      </c>
      <c r="E60" s="81">
        <f>IF('Master Stock'!L60="","",'Master Stock'!L60)</f>
        <v/>
      </c>
      <c r="F60" s="41">
        <f>IF(E60="","",MAX(0,TODAY()-E60))</f>
        <v/>
      </c>
      <c r="G60" s="78" t="n"/>
      <c r="H60" s="78" t="n"/>
      <c r="I60" s="78" t="n"/>
      <c r="J60" s="78">
        <f>'Master Stock'!L60</f>
        <v/>
      </c>
      <c r="K60" s="48" t="n"/>
    </row>
    <row r="61" hidden="1" ht="15.75" customHeight="1" s="236">
      <c r="A61" s="79" t="n"/>
      <c r="B61" s="80">
        <f>'Master Stock'!C61</f>
        <v/>
      </c>
      <c r="C61" s="80">
        <f>'Master Stock'!D61</f>
        <v/>
      </c>
      <c r="D61" s="80">
        <f>'Master Stock'!G61</f>
        <v/>
      </c>
      <c r="E61" s="81">
        <f>IF('Master Stock'!L61="","",'Master Stock'!L61)</f>
        <v/>
      </c>
      <c r="F61" s="41">
        <f>IF(E61="","",MAX(0,TODAY()-E61))</f>
        <v/>
      </c>
      <c r="G61" s="78" t="n"/>
      <c r="H61" s="78" t="n"/>
      <c r="I61" s="78" t="n"/>
      <c r="J61" s="78">
        <f>'Master Stock'!L61</f>
        <v/>
      </c>
      <c r="K61" s="48" t="n"/>
    </row>
    <row r="62" hidden="1" ht="15.75" customHeight="1" s="236">
      <c r="A62" s="79" t="n"/>
      <c r="B62" s="80">
        <f>'Master Stock'!C62</f>
        <v/>
      </c>
      <c r="C62" s="80">
        <f>'Master Stock'!D62</f>
        <v/>
      </c>
      <c r="D62" s="80">
        <f>'Master Stock'!G62</f>
        <v/>
      </c>
      <c r="E62" s="81">
        <f>IF('Master Stock'!L62="","",'Master Stock'!L62)</f>
        <v/>
      </c>
      <c r="F62" s="41">
        <f>IF(E62="","",MAX(0,TODAY()-E62))</f>
        <v/>
      </c>
      <c r="G62" s="78" t="n"/>
      <c r="H62" s="78" t="n"/>
      <c r="I62" s="78" t="n"/>
      <c r="J62" s="78">
        <f>'Master Stock'!L62</f>
        <v/>
      </c>
      <c r="K62" s="48" t="n"/>
    </row>
    <row r="63" hidden="1" ht="15.75" customHeight="1" s="236">
      <c r="A63" s="79" t="n"/>
      <c r="B63" s="80">
        <f>'Master Stock'!C63</f>
        <v/>
      </c>
      <c r="C63" s="80">
        <f>'Master Stock'!D63</f>
        <v/>
      </c>
      <c r="D63" s="80">
        <f>'Master Stock'!G63</f>
        <v/>
      </c>
      <c r="E63" s="81">
        <f>IF('Master Stock'!L63="","",'Master Stock'!L63)</f>
        <v/>
      </c>
      <c r="F63" s="41">
        <f>IF(E63="","",MAX(0,TODAY()-E63))</f>
        <v/>
      </c>
      <c r="G63" s="78" t="n"/>
      <c r="H63" s="78" t="n"/>
      <c r="I63" s="78" t="n"/>
      <c r="J63" s="78">
        <f>'Master Stock'!L63</f>
        <v/>
      </c>
      <c r="K63" s="48" t="n"/>
    </row>
    <row r="64" hidden="1" ht="15.75" customHeight="1" s="236">
      <c r="A64" s="79" t="n"/>
      <c r="B64" s="80">
        <f>'Master Stock'!C64</f>
        <v/>
      </c>
      <c r="C64" s="80">
        <f>'Master Stock'!D64</f>
        <v/>
      </c>
      <c r="D64" s="80">
        <f>'Master Stock'!G64</f>
        <v/>
      </c>
      <c r="E64" s="81">
        <f>IF('Master Stock'!L64="","",'Master Stock'!L64)</f>
        <v/>
      </c>
      <c r="F64" s="41">
        <f>IF(E64="","",MAX(0,TODAY()-E64))</f>
        <v/>
      </c>
      <c r="G64" s="78" t="n"/>
      <c r="H64" s="78" t="n"/>
      <c r="I64" s="78" t="n"/>
      <c r="J64" s="78">
        <f>'Master Stock'!L64</f>
        <v/>
      </c>
      <c r="K64" s="48" t="n"/>
    </row>
    <row r="65" hidden="1" ht="15.75" customHeight="1" s="236">
      <c r="A65" s="79" t="n"/>
      <c r="B65" s="80">
        <f>'Master Stock'!C65</f>
        <v/>
      </c>
      <c r="C65" s="80">
        <f>'Master Stock'!D65</f>
        <v/>
      </c>
      <c r="D65" s="80">
        <f>'Master Stock'!G65</f>
        <v/>
      </c>
      <c r="E65" s="81">
        <f>IF('Master Stock'!L65="","",'Master Stock'!L65)</f>
        <v/>
      </c>
      <c r="F65" s="41">
        <f>IF(E65="","",MAX(0,TODAY()-E65))</f>
        <v/>
      </c>
      <c r="G65" s="78" t="n"/>
      <c r="H65" s="78" t="n"/>
      <c r="I65" s="78" t="n"/>
      <c r="J65" s="78">
        <f>'Master Stock'!L65</f>
        <v/>
      </c>
      <c r="K65" s="48" t="n"/>
    </row>
    <row r="66" hidden="1" ht="15.75" customHeight="1" s="236">
      <c r="A66" s="79" t="n"/>
      <c r="B66" s="80">
        <f>'Master Stock'!C66</f>
        <v/>
      </c>
      <c r="C66" s="80">
        <f>'Master Stock'!D66</f>
        <v/>
      </c>
      <c r="D66" s="80">
        <f>'Master Stock'!G66</f>
        <v/>
      </c>
      <c r="E66" s="81">
        <f>IF('Master Stock'!L66="","",'Master Stock'!L66)</f>
        <v/>
      </c>
      <c r="F66" s="41">
        <f>IF(E66="","",MAX(0,TODAY()-E66))</f>
        <v/>
      </c>
      <c r="G66" s="78" t="n"/>
      <c r="H66" s="78" t="n"/>
      <c r="I66" s="78" t="n"/>
      <c r="J66" s="78">
        <f>'Master Stock'!L66</f>
        <v/>
      </c>
      <c r="K66" s="48" t="n"/>
    </row>
    <row r="67" hidden="1" ht="15.75" customHeight="1" s="236">
      <c r="A67" s="79" t="n"/>
      <c r="B67" s="80">
        <f>'Master Stock'!C67</f>
        <v/>
      </c>
      <c r="C67" s="80">
        <f>'Master Stock'!D67</f>
        <v/>
      </c>
      <c r="D67" s="80">
        <f>'Master Stock'!G67</f>
        <v/>
      </c>
      <c r="E67" s="81">
        <f>IF('Master Stock'!L67="","",'Master Stock'!L67)</f>
        <v/>
      </c>
      <c r="F67" s="41">
        <f>IF(E67="","",MAX(0,TODAY()-E67))</f>
        <v/>
      </c>
      <c r="G67" s="78" t="n"/>
      <c r="H67" s="78" t="n"/>
      <c r="I67" s="78" t="n"/>
      <c r="J67" s="78">
        <f>'Master Stock'!L67</f>
        <v/>
      </c>
      <c r="K67" s="48" t="n"/>
    </row>
    <row r="68" hidden="1" ht="15.75" customHeight="1" s="236">
      <c r="A68" s="79" t="n"/>
      <c r="B68" s="80">
        <f>'Master Stock'!C68</f>
        <v/>
      </c>
      <c r="C68" s="80">
        <f>'Master Stock'!D68</f>
        <v/>
      </c>
      <c r="D68" s="80">
        <f>'Master Stock'!G68</f>
        <v/>
      </c>
      <c r="E68" s="81">
        <f>IF('Master Stock'!L68="","",'Master Stock'!L68)</f>
        <v/>
      </c>
      <c r="F68" s="41">
        <f>IF(E68="","",MAX(0,TODAY()-E68))</f>
        <v/>
      </c>
      <c r="G68" s="78" t="n"/>
      <c r="H68" s="78" t="n"/>
      <c r="I68" s="78" t="n"/>
      <c r="J68" s="78">
        <f>'Master Stock'!L68</f>
        <v/>
      </c>
      <c r="K68" s="48" t="n"/>
    </row>
    <row r="69" hidden="1" ht="15.75" customHeight="1" s="236">
      <c r="A69" s="79" t="n"/>
      <c r="B69" s="80">
        <f>'Master Stock'!C69</f>
        <v/>
      </c>
      <c r="C69" s="80">
        <f>'Master Stock'!D69</f>
        <v/>
      </c>
      <c r="D69" s="80">
        <f>'Master Stock'!G69</f>
        <v/>
      </c>
      <c r="E69" s="81">
        <f>IF('Master Stock'!L69="","",'Master Stock'!L69)</f>
        <v/>
      </c>
      <c r="F69" s="41">
        <f>IF(E69="","",MAX(0,TODAY()-E69))</f>
        <v/>
      </c>
      <c r="G69" s="78" t="n"/>
      <c r="H69" s="78" t="n"/>
      <c r="I69" s="78" t="n"/>
      <c r="J69" s="78">
        <f>'Master Stock'!L69</f>
        <v/>
      </c>
      <c r="K69" s="48" t="n"/>
    </row>
    <row r="70" hidden="1" ht="15.75" customHeight="1" s="236">
      <c r="A70" s="79" t="n"/>
      <c r="B70" s="80">
        <f>'Master Stock'!C70</f>
        <v/>
      </c>
      <c r="C70" s="80">
        <f>'Master Stock'!D70</f>
        <v/>
      </c>
      <c r="D70" s="80">
        <f>'Master Stock'!G70</f>
        <v/>
      </c>
      <c r="E70" s="81">
        <f>IF('Master Stock'!L70="","",'Master Stock'!L70)</f>
        <v/>
      </c>
      <c r="F70" s="41">
        <f>IF(E70="","",MAX(0,TODAY()-E70))</f>
        <v/>
      </c>
      <c r="G70" s="78" t="n"/>
      <c r="H70" s="78" t="n"/>
      <c r="I70" s="78" t="n"/>
      <c r="J70" s="78">
        <f>'Master Stock'!L70</f>
        <v/>
      </c>
      <c r="K70" s="48" t="n"/>
    </row>
    <row r="71" hidden="1" ht="15.75" customHeight="1" s="236">
      <c r="A71" s="79" t="n"/>
      <c r="B71" s="80">
        <f>'Master Stock'!C71</f>
        <v/>
      </c>
      <c r="C71" s="80">
        <f>'Master Stock'!D71</f>
        <v/>
      </c>
      <c r="D71" s="80">
        <f>'Master Stock'!G71</f>
        <v/>
      </c>
      <c r="E71" s="81">
        <f>IF('Master Stock'!L71="","",'Master Stock'!L71)</f>
        <v/>
      </c>
      <c r="F71" s="41">
        <f>IF(E71="","",MAX(0,TODAY()-E71))</f>
        <v/>
      </c>
      <c r="G71" s="78" t="n"/>
      <c r="H71" s="78" t="n"/>
      <c r="I71" s="78" t="n"/>
      <c r="J71" s="78">
        <f>'Master Stock'!L71</f>
        <v/>
      </c>
      <c r="K71" s="48" t="n"/>
    </row>
    <row r="72" hidden="1" ht="15.75" customHeight="1" s="236">
      <c r="A72" s="79" t="n"/>
      <c r="B72" s="80">
        <f>'Master Stock'!C72</f>
        <v/>
      </c>
      <c r="C72" s="80">
        <f>'Master Stock'!D72</f>
        <v/>
      </c>
      <c r="D72" s="80">
        <f>'Master Stock'!G72</f>
        <v/>
      </c>
      <c r="E72" s="81">
        <f>IF('Master Stock'!L72="","",'Master Stock'!L72)</f>
        <v/>
      </c>
      <c r="F72" s="41">
        <f>IF(E72="","",MAX(0,TODAY()-E72))</f>
        <v/>
      </c>
      <c r="G72" s="78" t="n"/>
      <c r="H72" s="78" t="n"/>
      <c r="I72" s="78" t="n"/>
      <c r="J72" s="78">
        <f>'Master Stock'!L72</f>
        <v/>
      </c>
      <c r="K72" s="48" t="n"/>
    </row>
    <row r="73" hidden="1" ht="15.75" customHeight="1" s="236">
      <c r="A73" s="79" t="n"/>
      <c r="B73" s="80">
        <f>'Master Stock'!C73</f>
        <v/>
      </c>
      <c r="C73" s="80">
        <f>'Master Stock'!D73</f>
        <v/>
      </c>
      <c r="D73" s="80">
        <f>'Master Stock'!G73</f>
        <v/>
      </c>
      <c r="E73" s="81">
        <f>IF('Master Stock'!L73="","",'Master Stock'!L73)</f>
        <v/>
      </c>
      <c r="F73" s="41">
        <f>IF(E73="","",MAX(0,TODAY()-E73))</f>
        <v/>
      </c>
      <c r="G73" s="78" t="n"/>
      <c r="H73" s="78" t="n"/>
      <c r="I73" s="78" t="n"/>
      <c r="J73" s="78">
        <f>'Master Stock'!L73</f>
        <v/>
      </c>
      <c r="K73" s="48" t="n"/>
    </row>
    <row r="74" hidden="1" ht="15.75" customHeight="1" s="236">
      <c r="A74" s="79" t="n"/>
      <c r="B74" s="80">
        <f>'Master Stock'!C74</f>
        <v/>
      </c>
      <c r="C74" s="80">
        <f>'Master Stock'!D74</f>
        <v/>
      </c>
      <c r="D74" s="80">
        <f>'Master Stock'!G74</f>
        <v/>
      </c>
      <c r="E74" s="81">
        <f>IF('Master Stock'!L74="","",'Master Stock'!L74)</f>
        <v/>
      </c>
      <c r="F74" s="41">
        <f>IF(E74="","",MAX(0,TODAY()-E74))</f>
        <v/>
      </c>
      <c r="G74" s="78" t="n"/>
      <c r="H74" s="78" t="n"/>
      <c r="I74" s="78" t="n"/>
      <c r="J74" s="78">
        <f>'Master Stock'!L74</f>
        <v/>
      </c>
      <c r="K74" s="48" t="n"/>
    </row>
    <row r="75" hidden="1" ht="15.75" customHeight="1" s="236">
      <c r="A75" s="79" t="n"/>
      <c r="B75" s="80">
        <f>'Master Stock'!C75</f>
        <v/>
      </c>
      <c r="C75" s="80">
        <f>'Master Stock'!D75</f>
        <v/>
      </c>
      <c r="D75" s="80">
        <f>'Master Stock'!G75</f>
        <v/>
      </c>
      <c r="E75" s="81">
        <f>IF('Master Stock'!L75="","",'Master Stock'!L75)</f>
        <v/>
      </c>
      <c r="F75" s="41">
        <f>IF(E75="","",MAX(0,TODAY()-E75))</f>
        <v/>
      </c>
      <c r="G75" s="78" t="n"/>
      <c r="H75" s="78" t="n"/>
      <c r="I75" s="78" t="n"/>
      <c r="J75" s="78">
        <f>'Master Stock'!L75</f>
        <v/>
      </c>
      <c r="K75" s="48" t="n"/>
    </row>
    <row r="76" hidden="1" ht="15.75" customHeight="1" s="236">
      <c r="A76" s="79" t="n"/>
      <c r="B76" s="80">
        <f>'Master Stock'!C76</f>
        <v/>
      </c>
      <c r="C76" s="80">
        <f>'Master Stock'!D76</f>
        <v/>
      </c>
      <c r="D76" s="80">
        <f>'Master Stock'!G76</f>
        <v/>
      </c>
      <c r="E76" s="81">
        <f>IF('Master Stock'!L76="","",'Master Stock'!L76)</f>
        <v/>
      </c>
      <c r="F76" s="41">
        <f>IF(E76="","",MAX(0,TODAY()-E76))</f>
        <v/>
      </c>
      <c r="G76" s="78" t="n"/>
      <c r="H76" s="78" t="n"/>
      <c r="I76" s="78" t="n"/>
      <c r="J76" s="78">
        <f>'Master Stock'!L76</f>
        <v/>
      </c>
      <c r="K76" s="48" t="n"/>
    </row>
    <row r="77" hidden="1" ht="15.75" customHeight="1" s="236">
      <c r="A77" s="79" t="n"/>
      <c r="B77" s="80">
        <f>'Master Stock'!C77</f>
        <v/>
      </c>
      <c r="C77" s="80">
        <f>'Master Stock'!D77</f>
        <v/>
      </c>
      <c r="D77" s="80">
        <f>'Master Stock'!G77</f>
        <v/>
      </c>
      <c r="E77" s="81">
        <f>IF('Master Stock'!L77="","",'Master Stock'!L77)</f>
        <v/>
      </c>
      <c r="F77" s="41">
        <f>IF(E77="","",MAX(0,TODAY()-E77))</f>
        <v/>
      </c>
      <c r="G77" s="78" t="n"/>
      <c r="H77" s="78" t="n"/>
      <c r="I77" s="78" t="n"/>
      <c r="J77" s="78">
        <f>'Master Stock'!L77</f>
        <v/>
      </c>
      <c r="K77" s="48" t="n"/>
    </row>
    <row r="78" hidden="1" ht="15.75" customHeight="1" s="236">
      <c r="A78" s="79" t="n"/>
      <c r="B78" s="80">
        <f>'Master Stock'!C78</f>
        <v/>
      </c>
      <c r="C78" s="80">
        <f>'Master Stock'!D78</f>
        <v/>
      </c>
      <c r="D78" s="80">
        <f>'Master Stock'!G78</f>
        <v/>
      </c>
      <c r="E78" s="81">
        <f>IF('Master Stock'!L78="","",'Master Stock'!L78)</f>
        <v/>
      </c>
      <c r="F78" s="41">
        <f>IF(E78="","",MAX(0,TODAY()-E78))</f>
        <v/>
      </c>
      <c r="G78" s="78" t="n"/>
      <c r="H78" s="78" t="n"/>
      <c r="I78" s="78" t="n"/>
      <c r="J78" s="78">
        <f>'Master Stock'!L78</f>
        <v/>
      </c>
      <c r="K78" s="48" t="n"/>
    </row>
    <row r="79" hidden="1" ht="15.75" customHeight="1" s="236">
      <c r="A79" s="79" t="n"/>
      <c r="B79" s="80">
        <f>'Master Stock'!C79</f>
        <v/>
      </c>
      <c r="C79" s="80">
        <f>'Master Stock'!D79</f>
        <v/>
      </c>
      <c r="D79" s="80">
        <f>'Master Stock'!G79</f>
        <v/>
      </c>
      <c r="E79" s="81">
        <f>IF('Master Stock'!L79="","",'Master Stock'!L79)</f>
        <v/>
      </c>
      <c r="F79" s="41">
        <f>IF(E79="","",MAX(0,TODAY()-E79))</f>
        <v/>
      </c>
      <c r="G79" s="78" t="n"/>
      <c r="H79" s="78" t="n"/>
      <c r="I79" s="78" t="n"/>
      <c r="J79" s="78">
        <f>'Master Stock'!L79</f>
        <v/>
      </c>
      <c r="K79" s="48" t="n"/>
    </row>
    <row r="80" hidden="1" ht="15.75" customHeight="1" s="236">
      <c r="A80" s="79" t="n"/>
      <c r="B80" s="80">
        <f>'Master Stock'!C80</f>
        <v/>
      </c>
      <c r="C80" s="80">
        <f>'Master Stock'!D80</f>
        <v/>
      </c>
      <c r="D80" s="80">
        <f>'Master Stock'!G80</f>
        <v/>
      </c>
      <c r="E80" s="81">
        <f>IF('Master Stock'!L80="","",'Master Stock'!L80)</f>
        <v/>
      </c>
      <c r="F80" s="41">
        <f>IF(E80="","",MAX(0,TODAY()-E80))</f>
        <v/>
      </c>
      <c r="G80" s="78" t="n"/>
      <c r="H80" s="78" t="n"/>
      <c r="I80" s="78" t="n"/>
      <c r="J80" s="78">
        <f>'Master Stock'!L80</f>
        <v/>
      </c>
      <c r="K80" s="48" t="n"/>
    </row>
    <row r="81" hidden="1" ht="15.75" customHeight="1" s="236">
      <c r="A81" s="79" t="n"/>
      <c r="B81" s="80">
        <f>'Master Stock'!C81</f>
        <v/>
      </c>
      <c r="C81" s="80">
        <f>'Master Stock'!D81</f>
        <v/>
      </c>
      <c r="D81" s="80">
        <f>'Master Stock'!G81</f>
        <v/>
      </c>
      <c r="E81" s="81">
        <f>IF('Master Stock'!L81="","",'Master Stock'!L81)</f>
        <v/>
      </c>
      <c r="F81" s="41">
        <f>IF(E81="","",MAX(0,TODAY()-E81))</f>
        <v/>
      </c>
      <c r="G81" s="78" t="n"/>
      <c r="H81" s="78" t="n"/>
      <c r="I81" s="78" t="n"/>
      <c r="J81" s="78">
        <f>'Master Stock'!L81</f>
        <v/>
      </c>
      <c r="K81" s="48" t="n"/>
    </row>
    <row r="82" hidden="1" ht="15.75" customHeight="1" s="236">
      <c r="A82" s="79" t="n"/>
      <c r="B82" s="80">
        <f>'Master Stock'!C82</f>
        <v/>
      </c>
      <c r="C82" s="80">
        <f>'Master Stock'!D82</f>
        <v/>
      </c>
      <c r="D82" s="80">
        <f>'Master Stock'!G82</f>
        <v/>
      </c>
      <c r="E82" s="81">
        <f>IF('Master Stock'!L82="","",'Master Stock'!L82)</f>
        <v/>
      </c>
      <c r="F82" s="41">
        <f>IF(E82="","",MAX(0,TODAY()-E82))</f>
        <v/>
      </c>
      <c r="G82" s="78" t="n"/>
      <c r="H82" s="78" t="n"/>
      <c r="I82" s="78" t="n"/>
      <c r="J82" s="78">
        <f>'Master Stock'!L82</f>
        <v/>
      </c>
      <c r="K82" s="48" t="n"/>
    </row>
    <row r="83" hidden="1" ht="15.75" customHeight="1" s="236">
      <c r="A83" s="79" t="n"/>
      <c r="B83" s="80">
        <f>'Master Stock'!C83</f>
        <v/>
      </c>
      <c r="C83" s="80">
        <f>'Master Stock'!D83</f>
        <v/>
      </c>
      <c r="D83" s="80">
        <f>'Master Stock'!G83</f>
        <v/>
      </c>
      <c r="E83" s="81">
        <f>IF('Master Stock'!L83="","",'Master Stock'!L83)</f>
        <v/>
      </c>
      <c r="F83" s="41">
        <f>IF(E83="","",MAX(0,TODAY()-E83))</f>
        <v/>
      </c>
      <c r="G83" s="78" t="n"/>
      <c r="H83" s="78" t="n"/>
      <c r="I83" s="78" t="n"/>
      <c r="J83" s="78">
        <f>'Master Stock'!L83</f>
        <v/>
      </c>
      <c r="K83" s="48" t="n"/>
    </row>
    <row r="84" hidden="1" ht="15.75" customHeight="1" s="236">
      <c r="A84" s="79" t="n"/>
      <c r="B84" s="80">
        <f>'Master Stock'!C84</f>
        <v/>
      </c>
      <c r="C84" s="80">
        <f>'Master Stock'!D84</f>
        <v/>
      </c>
      <c r="D84" s="80">
        <f>'Master Stock'!G84</f>
        <v/>
      </c>
      <c r="E84" s="81">
        <f>IF('Master Stock'!L84="","",'Master Stock'!L84)</f>
        <v/>
      </c>
      <c r="F84" s="41">
        <f>IF(E84="","",MAX(0,TODAY()-E84))</f>
        <v/>
      </c>
      <c r="G84" s="78" t="n"/>
      <c r="H84" s="78" t="n"/>
      <c r="I84" s="78" t="n"/>
      <c r="J84" s="78">
        <f>'Master Stock'!L84</f>
        <v/>
      </c>
      <c r="K84" s="48" t="n"/>
    </row>
    <row r="85" hidden="1" ht="15.75" customHeight="1" s="236">
      <c r="A85" s="79" t="n"/>
      <c r="B85" s="80">
        <f>'Master Stock'!C85</f>
        <v/>
      </c>
      <c r="C85" s="80">
        <f>'Master Stock'!D85</f>
        <v/>
      </c>
      <c r="D85" s="80">
        <f>'Master Stock'!G85</f>
        <v/>
      </c>
      <c r="E85" s="81">
        <f>IF('Master Stock'!L85="","",'Master Stock'!L85)</f>
        <v/>
      </c>
      <c r="F85" s="41">
        <f>IF(E85="","",MAX(0,TODAY()-E85))</f>
        <v/>
      </c>
      <c r="G85" s="78" t="n"/>
      <c r="H85" s="78" t="n"/>
      <c r="I85" s="78" t="n"/>
      <c r="J85" s="78">
        <f>'Master Stock'!L85</f>
        <v/>
      </c>
      <c r="K85" s="48" t="n"/>
    </row>
    <row r="86" hidden="1" ht="15.75" customHeight="1" s="236">
      <c r="A86" s="79" t="n"/>
      <c r="B86" s="80">
        <f>'Master Stock'!C86</f>
        <v/>
      </c>
      <c r="C86" s="80">
        <f>'Master Stock'!D86</f>
        <v/>
      </c>
      <c r="D86" s="80">
        <f>'Master Stock'!G86</f>
        <v/>
      </c>
      <c r="E86" s="81">
        <f>IF('Master Stock'!L86="","",'Master Stock'!L86)</f>
        <v/>
      </c>
      <c r="F86" s="41">
        <f>IF(E86="","",MAX(0,TODAY()-E86))</f>
        <v/>
      </c>
      <c r="G86" s="78" t="n"/>
      <c r="H86" s="78" t="n"/>
      <c r="I86" s="78" t="n"/>
      <c r="J86" s="78">
        <f>'Master Stock'!L86</f>
        <v/>
      </c>
      <c r="K86" s="48" t="n"/>
    </row>
    <row r="87" hidden="1" ht="15.75" customHeight="1" s="236">
      <c r="A87" s="79" t="n"/>
      <c r="B87" s="80">
        <f>'Master Stock'!C87</f>
        <v/>
      </c>
      <c r="C87" s="80">
        <f>'Master Stock'!D87</f>
        <v/>
      </c>
      <c r="D87" s="80">
        <f>'Master Stock'!G87</f>
        <v/>
      </c>
      <c r="E87" s="81">
        <f>IF('Master Stock'!L87="","",'Master Stock'!L87)</f>
        <v/>
      </c>
      <c r="F87" s="41">
        <f>IF(E87="","",MAX(0,TODAY()-E87))</f>
        <v/>
      </c>
      <c r="G87" s="78" t="n"/>
      <c r="H87" s="78" t="n"/>
      <c r="I87" s="78" t="n"/>
      <c r="J87" s="78">
        <f>'Master Stock'!L87</f>
        <v/>
      </c>
      <c r="K87" s="48" t="n"/>
    </row>
    <row r="88" hidden="1" ht="15.75" customHeight="1" s="236">
      <c r="A88" s="79" t="n"/>
      <c r="B88" s="80">
        <f>'Master Stock'!C88</f>
        <v/>
      </c>
      <c r="C88" s="80">
        <f>'Master Stock'!D88</f>
        <v/>
      </c>
      <c r="D88" s="80">
        <f>'Master Stock'!G88</f>
        <v/>
      </c>
      <c r="E88" s="81">
        <f>IF('Master Stock'!L88="","",'Master Stock'!L88)</f>
        <v/>
      </c>
      <c r="F88" s="41">
        <f>IF(E88="","",MAX(0,TODAY()-E88))</f>
        <v/>
      </c>
      <c r="G88" s="78" t="n"/>
      <c r="H88" s="78" t="n"/>
      <c r="I88" s="78" t="n"/>
      <c r="J88" s="78">
        <f>'Master Stock'!L88</f>
        <v/>
      </c>
      <c r="K88" s="48" t="n"/>
    </row>
    <row r="89" hidden="1" ht="15.75" customHeight="1" s="236">
      <c r="A89" s="79" t="n"/>
      <c r="B89" s="80">
        <f>'Master Stock'!C89</f>
        <v/>
      </c>
      <c r="C89" s="80">
        <f>'Master Stock'!D89</f>
        <v/>
      </c>
      <c r="D89" s="80">
        <f>'Master Stock'!G89</f>
        <v/>
      </c>
      <c r="E89" s="81">
        <f>IF('Master Stock'!L89="","",'Master Stock'!L89)</f>
        <v/>
      </c>
      <c r="F89" s="41">
        <f>IF(E89="","",MAX(0,TODAY()-E89))</f>
        <v/>
      </c>
      <c r="G89" s="78" t="n"/>
      <c r="H89" s="78" t="n"/>
      <c r="I89" s="78" t="n"/>
      <c r="J89" s="78">
        <f>'Master Stock'!L89</f>
        <v/>
      </c>
      <c r="K89" s="48" t="n"/>
    </row>
    <row r="90" hidden="1" ht="15.75" customHeight="1" s="236">
      <c r="A90" s="79" t="n"/>
      <c r="B90" s="80">
        <f>'Master Stock'!C90</f>
        <v/>
      </c>
      <c r="C90" s="80">
        <f>'Master Stock'!D90</f>
        <v/>
      </c>
      <c r="D90" s="80">
        <f>'Master Stock'!G90</f>
        <v/>
      </c>
      <c r="E90" s="81">
        <f>IF('Master Stock'!L90="","",'Master Stock'!L90)</f>
        <v/>
      </c>
      <c r="F90" s="41">
        <f>IF(E90="","",MAX(0,TODAY()-E90))</f>
        <v/>
      </c>
      <c r="G90" s="78" t="n"/>
      <c r="H90" s="78" t="n"/>
      <c r="I90" s="78" t="n"/>
      <c r="J90" s="78">
        <f>'Master Stock'!L90</f>
        <v/>
      </c>
      <c r="K90" s="48" t="n"/>
    </row>
    <row r="91" hidden="1" ht="15.75" customHeight="1" s="236">
      <c r="A91" s="79" t="n"/>
      <c r="B91" s="80">
        <f>'Master Stock'!C91</f>
        <v/>
      </c>
      <c r="C91" s="80">
        <f>'Master Stock'!D91</f>
        <v/>
      </c>
      <c r="D91" s="80">
        <f>'Master Stock'!G91</f>
        <v/>
      </c>
      <c r="E91" s="81">
        <f>IF('Master Stock'!L91="","",'Master Stock'!L91)</f>
        <v/>
      </c>
      <c r="F91" s="41">
        <f>IF(E91="","",MAX(0,TODAY()-E91))</f>
        <v/>
      </c>
      <c r="G91" s="78" t="n"/>
      <c r="H91" s="78" t="n"/>
      <c r="I91" s="78" t="n"/>
      <c r="J91" s="78">
        <f>'Master Stock'!L91</f>
        <v/>
      </c>
      <c r="K91" s="48" t="n"/>
    </row>
    <row r="92" hidden="1" ht="15.75" customHeight="1" s="236">
      <c r="A92" s="79" t="n"/>
      <c r="B92" s="80">
        <f>'Master Stock'!C92</f>
        <v/>
      </c>
      <c r="C92" s="80">
        <f>'Master Stock'!D92</f>
        <v/>
      </c>
      <c r="D92" s="80">
        <f>'Master Stock'!G92</f>
        <v/>
      </c>
      <c r="E92" s="81">
        <f>IF('Master Stock'!L92="","",'Master Stock'!L92)</f>
        <v/>
      </c>
      <c r="F92" s="41">
        <f>IF(E92="","",MAX(0,TODAY()-E92))</f>
        <v/>
      </c>
      <c r="G92" s="78" t="n"/>
      <c r="H92" s="78" t="n"/>
      <c r="I92" s="78" t="n"/>
      <c r="J92" s="78">
        <f>'Master Stock'!L92</f>
        <v/>
      </c>
      <c r="K92" s="48" t="n"/>
    </row>
    <row r="93" hidden="1" ht="15.75" customHeight="1" s="236">
      <c r="A93" s="79" t="n"/>
      <c r="B93" s="80">
        <f>'Master Stock'!C93</f>
        <v/>
      </c>
      <c r="C93" s="80">
        <f>'Master Stock'!D93</f>
        <v/>
      </c>
      <c r="D93" s="80">
        <f>'Master Stock'!G93</f>
        <v/>
      </c>
      <c r="E93" s="81">
        <f>IF('Master Stock'!L93="","",'Master Stock'!L93)</f>
        <v/>
      </c>
      <c r="F93" s="41">
        <f>IF(E93="","",MAX(0,TODAY()-E93))</f>
        <v/>
      </c>
      <c r="G93" s="78" t="n"/>
      <c r="H93" s="78" t="n"/>
      <c r="I93" s="78" t="n"/>
      <c r="J93" s="78">
        <f>'Master Stock'!L93</f>
        <v/>
      </c>
      <c r="K93" s="48" t="n"/>
    </row>
    <row r="94" hidden="1" ht="15.75" customHeight="1" s="236">
      <c r="A94" s="79" t="n"/>
      <c r="B94" s="80">
        <f>'Master Stock'!C94</f>
        <v/>
      </c>
      <c r="C94" s="80">
        <f>'Master Stock'!D94</f>
        <v/>
      </c>
      <c r="D94" s="80">
        <f>'Master Stock'!G94</f>
        <v/>
      </c>
      <c r="E94" s="81">
        <f>IF('Master Stock'!L94="","",'Master Stock'!L94)</f>
        <v/>
      </c>
      <c r="F94" s="41">
        <f>IF(E94="","",MAX(0,TODAY()-E94))</f>
        <v/>
      </c>
      <c r="G94" s="78" t="n"/>
      <c r="H94" s="78" t="n"/>
      <c r="I94" s="78" t="n"/>
      <c r="J94" s="78">
        <f>'Master Stock'!L94</f>
        <v/>
      </c>
      <c r="K94" s="48" t="n"/>
    </row>
    <row r="95" hidden="1" ht="15.75" customHeight="1" s="236">
      <c r="A95" s="79" t="n"/>
      <c r="B95" s="80">
        <f>'Master Stock'!C95</f>
        <v/>
      </c>
      <c r="C95" s="80">
        <f>'Master Stock'!D95</f>
        <v/>
      </c>
      <c r="D95" s="80">
        <f>'Master Stock'!G95</f>
        <v/>
      </c>
      <c r="E95" s="81">
        <f>IF('Master Stock'!L95="","",'Master Stock'!L95)</f>
        <v/>
      </c>
      <c r="F95" s="41">
        <f>IF(E95="","",MAX(0,TODAY()-E95))</f>
        <v/>
      </c>
      <c r="G95" s="78" t="n"/>
      <c r="H95" s="78" t="n"/>
      <c r="I95" s="78" t="n"/>
      <c r="J95" s="78">
        <f>'Master Stock'!L95</f>
        <v/>
      </c>
      <c r="K95" s="48" t="n"/>
    </row>
    <row r="96" hidden="1" ht="15.75" customHeight="1" s="236">
      <c r="A96" s="79" t="n"/>
      <c r="B96" s="80">
        <f>'Master Stock'!C96</f>
        <v/>
      </c>
      <c r="C96" s="80">
        <f>'Master Stock'!D96</f>
        <v/>
      </c>
      <c r="D96" s="80">
        <f>'Master Stock'!G96</f>
        <v/>
      </c>
      <c r="E96" s="81">
        <f>IF('Master Stock'!L96="","",'Master Stock'!L96)</f>
        <v/>
      </c>
      <c r="F96" s="41">
        <f>IF(E96="","",MAX(0,TODAY()-E96))</f>
        <v/>
      </c>
      <c r="G96" s="78" t="n"/>
      <c r="H96" s="78" t="n"/>
      <c r="I96" s="78" t="n"/>
      <c r="J96" s="78">
        <f>'Master Stock'!L96</f>
        <v/>
      </c>
      <c r="K96" s="48" t="n"/>
    </row>
    <row r="97" hidden="1" ht="15.75" customHeight="1" s="236">
      <c r="A97" s="79" t="n"/>
      <c r="B97" s="80">
        <f>'Master Stock'!C97</f>
        <v/>
      </c>
      <c r="C97" s="80">
        <f>'Master Stock'!D97</f>
        <v/>
      </c>
      <c r="D97" s="80">
        <f>'Master Stock'!G97</f>
        <v/>
      </c>
      <c r="E97" s="81">
        <f>IF('Master Stock'!L97="","",'Master Stock'!L97)</f>
        <v/>
      </c>
      <c r="F97" s="41">
        <f>IF(E97="","",MAX(0,TODAY()-E97))</f>
        <v/>
      </c>
      <c r="G97" s="78" t="n"/>
      <c r="H97" s="78" t="n"/>
      <c r="I97" s="78" t="n"/>
      <c r="J97" s="78">
        <f>'Master Stock'!L97</f>
        <v/>
      </c>
      <c r="K97" s="48" t="n"/>
    </row>
    <row r="98" hidden="1" ht="15.75" customHeight="1" s="236">
      <c r="A98" s="79" t="n"/>
      <c r="B98" s="80">
        <f>'Master Stock'!C98</f>
        <v/>
      </c>
      <c r="C98" s="80">
        <f>'Master Stock'!D98</f>
        <v/>
      </c>
      <c r="D98" s="80">
        <f>'Master Stock'!G98</f>
        <v/>
      </c>
      <c r="E98" s="81">
        <f>IF('Master Stock'!L98="","",'Master Stock'!L98)</f>
        <v/>
      </c>
      <c r="F98" s="41">
        <f>IF(E98="","",MAX(0,TODAY()-E98))</f>
        <v/>
      </c>
      <c r="G98" s="78" t="n"/>
      <c r="H98" s="78" t="n"/>
      <c r="I98" s="78" t="n"/>
      <c r="J98" s="78">
        <f>'Master Stock'!L98</f>
        <v/>
      </c>
      <c r="K98" s="48" t="n"/>
    </row>
    <row r="99" hidden="1" ht="15.75" customHeight="1" s="236">
      <c r="A99" s="79" t="n"/>
      <c r="B99" s="80">
        <f>'Master Stock'!C99</f>
        <v/>
      </c>
      <c r="C99" s="80">
        <f>'Master Stock'!D99</f>
        <v/>
      </c>
      <c r="D99" s="80">
        <f>'Master Stock'!G99</f>
        <v/>
      </c>
      <c r="E99" s="81">
        <f>IF('Master Stock'!L99="","",'Master Stock'!L99)</f>
        <v/>
      </c>
      <c r="F99" s="41">
        <f>IF(E99="","",MAX(0,TODAY()-E99))</f>
        <v/>
      </c>
      <c r="G99" s="78" t="n"/>
      <c r="H99" s="78" t="n"/>
      <c r="I99" s="78" t="n"/>
      <c r="J99" s="78">
        <f>'Master Stock'!L99</f>
        <v/>
      </c>
      <c r="K99" s="48" t="n"/>
    </row>
    <row r="100" hidden="1" ht="15.75" customHeight="1" s="236">
      <c r="A100" s="11" t="n"/>
      <c r="B100" s="11" t="n"/>
      <c r="C100" s="11" t="n"/>
      <c r="D100" s="11" t="n"/>
      <c r="E100" s="11" t="n"/>
      <c r="F100" s="11" t="n"/>
      <c r="G100" s="108" t="n"/>
      <c r="H100" s="108" t="n"/>
      <c r="I100" s="108" t="n"/>
      <c r="J100" s="108" t="n"/>
      <c r="K100" s="48" t="n"/>
    </row>
    <row r="101" hidden="1" ht="15.75" customHeight="1" s="236">
      <c r="A101" s="11" t="n"/>
      <c r="B101" s="11" t="n"/>
      <c r="C101" s="11" t="n"/>
      <c r="D101" s="11" t="n"/>
      <c r="E101" s="11" t="n"/>
      <c r="F101" s="11" t="n"/>
      <c r="G101" s="108" t="n"/>
      <c r="H101" s="108" t="n"/>
      <c r="I101" s="108" t="n"/>
      <c r="J101" s="108" t="n"/>
      <c r="K101" s="48" t="n"/>
    </row>
    <row r="102" hidden="1" ht="15.75" customHeight="1" s="236">
      <c r="A102" s="11" t="n"/>
      <c r="B102" s="11" t="n"/>
      <c r="C102" s="11" t="n"/>
      <c r="D102" s="11" t="n"/>
      <c r="E102" s="11" t="n"/>
      <c r="F102" s="11" t="n"/>
      <c r="G102" s="108" t="n"/>
      <c r="H102" s="108" t="n"/>
      <c r="I102" s="108" t="n"/>
      <c r="J102" s="108" t="n"/>
      <c r="K102" s="48" t="n"/>
    </row>
    <row r="103" hidden="1" ht="15.75" customHeight="1" s="236">
      <c r="A103" s="11" t="n"/>
      <c r="B103" s="11" t="n"/>
      <c r="C103" s="11" t="n"/>
      <c r="D103" s="11" t="n"/>
      <c r="E103" s="11" t="n"/>
      <c r="F103" s="11" t="n"/>
      <c r="G103" s="108" t="n"/>
      <c r="H103" s="108" t="n"/>
      <c r="I103" s="108" t="n"/>
      <c r="J103" s="108" t="n"/>
      <c r="K103" s="48" t="n"/>
    </row>
    <row r="104" hidden="1" ht="15.75" customHeight="1" s="236">
      <c r="A104" s="11" t="n"/>
      <c r="B104" s="11" t="n"/>
      <c r="C104" s="11" t="n"/>
      <c r="D104" s="11" t="n"/>
      <c r="E104" s="11" t="n"/>
      <c r="F104" s="11" t="n"/>
      <c r="G104" s="108" t="n"/>
      <c r="H104" s="108" t="n"/>
      <c r="I104" s="108" t="n"/>
      <c r="J104" s="108" t="n"/>
      <c r="K104" s="48" t="n"/>
    </row>
    <row r="105" hidden="1" ht="15.75" customHeight="1" s="236">
      <c r="A105" s="11" t="n"/>
      <c r="B105" s="11" t="n"/>
      <c r="C105" s="11" t="n"/>
      <c r="D105" s="11" t="n"/>
      <c r="E105" s="11" t="n"/>
      <c r="F105" s="11" t="n"/>
      <c r="G105" s="108" t="n"/>
      <c r="H105" s="108" t="n"/>
      <c r="I105" s="108" t="n"/>
      <c r="J105" s="108" t="n"/>
      <c r="K105" s="48" t="n"/>
    </row>
    <row r="106" hidden="1" ht="15.75" customHeight="1" s="236">
      <c r="A106" s="11" t="n"/>
      <c r="B106" s="11" t="n"/>
      <c r="C106" s="11" t="n"/>
      <c r="D106" s="11" t="n"/>
      <c r="E106" s="11" t="n"/>
      <c r="F106" s="11" t="n"/>
      <c r="G106" s="108" t="n"/>
      <c r="H106" s="108" t="n"/>
      <c r="I106" s="108" t="n"/>
      <c r="J106" s="108" t="n"/>
      <c r="K106" s="48" t="n"/>
    </row>
    <row r="107" hidden="1" ht="15.75" customHeight="1" s="236">
      <c r="A107" s="11" t="n"/>
      <c r="B107" s="11" t="n"/>
      <c r="C107" s="11" t="n"/>
      <c r="D107" s="11" t="n"/>
      <c r="E107" s="11" t="n"/>
      <c r="F107" s="11" t="n"/>
      <c r="G107" s="108" t="n"/>
      <c r="H107" s="108" t="n"/>
      <c r="I107" s="108" t="n"/>
      <c r="J107" s="108" t="n"/>
      <c r="K107" s="48" t="n"/>
    </row>
    <row r="108" hidden="1" ht="15.75" customHeight="1" s="236">
      <c r="A108" s="11" t="n"/>
      <c r="B108" s="11" t="n"/>
      <c r="C108" s="11" t="n"/>
      <c r="D108" s="11" t="n"/>
      <c r="E108" s="11" t="n"/>
      <c r="F108" s="11" t="n"/>
      <c r="G108" s="108" t="n"/>
      <c r="H108" s="108" t="n"/>
      <c r="I108" s="108" t="n"/>
      <c r="J108" s="108" t="n"/>
      <c r="K108" s="48" t="n"/>
    </row>
    <row r="109" hidden="1" ht="15.75" customHeight="1" s="236">
      <c r="A109" s="11" t="n"/>
      <c r="B109" s="11" t="n"/>
      <c r="C109" s="11" t="n"/>
      <c r="D109" s="11" t="n"/>
      <c r="E109" s="11" t="n"/>
      <c r="F109" s="11" t="n"/>
      <c r="G109" s="108" t="n"/>
      <c r="H109" s="108" t="n"/>
      <c r="I109" s="108" t="n"/>
      <c r="J109" s="108" t="n"/>
      <c r="K109" s="48" t="n"/>
    </row>
    <row r="110" hidden="1" ht="15.75" customHeight="1" s="236">
      <c r="A110" s="11" t="n"/>
      <c r="B110" s="11" t="n"/>
      <c r="C110" s="11" t="n"/>
      <c r="D110" s="11" t="n"/>
      <c r="E110" s="11" t="n"/>
      <c r="F110" s="11" t="n"/>
      <c r="G110" s="108" t="n"/>
      <c r="H110" s="108" t="n"/>
      <c r="I110" s="108" t="n"/>
      <c r="J110" s="108" t="n"/>
      <c r="K110" s="48" t="n"/>
    </row>
    <row r="111" hidden="1" ht="15.75" customHeight="1" s="236">
      <c r="A111" s="11" t="n"/>
      <c r="B111" s="11" t="n"/>
      <c r="C111" s="11" t="n"/>
      <c r="D111" s="11" t="n"/>
      <c r="E111" s="11" t="n"/>
      <c r="F111" s="11" t="n"/>
      <c r="G111" s="108" t="n"/>
      <c r="H111" s="108" t="n"/>
      <c r="I111" s="108" t="n"/>
      <c r="J111" s="108" t="n"/>
      <c r="K111" s="48" t="n"/>
    </row>
    <row r="112" hidden="1" ht="15.75" customHeight="1" s="236">
      <c r="A112" s="11" t="n"/>
      <c r="B112" s="11" t="n"/>
      <c r="C112" s="11" t="n"/>
      <c r="D112" s="11" t="n"/>
      <c r="E112" s="11" t="n"/>
      <c r="F112" s="11" t="n"/>
      <c r="G112" s="108" t="n"/>
      <c r="H112" s="108" t="n"/>
      <c r="I112" s="108" t="n"/>
      <c r="J112" s="108" t="n"/>
      <c r="K112" s="48" t="n"/>
    </row>
    <row r="113" hidden="1" ht="15.75" customHeight="1" s="236">
      <c r="A113" s="11" t="n"/>
      <c r="B113" s="11" t="n"/>
      <c r="C113" s="11" t="n"/>
      <c r="D113" s="11" t="n"/>
      <c r="E113" s="11" t="n"/>
      <c r="F113" s="11" t="n"/>
      <c r="G113" s="108" t="n"/>
      <c r="H113" s="108" t="n"/>
      <c r="I113" s="108" t="n"/>
      <c r="J113" s="108" t="n"/>
      <c r="K113" s="48" t="n"/>
    </row>
    <row r="114" hidden="1" ht="15.75" customHeight="1" s="236">
      <c r="A114" s="11" t="n"/>
      <c r="B114" s="11" t="n"/>
      <c r="C114" s="11" t="n"/>
      <c r="D114" s="11" t="n"/>
      <c r="E114" s="11" t="n"/>
      <c r="F114" s="11" t="n"/>
      <c r="G114" s="108" t="n"/>
      <c r="H114" s="108" t="n"/>
      <c r="I114" s="108" t="n"/>
      <c r="J114" s="108" t="n"/>
      <c r="K114" s="48" t="n"/>
    </row>
    <row r="115" hidden="1" ht="15.75" customHeight="1" s="236">
      <c r="A115" s="11" t="n"/>
      <c r="B115" s="11" t="n"/>
      <c r="C115" s="11" t="n"/>
      <c r="D115" s="11" t="n"/>
      <c r="E115" s="11" t="n"/>
      <c r="F115" s="11" t="n"/>
      <c r="G115" s="108" t="n"/>
      <c r="H115" s="108" t="n"/>
      <c r="I115" s="108" t="n"/>
      <c r="J115" s="108" t="n"/>
      <c r="K115" s="48" t="n"/>
    </row>
    <row r="116" hidden="1" ht="15.75" customHeight="1" s="236">
      <c r="A116" s="11" t="n"/>
      <c r="B116" s="11" t="n"/>
      <c r="C116" s="11" t="n"/>
      <c r="D116" s="11" t="n"/>
      <c r="E116" s="11" t="n"/>
      <c r="F116" s="11" t="n"/>
      <c r="G116" s="108" t="n"/>
      <c r="H116" s="108" t="n"/>
      <c r="I116" s="108" t="n"/>
      <c r="J116" s="108" t="n"/>
      <c r="K116" s="48" t="n"/>
    </row>
    <row r="117" hidden="1" ht="15.75" customHeight="1" s="236">
      <c r="A117" s="11" t="n"/>
      <c r="B117" s="11" t="n"/>
      <c r="C117" s="11" t="n"/>
      <c r="D117" s="11" t="n"/>
      <c r="E117" s="11" t="n"/>
      <c r="F117" s="11" t="n"/>
      <c r="G117" s="108" t="n"/>
      <c r="H117" s="108" t="n"/>
      <c r="I117" s="108" t="n"/>
      <c r="J117" s="108" t="n"/>
      <c r="K117" s="48" t="n"/>
    </row>
    <row r="118" hidden="1" ht="15.75" customHeight="1" s="236">
      <c r="A118" s="11" t="n"/>
      <c r="B118" s="11" t="n"/>
      <c r="C118" s="11" t="n"/>
      <c r="D118" s="11" t="n"/>
      <c r="E118" s="11" t="n"/>
      <c r="F118" s="11" t="n"/>
      <c r="G118" s="108" t="n"/>
      <c r="H118" s="108" t="n"/>
      <c r="I118" s="108" t="n"/>
      <c r="J118" s="108" t="n"/>
      <c r="K118" s="48" t="n"/>
    </row>
    <row r="119" hidden="1" ht="15.75" customHeight="1" s="236">
      <c r="A119" s="11" t="n"/>
      <c r="B119" s="11" t="n"/>
      <c r="C119" s="11" t="n"/>
      <c r="D119" s="11" t="n"/>
      <c r="E119" s="11" t="n"/>
      <c r="F119" s="11" t="n"/>
      <c r="G119" s="108" t="n"/>
      <c r="H119" s="108" t="n"/>
      <c r="I119" s="108" t="n"/>
      <c r="J119" s="108" t="n"/>
      <c r="K119" s="48" t="n"/>
    </row>
    <row r="120" hidden="1" ht="15.75" customHeight="1" s="236">
      <c r="A120" s="11" t="n"/>
      <c r="B120" s="11" t="n"/>
      <c r="C120" s="11" t="n"/>
      <c r="D120" s="11" t="n"/>
      <c r="E120" s="11" t="n"/>
      <c r="F120" s="11" t="n"/>
      <c r="G120" s="108" t="n"/>
      <c r="H120" s="108" t="n"/>
      <c r="I120" s="108" t="n"/>
      <c r="J120" s="108" t="n"/>
      <c r="K120" s="48" t="n"/>
    </row>
    <row r="121" hidden="1" ht="15.75" customHeight="1" s="236">
      <c r="A121" s="11" t="n"/>
      <c r="B121" s="11" t="n"/>
      <c r="C121" s="11" t="n"/>
      <c r="D121" s="11" t="n"/>
      <c r="E121" s="11" t="n"/>
      <c r="F121" s="11" t="n"/>
      <c r="G121" s="108" t="n"/>
      <c r="H121" s="108" t="n"/>
      <c r="I121" s="108" t="n"/>
      <c r="J121" s="108" t="n"/>
      <c r="K121" s="48" t="n"/>
    </row>
    <row r="122" hidden="1" ht="15.75" customHeight="1" s="236">
      <c r="A122" s="11" t="n"/>
      <c r="B122" s="11" t="n"/>
      <c r="C122" s="11" t="n"/>
      <c r="D122" s="11" t="n"/>
      <c r="E122" s="11" t="n"/>
      <c r="F122" s="11" t="n"/>
      <c r="G122" s="108" t="n"/>
      <c r="H122" s="108" t="n"/>
      <c r="I122" s="108" t="n"/>
      <c r="J122" s="108" t="n"/>
      <c r="K122" s="48" t="n"/>
    </row>
    <row r="123" hidden="1" ht="15.75" customHeight="1" s="236">
      <c r="A123" s="11" t="n"/>
      <c r="B123" s="11" t="n"/>
      <c r="C123" s="11" t="n"/>
      <c r="D123" s="11" t="n"/>
      <c r="E123" s="11" t="n"/>
      <c r="F123" s="11" t="n"/>
      <c r="G123" s="108" t="n"/>
      <c r="H123" s="108" t="n"/>
      <c r="I123" s="108" t="n"/>
      <c r="J123" s="108" t="n"/>
      <c r="K123" s="48" t="n"/>
    </row>
    <row r="124" hidden="1" ht="15.75" customHeight="1" s="236">
      <c r="A124" s="11" t="n"/>
      <c r="B124" s="11" t="n"/>
      <c r="C124" s="11" t="n"/>
      <c r="D124" s="11" t="n"/>
      <c r="E124" s="11" t="n"/>
      <c r="F124" s="11" t="n"/>
      <c r="G124" s="108" t="n"/>
      <c r="H124" s="108" t="n"/>
      <c r="I124" s="108" t="n"/>
      <c r="J124" s="108" t="n"/>
      <c r="K124" s="48" t="n"/>
    </row>
    <row r="125" hidden="1" ht="15.75" customHeight="1" s="236">
      <c r="A125" s="11" t="n"/>
      <c r="B125" s="11" t="n"/>
      <c r="C125" s="11" t="n"/>
      <c r="D125" s="11" t="n"/>
      <c r="E125" s="11" t="n"/>
      <c r="F125" s="11" t="n"/>
      <c r="G125" s="108" t="n"/>
      <c r="H125" s="108" t="n"/>
      <c r="I125" s="108" t="n"/>
      <c r="J125" s="108" t="n"/>
      <c r="K125" s="48" t="n"/>
    </row>
    <row r="126" hidden="1" ht="15.75" customHeight="1" s="236">
      <c r="A126" s="11" t="n"/>
      <c r="B126" s="11" t="n"/>
      <c r="C126" s="11" t="n"/>
      <c r="D126" s="11" t="n"/>
      <c r="E126" s="11" t="n"/>
      <c r="F126" s="11" t="n"/>
      <c r="G126" s="108" t="n"/>
      <c r="H126" s="108" t="n"/>
      <c r="I126" s="108" t="n"/>
      <c r="J126" s="108" t="n"/>
      <c r="K126" s="48" t="n"/>
    </row>
    <row r="127" hidden="1" ht="15.75" customHeight="1" s="236">
      <c r="A127" s="11" t="n"/>
      <c r="B127" s="11" t="n"/>
      <c r="C127" s="11" t="n"/>
      <c r="D127" s="11" t="n"/>
      <c r="E127" s="11" t="n"/>
      <c r="F127" s="11" t="n"/>
      <c r="G127" s="108" t="n"/>
      <c r="H127" s="108" t="n"/>
      <c r="I127" s="108" t="n"/>
      <c r="J127" s="108" t="n"/>
      <c r="K127" s="48" t="n"/>
    </row>
    <row r="128" hidden="1" ht="15.75" customHeight="1" s="236">
      <c r="A128" s="11" t="n"/>
      <c r="B128" s="11" t="n"/>
      <c r="C128" s="11" t="n"/>
      <c r="D128" s="11" t="n"/>
      <c r="E128" s="11" t="n"/>
      <c r="F128" s="11" t="n"/>
      <c r="G128" s="108" t="n"/>
      <c r="H128" s="108" t="n"/>
      <c r="I128" s="108" t="n"/>
      <c r="J128" s="108" t="n"/>
      <c r="K128" s="48" t="n"/>
    </row>
    <row r="129" hidden="1" ht="15.75" customHeight="1" s="236">
      <c r="A129" s="11" t="n"/>
      <c r="B129" s="11" t="n"/>
      <c r="C129" s="11" t="n"/>
      <c r="D129" s="11" t="n"/>
      <c r="E129" s="11" t="n"/>
      <c r="F129" s="11" t="n"/>
      <c r="G129" s="108" t="n"/>
      <c r="H129" s="108" t="n"/>
      <c r="I129" s="108" t="n"/>
      <c r="J129" s="108" t="n"/>
      <c r="K129" s="48" t="n"/>
    </row>
    <row r="130" hidden="1" ht="15.75" customHeight="1" s="236">
      <c r="A130" s="11" t="n"/>
      <c r="B130" s="11" t="n"/>
      <c r="C130" s="11" t="n"/>
      <c r="D130" s="11" t="n"/>
      <c r="E130" s="11" t="n"/>
      <c r="F130" s="11" t="n"/>
      <c r="G130" s="108" t="n"/>
      <c r="H130" s="108" t="n"/>
      <c r="I130" s="108" t="n"/>
      <c r="J130" s="108" t="n"/>
      <c r="K130" s="48" t="n"/>
    </row>
    <row r="131" hidden="1" ht="15.75" customHeight="1" s="236">
      <c r="A131" s="11" t="n"/>
      <c r="B131" s="11" t="n"/>
      <c r="C131" s="11" t="n"/>
      <c r="D131" s="11" t="n"/>
      <c r="E131" s="11" t="n"/>
      <c r="F131" s="11" t="n"/>
      <c r="G131" s="108" t="n"/>
      <c r="H131" s="108" t="n"/>
      <c r="I131" s="108" t="n"/>
      <c r="J131" s="108" t="n"/>
      <c r="K131" s="48" t="n"/>
    </row>
    <row r="132" hidden="1" ht="15.75" customHeight="1" s="236">
      <c r="A132" s="11" t="n"/>
      <c r="B132" s="11" t="n"/>
      <c r="C132" s="11" t="n"/>
      <c r="D132" s="11" t="n"/>
      <c r="E132" s="11" t="n"/>
      <c r="F132" s="11" t="n"/>
      <c r="G132" s="108" t="n"/>
      <c r="H132" s="108" t="n"/>
      <c r="I132" s="108" t="n"/>
      <c r="J132" s="108" t="n"/>
      <c r="K132" s="48" t="n"/>
    </row>
    <row r="133" hidden="1" ht="15.75" customHeight="1" s="236">
      <c r="A133" s="11" t="n"/>
      <c r="B133" s="11" t="n"/>
      <c r="C133" s="11" t="n"/>
      <c r="D133" s="11" t="n"/>
      <c r="E133" s="11" t="n"/>
      <c r="F133" s="11" t="n"/>
      <c r="G133" s="108" t="n"/>
      <c r="H133" s="108" t="n"/>
      <c r="I133" s="108" t="n"/>
      <c r="J133" s="108" t="n"/>
      <c r="K133" s="48" t="n"/>
    </row>
    <row r="134" hidden="1" ht="15.75" customHeight="1" s="236">
      <c r="A134" s="11" t="n"/>
      <c r="B134" s="11" t="n"/>
      <c r="C134" s="11" t="n"/>
      <c r="D134" s="11" t="n"/>
      <c r="E134" s="11" t="n"/>
      <c r="F134" s="11" t="n"/>
      <c r="G134" s="108" t="n"/>
      <c r="H134" s="108" t="n"/>
      <c r="I134" s="108" t="n"/>
      <c r="J134" s="108" t="n"/>
      <c r="K134" s="48" t="n"/>
    </row>
    <row r="135" hidden="1" ht="15.75" customHeight="1" s="236">
      <c r="A135" s="11" t="n"/>
      <c r="B135" s="11" t="n"/>
      <c r="C135" s="11" t="n"/>
      <c r="D135" s="11" t="n"/>
      <c r="E135" s="11" t="n"/>
      <c r="F135" s="11" t="n"/>
      <c r="G135" s="108" t="n"/>
      <c r="H135" s="108" t="n"/>
      <c r="I135" s="108" t="n"/>
      <c r="J135" s="108" t="n"/>
      <c r="K135" s="48" t="n"/>
    </row>
    <row r="136" hidden="1" ht="15.75" customHeight="1" s="236">
      <c r="A136" s="11" t="n"/>
      <c r="B136" s="11" t="n"/>
      <c r="C136" s="11" t="n"/>
      <c r="D136" s="11" t="n"/>
      <c r="E136" s="11" t="n"/>
      <c r="F136" s="11" t="n"/>
      <c r="G136" s="108" t="n"/>
      <c r="H136" s="108" t="n"/>
      <c r="I136" s="108" t="n"/>
      <c r="J136" s="108" t="n"/>
      <c r="K136" s="48" t="n"/>
    </row>
    <row r="137" hidden="1" ht="15.75" customHeight="1" s="236">
      <c r="A137" s="11" t="n"/>
      <c r="B137" s="11" t="n"/>
      <c r="C137" s="11" t="n"/>
      <c r="D137" s="11" t="n"/>
      <c r="E137" s="11" t="n"/>
      <c r="F137" s="11" t="n"/>
      <c r="G137" s="108" t="n"/>
      <c r="H137" s="108" t="n"/>
      <c r="I137" s="108" t="n"/>
      <c r="J137" s="108" t="n"/>
      <c r="K137" s="48" t="n"/>
    </row>
    <row r="138" hidden="1" ht="15.75" customHeight="1" s="236">
      <c r="A138" s="11" t="n"/>
      <c r="B138" s="11" t="n"/>
      <c r="C138" s="11" t="n"/>
      <c r="D138" s="11" t="n"/>
      <c r="E138" s="11" t="n"/>
      <c r="F138" s="11" t="n"/>
      <c r="G138" s="108" t="n"/>
      <c r="H138" s="108" t="n"/>
      <c r="I138" s="108" t="n"/>
      <c r="J138" s="108" t="n"/>
      <c r="K138" s="48" t="n"/>
    </row>
    <row r="139" hidden="1" ht="15.75" customHeight="1" s="236">
      <c r="A139" s="11" t="n"/>
      <c r="B139" s="11" t="n"/>
      <c r="C139" s="11" t="n"/>
      <c r="D139" s="11" t="n"/>
      <c r="E139" s="11" t="n"/>
      <c r="F139" s="11" t="n"/>
      <c r="G139" s="108" t="n"/>
      <c r="H139" s="108" t="n"/>
      <c r="I139" s="108" t="n"/>
      <c r="J139" s="108" t="n"/>
      <c r="K139" s="48" t="n"/>
    </row>
    <row r="140" hidden="1" ht="15.75" customHeight="1" s="236">
      <c r="A140" s="11" t="n"/>
      <c r="B140" s="11" t="n"/>
      <c r="C140" s="11" t="n"/>
      <c r="D140" s="11" t="n"/>
      <c r="E140" s="11" t="n"/>
      <c r="F140" s="11" t="n"/>
      <c r="G140" s="108" t="n"/>
      <c r="H140" s="108" t="n"/>
      <c r="I140" s="108" t="n"/>
      <c r="J140" s="108" t="n"/>
      <c r="K140" s="48" t="n"/>
    </row>
    <row r="141" hidden="1" ht="15.75" customHeight="1" s="236">
      <c r="A141" s="11" t="n"/>
      <c r="B141" s="11" t="n"/>
      <c r="C141" s="11" t="n"/>
      <c r="D141" s="11" t="n"/>
      <c r="E141" s="11" t="n"/>
      <c r="F141" s="11" t="n"/>
      <c r="G141" s="108" t="n"/>
      <c r="H141" s="108" t="n"/>
      <c r="I141" s="108" t="n"/>
      <c r="J141" s="108" t="n"/>
      <c r="K141" s="48" t="n"/>
    </row>
    <row r="142" hidden="1" ht="15.75" customHeight="1" s="236">
      <c r="A142" s="11" t="n"/>
      <c r="B142" s="11" t="n"/>
      <c r="C142" s="11" t="n"/>
      <c r="D142" s="11" t="n"/>
      <c r="E142" s="11" t="n"/>
      <c r="F142" s="11" t="n"/>
      <c r="G142" s="108" t="n"/>
      <c r="H142" s="108" t="n"/>
      <c r="I142" s="108" t="n"/>
      <c r="J142" s="108" t="n"/>
      <c r="K142" s="48" t="n"/>
    </row>
    <row r="143" hidden="1" ht="15.75" customHeight="1" s="236">
      <c r="A143" s="11" t="n"/>
      <c r="B143" s="11" t="n"/>
      <c r="C143" s="11" t="n"/>
      <c r="D143" s="11" t="n"/>
      <c r="E143" s="11" t="n"/>
      <c r="F143" s="11" t="n"/>
      <c r="G143" s="108" t="n"/>
      <c r="H143" s="108" t="n"/>
      <c r="I143" s="108" t="n"/>
      <c r="J143" s="108" t="n"/>
      <c r="K143" s="48" t="n"/>
    </row>
    <row r="144" hidden="1" ht="15.75" customHeight="1" s="236">
      <c r="A144" s="11" t="n"/>
      <c r="B144" s="11" t="n"/>
      <c r="C144" s="11" t="n"/>
      <c r="D144" s="11" t="n"/>
      <c r="E144" s="11" t="n"/>
      <c r="F144" s="11" t="n"/>
      <c r="G144" s="108" t="n"/>
      <c r="H144" s="108" t="n"/>
      <c r="I144" s="108" t="n"/>
      <c r="J144" s="108" t="n"/>
      <c r="K144" s="48" t="n"/>
    </row>
    <row r="145" hidden="1" ht="15.75" customHeight="1" s="236">
      <c r="A145" s="11" t="n"/>
      <c r="B145" s="11" t="n"/>
      <c r="C145" s="11" t="n"/>
      <c r="D145" s="11" t="n"/>
      <c r="E145" s="11" t="n"/>
      <c r="F145" s="11" t="n"/>
      <c r="G145" s="108" t="n"/>
      <c r="H145" s="108" t="n"/>
      <c r="I145" s="108" t="n"/>
      <c r="J145" s="108" t="n"/>
      <c r="K145" s="48" t="n"/>
    </row>
    <row r="146" hidden="1" ht="15.75" customHeight="1" s="236">
      <c r="A146" s="11" t="n"/>
      <c r="B146" s="11" t="n"/>
      <c r="C146" s="11" t="n"/>
      <c r="D146" s="11" t="n"/>
      <c r="E146" s="11" t="n"/>
      <c r="F146" s="11" t="n"/>
      <c r="G146" s="108" t="n"/>
      <c r="H146" s="108" t="n"/>
      <c r="I146" s="108" t="n"/>
      <c r="J146" s="108" t="n"/>
      <c r="K146" s="48" t="n"/>
    </row>
    <row r="147" hidden="1" ht="15.75" customHeight="1" s="236">
      <c r="A147" s="11" t="n"/>
      <c r="B147" s="11" t="n"/>
      <c r="C147" s="11" t="n"/>
      <c r="D147" s="11" t="n"/>
      <c r="E147" s="11" t="n"/>
      <c r="F147" s="11" t="n"/>
      <c r="G147" s="108" t="n"/>
      <c r="H147" s="108" t="n"/>
      <c r="I147" s="108" t="n"/>
      <c r="J147" s="108" t="n"/>
      <c r="K147" s="48" t="n"/>
    </row>
    <row r="148" hidden="1" ht="15.75" customHeight="1" s="236">
      <c r="A148" s="11" t="n"/>
      <c r="B148" s="11" t="n"/>
      <c r="C148" s="11" t="n"/>
      <c r="D148" s="11" t="n"/>
      <c r="E148" s="11" t="n"/>
      <c r="F148" s="11" t="n"/>
      <c r="G148" s="108" t="n"/>
      <c r="H148" s="108" t="n"/>
      <c r="I148" s="108" t="n"/>
      <c r="J148" s="108" t="n"/>
      <c r="K148" s="48" t="n"/>
    </row>
    <row r="149" hidden="1" ht="15.75" customHeight="1" s="236">
      <c r="A149" s="11" t="n"/>
      <c r="B149" s="11" t="n"/>
      <c r="C149" s="11" t="n"/>
      <c r="D149" s="11" t="n"/>
      <c r="E149" s="11" t="n"/>
      <c r="F149" s="11" t="n"/>
      <c r="G149" s="108" t="n"/>
      <c r="H149" s="108" t="n"/>
      <c r="I149" s="108" t="n"/>
      <c r="J149" s="108" t="n"/>
      <c r="K149" s="48" t="n"/>
    </row>
    <row r="150" hidden="1" ht="15.75" customHeight="1" s="236">
      <c r="A150" s="11" t="n"/>
      <c r="B150" s="11" t="n"/>
      <c r="C150" s="11" t="n"/>
      <c r="D150" s="11" t="n"/>
      <c r="E150" s="11" t="n"/>
      <c r="F150" s="11" t="n"/>
      <c r="G150" s="108" t="n"/>
      <c r="H150" s="108" t="n"/>
      <c r="I150" s="108" t="n"/>
      <c r="J150" s="108" t="n"/>
      <c r="K150" s="48" t="n"/>
    </row>
    <row r="151" hidden="1" ht="15.75" customHeight="1" s="236">
      <c r="A151" s="11" t="n"/>
      <c r="B151" s="11" t="n"/>
      <c r="C151" s="11" t="n"/>
      <c r="D151" s="11" t="n"/>
      <c r="E151" s="11" t="n"/>
      <c r="F151" s="11" t="n"/>
      <c r="G151" s="108" t="n"/>
      <c r="H151" s="108" t="n"/>
      <c r="I151" s="108" t="n"/>
      <c r="J151" s="108" t="n"/>
      <c r="K151" s="48" t="n"/>
    </row>
    <row r="152" hidden="1" ht="15.75" customHeight="1" s="236">
      <c r="A152" s="11" t="n"/>
      <c r="B152" s="11" t="n"/>
      <c r="C152" s="11" t="n"/>
      <c r="D152" s="11" t="n"/>
      <c r="E152" s="11" t="n"/>
      <c r="F152" s="11" t="n"/>
      <c r="G152" s="108" t="n"/>
      <c r="H152" s="108" t="n"/>
      <c r="I152" s="108" t="n"/>
      <c r="J152" s="108" t="n"/>
      <c r="K152" s="48" t="n"/>
    </row>
    <row r="153" hidden="1" ht="15.75" customHeight="1" s="236">
      <c r="A153" s="11" t="n"/>
      <c r="B153" s="11" t="n"/>
      <c r="C153" s="11" t="n"/>
      <c r="D153" s="11" t="n"/>
      <c r="E153" s="11" t="n"/>
      <c r="F153" s="11" t="n"/>
      <c r="G153" s="108" t="n"/>
      <c r="H153" s="108" t="n"/>
      <c r="I153" s="108" t="n"/>
      <c r="J153" s="108" t="n"/>
      <c r="K153" s="48" t="n"/>
    </row>
    <row r="154" hidden="1" ht="15.75" customHeight="1" s="236">
      <c r="A154" s="11" t="n"/>
      <c r="B154" s="11" t="n"/>
      <c r="C154" s="11" t="n"/>
      <c r="D154" s="11" t="n"/>
      <c r="E154" s="11" t="n"/>
      <c r="F154" s="11" t="n"/>
      <c r="G154" s="108" t="n"/>
      <c r="H154" s="108" t="n"/>
      <c r="I154" s="108" t="n"/>
      <c r="J154" s="108" t="n"/>
      <c r="K154" s="48" t="n"/>
    </row>
    <row r="155" hidden="1" ht="15.75" customHeight="1" s="236">
      <c r="A155" s="11" t="n"/>
      <c r="B155" s="11" t="n"/>
      <c r="C155" s="11" t="n"/>
      <c r="D155" s="11" t="n"/>
      <c r="E155" s="11" t="n"/>
      <c r="F155" s="11" t="n"/>
      <c r="G155" s="108" t="n"/>
      <c r="H155" s="108" t="n"/>
      <c r="I155" s="108" t="n"/>
      <c r="J155" s="108" t="n"/>
      <c r="K155" s="48" t="n"/>
    </row>
    <row r="156" hidden="1" ht="15.75" customHeight="1" s="236">
      <c r="A156" s="11" t="n"/>
      <c r="B156" s="11" t="n"/>
      <c r="C156" s="11" t="n"/>
      <c r="D156" s="11" t="n"/>
      <c r="E156" s="11" t="n"/>
      <c r="F156" s="11" t="n"/>
      <c r="G156" s="108" t="n"/>
      <c r="H156" s="108" t="n"/>
      <c r="I156" s="108" t="n"/>
      <c r="J156" s="108" t="n"/>
      <c r="K156" s="48" t="n"/>
    </row>
    <row r="157" hidden="1" ht="15.75" customHeight="1" s="236">
      <c r="A157" s="11" t="n"/>
      <c r="B157" s="11" t="n"/>
      <c r="C157" s="11" t="n"/>
      <c r="D157" s="11" t="n"/>
      <c r="E157" s="11" t="n"/>
      <c r="F157" s="11" t="n"/>
      <c r="G157" s="108" t="n"/>
      <c r="H157" s="108" t="n"/>
      <c r="I157" s="108" t="n"/>
      <c r="J157" s="108" t="n"/>
      <c r="K157" s="48" t="n"/>
    </row>
    <row r="158" hidden="1" ht="15.75" customHeight="1" s="236">
      <c r="A158" s="11" t="n"/>
      <c r="B158" s="11" t="n"/>
      <c r="C158" s="11" t="n"/>
      <c r="D158" s="11" t="n"/>
      <c r="E158" s="11" t="n"/>
      <c r="F158" s="11" t="n"/>
      <c r="G158" s="108" t="n"/>
      <c r="H158" s="108" t="n"/>
      <c r="I158" s="108" t="n"/>
      <c r="J158" s="108" t="n"/>
      <c r="K158" s="48" t="n"/>
    </row>
    <row r="159" hidden="1" ht="15.75" customHeight="1" s="236">
      <c r="A159" s="11" t="n"/>
      <c r="B159" s="11" t="n"/>
      <c r="C159" s="11" t="n"/>
      <c r="D159" s="11" t="n"/>
      <c r="E159" s="11" t="n"/>
      <c r="F159" s="11" t="n"/>
      <c r="G159" s="108" t="n"/>
      <c r="H159" s="108" t="n"/>
      <c r="I159" s="108" t="n"/>
      <c r="J159" s="108" t="n"/>
      <c r="K159" s="48" t="n"/>
    </row>
    <row r="160" hidden="1" ht="15.75" customHeight="1" s="236">
      <c r="A160" s="11" t="n"/>
      <c r="B160" s="11" t="n"/>
      <c r="C160" s="11" t="n"/>
      <c r="D160" s="11" t="n"/>
      <c r="E160" s="11" t="n"/>
      <c r="F160" s="11" t="n"/>
      <c r="G160" s="108" t="n"/>
      <c r="H160" s="108" t="n"/>
      <c r="I160" s="108" t="n"/>
      <c r="J160" s="108" t="n"/>
      <c r="K160" s="48" t="n"/>
    </row>
    <row r="161" hidden="1" ht="15.75" customHeight="1" s="236">
      <c r="A161" s="11" t="n"/>
      <c r="B161" s="11" t="n"/>
      <c r="C161" s="11" t="n"/>
      <c r="D161" s="11" t="n"/>
      <c r="E161" s="11" t="n"/>
      <c r="F161" s="11" t="n"/>
      <c r="G161" s="108" t="n"/>
      <c r="H161" s="108" t="n"/>
      <c r="I161" s="108" t="n"/>
      <c r="J161" s="108" t="n"/>
      <c r="K161" s="48" t="n"/>
    </row>
    <row r="162" hidden="1" ht="15.75" customHeight="1" s="236">
      <c r="A162" s="11" t="n"/>
      <c r="B162" s="11" t="n"/>
      <c r="C162" s="11" t="n"/>
      <c r="D162" s="11" t="n"/>
      <c r="E162" s="11" t="n"/>
      <c r="F162" s="11" t="n"/>
      <c r="G162" s="108" t="n"/>
      <c r="H162" s="108" t="n"/>
      <c r="I162" s="108" t="n"/>
      <c r="J162" s="108" t="n"/>
      <c r="K162" s="48" t="n"/>
    </row>
    <row r="163" hidden="1" ht="15.75" customHeight="1" s="236">
      <c r="A163" s="11" t="n"/>
      <c r="B163" s="11" t="n"/>
      <c r="C163" s="11" t="n"/>
      <c r="D163" s="11" t="n"/>
      <c r="E163" s="11" t="n"/>
      <c r="F163" s="11" t="n"/>
      <c r="G163" s="108" t="n"/>
      <c r="H163" s="108" t="n"/>
      <c r="I163" s="108" t="n"/>
      <c r="J163" s="108" t="n"/>
      <c r="K163" s="48" t="n"/>
    </row>
    <row r="164" hidden="1" ht="15.75" customHeight="1" s="236">
      <c r="A164" s="11" t="n"/>
      <c r="B164" s="11" t="n"/>
      <c r="C164" s="11" t="n"/>
      <c r="D164" s="11" t="n"/>
      <c r="E164" s="11" t="n"/>
      <c r="F164" s="11" t="n"/>
      <c r="G164" s="108" t="n"/>
      <c r="H164" s="108" t="n"/>
      <c r="I164" s="108" t="n"/>
      <c r="J164" s="108" t="n"/>
      <c r="K164" s="48" t="n"/>
    </row>
    <row r="165" hidden="1" ht="15.75" customHeight="1" s="236">
      <c r="A165" s="11" t="n"/>
      <c r="B165" s="11" t="n"/>
      <c r="C165" s="11" t="n"/>
      <c r="D165" s="11" t="n"/>
      <c r="E165" s="11" t="n"/>
      <c r="F165" s="11" t="n"/>
      <c r="G165" s="108" t="n"/>
      <c r="H165" s="108" t="n"/>
      <c r="I165" s="108" t="n"/>
      <c r="J165" s="108" t="n"/>
      <c r="K165" s="48" t="n"/>
    </row>
    <row r="166" hidden="1" ht="15.75" customHeight="1" s="236">
      <c r="A166" s="11" t="n"/>
      <c r="B166" s="11" t="n"/>
      <c r="C166" s="11" t="n"/>
      <c r="D166" s="11" t="n"/>
      <c r="E166" s="11" t="n"/>
      <c r="F166" s="11" t="n"/>
      <c r="G166" s="108" t="n"/>
      <c r="H166" s="108" t="n"/>
      <c r="I166" s="108" t="n"/>
      <c r="J166" s="108" t="n"/>
      <c r="K166" s="48" t="n"/>
    </row>
    <row r="167" hidden="1" ht="15.75" customHeight="1" s="236">
      <c r="A167" s="11" t="n"/>
      <c r="B167" s="11" t="n"/>
      <c r="C167" s="11" t="n"/>
      <c r="D167" s="11" t="n"/>
      <c r="E167" s="11" t="n"/>
      <c r="F167" s="11" t="n"/>
      <c r="G167" s="108" t="n"/>
      <c r="H167" s="108" t="n"/>
      <c r="I167" s="108" t="n"/>
      <c r="J167" s="108" t="n"/>
      <c r="K167" s="48" t="n"/>
    </row>
    <row r="168" hidden="1" ht="15.75" customHeight="1" s="236">
      <c r="A168" s="11" t="n"/>
      <c r="B168" s="11" t="n"/>
      <c r="C168" s="11" t="n"/>
      <c r="D168" s="11" t="n"/>
      <c r="E168" s="11" t="n"/>
      <c r="F168" s="11" t="n"/>
      <c r="G168" s="108" t="n"/>
      <c r="H168" s="108" t="n"/>
      <c r="I168" s="108" t="n"/>
      <c r="J168" s="108" t="n"/>
      <c r="K168" s="48" t="n"/>
    </row>
    <row r="169" hidden="1" ht="15.75" customHeight="1" s="236">
      <c r="A169" s="11" t="n"/>
      <c r="B169" s="11" t="n"/>
      <c r="C169" s="11" t="n"/>
      <c r="D169" s="11" t="n"/>
      <c r="E169" s="11" t="n"/>
      <c r="F169" s="11" t="n"/>
      <c r="G169" s="108" t="n"/>
      <c r="H169" s="108" t="n"/>
      <c r="I169" s="108" t="n"/>
      <c r="J169" s="108" t="n"/>
      <c r="K169" s="48" t="n"/>
    </row>
    <row r="170" hidden="1" ht="15.75" customHeight="1" s="236">
      <c r="A170" s="11" t="n"/>
      <c r="B170" s="11" t="n"/>
      <c r="C170" s="11" t="n"/>
      <c r="D170" s="11" t="n"/>
      <c r="E170" s="11" t="n"/>
      <c r="F170" s="11" t="n"/>
      <c r="G170" s="108" t="n"/>
      <c r="H170" s="108" t="n"/>
      <c r="I170" s="108" t="n"/>
      <c r="J170" s="108" t="n"/>
      <c r="K170" s="48" t="n"/>
    </row>
    <row r="171" hidden="1" ht="15.75" customHeight="1" s="236">
      <c r="A171" s="11" t="n"/>
      <c r="B171" s="11" t="n"/>
      <c r="C171" s="11" t="n"/>
      <c r="D171" s="11" t="n"/>
      <c r="E171" s="11" t="n"/>
      <c r="F171" s="11" t="n"/>
      <c r="G171" s="108" t="n"/>
      <c r="H171" s="108" t="n"/>
      <c r="I171" s="108" t="n"/>
      <c r="J171" s="108" t="n"/>
      <c r="K171" s="48" t="n"/>
    </row>
    <row r="172" hidden="1" ht="15.75" customHeight="1" s="236">
      <c r="A172" s="11" t="n"/>
      <c r="B172" s="11" t="n"/>
      <c r="C172" s="11" t="n"/>
      <c r="D172" s="11" t="n"/>
      <c r="E172" s="11" t="n"/>
      <c r="F172" s="11" t="n"/>
      <c r="G172" s="108" t="n"/>
      <c r="H172" s="108" t="n"/>
      <c r="I172" s="108" t="n"/>
      <c r="J172" s="108" t="n"/>
      <c r="K172" s="48" t="n"/>
    </row>
    <row r="173" hidden="1" ht="15.75" customHeight="1" s="236">
      <c r="A173" s="11" t="n"/>
      <c r="B173" s="11" t="n"/>
      <c r="C173" s="11" t="n"/>
      <c r="D173" s="11" t="n"/>
      <c r="E173" s="11" t="n"/>
      <c r="F173" s="11" t="n"/>
      <c r="G173" s="108" t="n"/>
      <c r="H173" s="108" t="n"/>
      <c r="I173" s="108" t="n"/>
      <c r="J173" s="108" t="n"/>
      <c r="K173" s="48" t="n"/>
    </row>
    <row r="174" hidden="1" ht="15.75" customHeight="1" s="236">
      <c r="A174" s="11" t="n"/>
      <c r="B174" s="11" t="n"/>
      <c r="C174" s="11" t="n"/>
      <c r="D174" s="11" t="n"/>
      <c r="E174" s="11" t="n"/>
      <c r="F174" s="11" t="n"/>
      <c r="G174" s="108" t="n"/>
      <c r="H174" s="108" t="n"/>
      <c r="I174" s="108" t="n"/>
      <c r="J174" s="108" t="n"/>
      <c r="K174" s="48" t="n"/>
    </row>
    <row r="175" hidden="1" ht="15.75" customHeight="1" s="236">
      <c r="A175" s="11" t="n"/>
      <c r="B175" s="11" t="n"/>
      <c r="C175" s="11" t="n"/>
      <c r="D175" s="11" t="n"/>
      <c r="E175" s="11" t="n"/>
      <c r="F175" s="11" t="n"/>
      <c r="G175" s="108" t="n"/>
      <c r="H175" s="108" t="n"/>
      <c r="I175" s="108" t="n"/>
      <c r="J175" s="108" t="n"/>
      <c r="K175" s="48" t="n"/>
    </row>
    <row r="176" hidden="1" ht="15.75" customHeight="1" s="236">
      <c r="A176" s="11" t="n"/>
      <c r="B176" s="11" t="n"/>
      <c r="C176" s="11" t="n"/>
      <c r="D176" s="11" t="n"/>
      <c r="E176" s="11" t="n"/>
      <c r="F176" s="11" t="n"/>
      <c r="G176" s="108" t="n"/>
      <c r="H176" s="108" t="n"/>
      <c r="I176" s="108" t="n"/>
      <c r="J176" s="108" t="n"/>
      <c r="K176" s="48" t="n"/>
    </row>
    <row r="177" hidden="1" ht="15.75" customHeight="1" s="236">
      <c r="A177" s="11" t="n"/>
      <c r="B177" s="11" t="n"/>
      <c r="C177" s="11" t="n"/>
      <c r="D177" s="11" t="n"/>
      <c r="E177" s="11" t="n"/>
      <c r="F177" s="11" t="n"/>
      <c r="G177" s="108" t="n"/>
      <c r="H177" s="108" t="n"/>
      <c r="I177" s="108" t="n"/>
      <c r="J177" s="108" t="n"/>
      <c r="K177" s="48" t="n"/>
    </row>
    <row r="178" hidden="1" ht="15.75" customHeight="1" s="236">
      <c r="A178" s="11" t="n"/>
      <c r="B178" s="11" t="n"/>
      <c r="C178" s="11" t="n"/>
      <c r="D178" s="11" t="n"/>
      <c r="E178" s="11" t="n"/>
      <c r="F178" s="11" t="n"/>
      <c r="G178" s="108" t="n"/>
      <c r="H178" s="108" t="n"/>
      <c r="I178" s="108" t="n"/>
      <c r="J178" s="108" t="n"/>
      <c r="K178" s="48" t="n"/>
    </row>
    <row r="179" hidden="1" ht="15.75" customHeight="1" s="236">
      <c r="A179" s="11" t="n"/>
      <c r="B179" s="11" t="n"/>
      <c r="C179" s="11" t="n"/>
      <c r="D179" s="11" t="n"/>
      <c r="E179" s="11" t="n"/>
      <c r="F179" s="11" t="n"/>
      <c r="G179" s="108" t="n"/>
      <c r="H179" s="108" t="n"/>
      <c r="I179" s="108" t="n"/>
      <c r="J179" s="108" t="n"/>
      <c r="K179" s="48" t="n"/>
    </row>
    <row r="180" hidden="1" ht="15.75" customHeight="1" s="236">
      <c r="A180" s="11" t="n"/>
      <c r="B180" s="11" t="n"/>
      <c r="C180" s="11" t="n"/>
      <c r="D180" s="11" t="n"/>
      <c r="E180" s="11" t="n"/>
      <c r="F180" s="11" t="n"/>
      <c r="G180" s="108" t="n"/>
      <c r="H180" s="108" t="n"/>
      <c r="I180" s="108" t="n"/>
      <c r="J180" s="108" t="n"/>
      <c r="K180" s="48" t="n"/>
    </row>
    <row r="181" hidden="1" ht="15.75" customHeight="1" s="236">
      <c r="A181" s="11" t="n"/>
      <c r="B181" s="11" t="n"/>
      <c r="C181" s="11" t="n"/>
      <c r="D181" s="11" t="n"/>
      <c r="E181" s="11" t="n"/>
      <c r="F181" s="11" t="n"/>
      <c r="G181" s="108" t="n"/>
      <c r="H181" s="108" t="n"/>
      <c r="I181" s="108" t="n"/>
      <c r="J181" s="108" t="n"/>
      <c r="K181" s="48" t="n"/>
    </row>
    <row r="182" hidden="1" ht="15.75" customHeight="1" s="236">
      <c r="A182" s="11" t="n"/>
      <c r="B182" s="11" t="n"/>
      <c r="C182" s="11" t="n"/>
      <c r="D182" s="11" t="n"/>
      <c r="E182" s="11" t="n"/>
      <c r="F182" s="11" t="n"/>
      <c r="G182" s="108" t="n"/>
      <c r="H182" s="108" t="n"/>
      <c r="I182" s="108" t="n"/>
      <c r="J182" s="108" t="n"/>
      <c r="K182" s="48" t="n"/>
    </row>
    <row r="183" hidden="1" ht="15.75" customHeight="1" s="236">
      <c r="A183" s="11" t="n"/>
      <c r="B183" s="11" t="n"/>
      <c r="C183" s="11" t="n"/>
      <c r="D183" s="11" t="n"/>
      <c r="E183" s="11" t="n"/>
      <c r="F183" s="11" t="n"/>
      <c r="G183" s="108" t="n"/>
      <c r="H183" s="108" t="n"/>
      <c r="I183" s="108" t="n"/>
      <c r="J183" s="108" t="n"/>
      <c r="K183" s="48" t="n"/>
    </row>
    <row r="184" hidden="1" ht="15.75" customHeight="1" s="236">
      <c r="A184" s="11" t="n"/>
      <c r="B184" s="11" t="n"/>
      <c r="C184" s="11" t="n"/>
      <c r="D184" s="11" t="n"/>
      <c r="E184" s="11" t="n"/>
      <c r="F184" s="11" t="n"/>
      <c r="G184" s="108" t="n"/>
      <c r="H184" s="108" t="n"/>
      <c r="I184" s="108" t="n"/>
      <c r="J184" s="108" t="n"/>
      <c r="K184" s="48" t="n"/>
    </row>
    <row r="185" hidden="1" ht="15.75" customHeight="1" s="236">
      <c r="A185" s="11" t="n"/>
      <c r="B185" s="11" t="n"/>
      <c r="C185" s="11" t="n"/>
      <c r="D185" s="11" t="n"/>
      <c r="E185" s="11" t="n"/>
      <c r="F185" s="11" t="n"/>
      <c r="G185" s="108" t="n"/>
      <c r="H185" s="108" t="n"/>
      <c r="I185" s="108" t="n"/>
      <c r="J185" s="108" t="n"/>
      <c r="K185" s="48" t="n"/>
    </row>
    <row r="186" hidden="1" ht="15.75" customHeight="1" s="236">
      <c r="A186" s="11" t="n"/>
      <c r="B186" s="11" t="n"/>
      <c r="C186" s="11" t="n"/>
      <c r="D186" s="11" t="n"/>
      <c r="E186" s="11" t="n"/>
      <c r="F186" s="11" t="n"/>
      <c r="G186" s="108" t="n"/>
      <c r="H186" s="108" t="n"/>
      <c r="I186" s="108" t="n"/>
      <c r="J186" s="108" t="n"/>
      <c r="K186" s="48" t="n"/>
    </row>
    <row r="187" hidden="1" ht="15.75" customHeight="1" s="236">
      <c r="A187" s="11" t="n"/>
      <c r="B187" s="11" t="n"/>
      <c r="C187" s="11" t="n"/>
      <c r="D187" s="11" t="n"/>
      <c r="E187" s="11" t="n"/>
      <c r="F187" s="11" t="n"/>
      <c r="G187" s="108" t="n"/>
      <c r="H187" s="108" t="n"/>
      <c r="I187" s="108" t="n"/>
      <c r="J187" s="108" t="n"/>
      <c r="K187" s="48" t="n"/>
    </row>
    <row r="188" hidden="1" ht="15.75" customHeight="1" s="236">
      <c r="A188" s="11" t="n"/>
      <c r="B188" s="11" t="n"/>
      <c r="C188" s="11" t="n"/>
      <c r="D188" s="11" t="n"/>
      <c r="E188" s="11" t="n"/>
      <c r="F188" s="11" t="n"/>
      <c r="G188" s="108" t="n"/>
      <c r="H188" s="108" t="n"/>
      <c r="I188" s="108" t="n"/>
      <c r="J188" s="108" t="n"/>
      <c r="K188" s="48" t="n"/>
    </row>
    <row r="189" hidden="1" ht="15.75" customHeight="1" s="236">
      <c r="A189" s="11" t="n"/>
      <c r="B189" s="11" t="n"/>
      <c r="C189" s="11" t="n"/>
      <c r="D189" s="11" t="n"/>
      <c r="E189" s="11" t="n"/>
      <c r="F189" s="11" t="n"/>
      <c r="G189" s="108" t="n"/>
      <c r="H189" s="108" t="n"/>
      <c r="I189" s="108" t="n"/>
      <c r="J189" s="108" t="n"/>
      <c r="K189" s="48" t="n"/>
    </row>
    <row r="190" hidden="1" ht="15.75" customHeight="1" s="236">
      <c r="A190" s="11" t="n"/>
      <c r="B190" s="11" t="n"/>
      <c r="C190" s="11" t="n"/>
      <c r="D190" s="11" t="n"/>
      <c r="E190" s="11" t="n"/>
      <c r="F190" s="11" t="n"/>
      <c r="G190" s="108" t="n"/>
      <c r="H190" s="108" t="n"/>
      <c r="I190" s="108" t="n"/>
      <c r="J190" s="108" t="n"/>
      <c r="K190" s="48" t="n"/>
    </row>
    <row r="191" hidden="1" ht="15.75" customHeight="1" s="236">
      <c r="A191" s="11" t="n"/>
      <c r="B191" s="11" t="n"/>
      <c r="C191" s="11" t="n"/>
      <c r="D191" s="11" t="n"/>
      <c r="E191" s="11" t="n"/>
      <c r="F191" s="11" t="n"/>
      <c r="G191" s="108" t="n"/>
      <c r="H191" s="108" t="n"/>
      <c r="I191" s="108" t="n"/>
      <c r="J191" s="108" t="n"/>
      <c r="K191" s="48" t="n"/>
    </row>
    <row r="192" hidden="1" ht="15.75" customHeight="1" s="236">
      <c r="A192" s="11" t="n"/>
      <c r="B192" s="11" t="n"/>
      <c r="C192" s="11" t="n"/>
      <c r="D192" s="11" t="n"/>
      <c r="E192" s="11" t="n"/>
      <c r="F192" s="11" t="n"/>
      <c r="G192" s="108" t="n"/>
      <c r="H192" s="108" t="n"/>
      <c r="I192" s="108" t="n"/>
      <c r="J192" s="108" t="n"/>
      <c r="K192" s="48" t="n"/>
    </row>
    <row r="193" hidden="1" ht="15.75" customHeight="1" s="236">
      <c r="A193" s="11" t="n"/>
      <c r="B193" s="11" t="n"/>
      <c r="C193" s="11" t="n"/>
      <c r="D193" s="11" t="n"/>
      <c r="E193" s="11" t="n"/>
      <c r="F193" s="11" t="n"/>
      <c r="G193" s="108" t="n"/>
      <c r="H193" s="108" t="n"/>
      <c r="I193" s="108" t="n"/>
      <c r="J193" s="108" t="n"/>
      <c r="K193" s="48" t="n"/>
    </row>
    <row r="194" hidden="1" ht="15.75" customHeight="1" s="236">
      <c r="A194" s="11" t="n"/>
      <c r="B194" s="11" t="n"/>
      <c r="C194" s="11" t="n"/>
      <c r="D194" s="11" t="n"/>
      <c r="E194" s="11" t="n"/>
      <c r="F194" s="11" t="n"/>
      <c r="G194" s="108" t="n"/>
      <c r="H194" s="108" t="n"/>
      <c r="I194" s="108" t="n"/>
      <c r="J194" s="108" t="n"/>
      <c r="K194" s="48" t="n"/>
    </row>
    <row r="195" hidden="1" ht="15.75" customHeight="1" s="236">
      <c r="A195" s="11" t="n"/>
      <c r="B195" s="11" t="n"/>
      <c r="C195" s="11" t="n"/>
      <c r="D195" s="11" t="n"/>
      <c r="E195" s="11" t="n"/>
      <c r="F195" s="11" t="n"/>
      <c r="G195" s="108" t="n"/>
      <c r="H195" s="108" t="n"/>
      <c r="I195" s="108" t="n"/>
      <c r="J195" s="108" t="n"/>
      <c r="K195" s="48" t="n"/>
    </row>
    <row r="196" hidden="1" ht="15.75" customHeight="1" s="236">
      <c r="A196" s="11" t="n"/>
      <c r="B196" s="11" t="n"/>
      <c r="C196" s="11" t="n"/>
      <c r="D196" s="11" t="n"/>
      <c r="E196" s="11" t="n"/>
      <c r="F196" s="11" t="n"/>
      <c r="G196" s="108" t="n"/>
      <c r="H196" s="108" t="n"/>
      <c r="I196" s="108" t="n"/>
      <c r="J196" s="108" t="n"/>
      <c r="K196" s="48" t="n"/>
    </row>
    <row r="197" hidden="1" ht="15.75" customHeight="1" s="236">
      <c r="A197" s="11" t="n"/>
      <c r="B197" s="11" t="n"/>
      <c r="C197" s="11" t="n"/>
      <c r="D197" s="11" t="n"/>
      <c r="E197" s="11" t="n"/>
      <c r="F197" s="11" t="n"/>
      <c r="G197" s="108" t="n"/>
      <c r="H197" s="108" t="n"/>
      <c r="I197" s="108" t="n"/>
      <c r="J197" s="108" t="n"/>
      <c r="K197" s="48" t="n"/>
    </row>
    <row r="198" hidden="1" ht="15.75" customHeight="1" s="236">
      <c r="A198" s="11" t="n"/>
      <c r="B198" s="11" t="n"/>
      <c r="C198" s="11" t="n"/>
      <c r="D198" s="11" t="n"/>
      <c r="E198" s="11" t="n"/>
      <c r="F198" s="11" t="n"/>
      <c r="G198" s="108" t="n"/>
      <c r="H198" s="108" t="n"/>
      <c r="I198" s="108" t="n"/>
      <c r="J198" s="108" t="n"/>
      <c r="K198" s="48" t="n"/>
    </row>
    <row r="199" hidden="1" ht="15.75" customHeight="1" s="236">
      <c r="A199" s="11" t="n"/>
      <c r="B199" s="11" t="n"/>
      <c r="C199" s="11" t="n"/>
      <c r="D199" s="11" t="n"/>
      <c r="E199" s="11" t="n"/>
      <c r="F199" s="11" t="n"/>
      <c r="G199" s="108" t="n"/>
      <c r="H199" s="108" t="n"/>
      <c r="I199" s="108" t="n"/>
      <c r="J199" s="108" t="n"/>
      <c r="K199" s="48" t="n"/>
    </row>
    <row r="200" hidden="1" ht="15.75" customHeight="1" s="236">
      <c r="A200" s="11" t="n"/>
      <c r="B200" s="11" t="n"/>
      <c r="C200" s="11" t="n"/>
      <c r="D200" s="11" t="n"/>
      <c r="E200" s="11" t="n"/>
      <c r="F200" s="11" t="n"/>
      <c r="G200" s="108" t="n"/>
      <c r="H200" s="108" t="n"/>
      <c r="I200" s="108" t="n"/>
      <c r="J200" s="108" t="n"/>
      <c r="K200" s="48" t="n"/>
    </row>
    <row r="201" hidden="1" ht="15.75" customHeight="1" s="236">
      <c r="A201" s="11" t="n"/>
      <c r="B201" s="11" t="n"/>
      <c r="C201" s="11" t="n"/>
      <c r="D201" s="11" t="n"/>
      <c r="E201" s="11" t="n"/>
      <c r="F201" s="11" t="n"/>
      <c r="G201" s="108" t="n"/>
      <c r="H201" s="108" t="n"/>
      <c r="I201" s="108" t="n"/>
      <c r="J201" s="108" t="n"/>
      <c r="K201" s="48" t="n"/>
    </row>
    <row r="202" hidden="1" ht="15.75" customHeight="1" s="236">
      <c r="A202" s="11" t="n"/>
      <c r="B202" s="11" t="n"/>
      <c r="C202" s="11" t="n"/>
      <c r="D202" s="11" t="n"/>
      <c r="E202" s="11" t="n"/>
      <c r="F202" s="11" t="n"/>
      <c r="G202" s="108" t="n"/>
      <c r="H202" s="108" t="n"/>
      <c r="I202" s="108" t="n"/>
      <c r="J202" s="108" t="n"/>
      <c r="K202" s="48" t="n"/>
    </row>
    <row r="203" hidden="1" ht="15.75" customHeight="1" s="236">
      <c r="A203" s="11" t="n"/>
      <c r="B203" s="11" t="n"/>
      <c r="C203" s="11" t="n"/>
      <c r="D203" s="11" t="n"/>
      <c r="E203" s="11" t="n"/>
      <c r="F203" s="11" t="n"/>
      <c r="G203" s="108" t="n"/>
      <c r="H203" s="108" t="n"/>
      <c r="I203" s="108" t="n"/>
      <c r="J203" s="108" t="n"/>
      <c r="K203" s="48" t="n"/>
    </row>
    <row r="204" hidden="1" ht="15.75" customHeight="1" s="236">
      <c r="A204" s="11" t="n"/>
      <c r="B204" s="11" t="n"/>
      <c r="C204" s="11" t="n"/>
      <c r="D204" s="11" t="n"/>
      <c r="E204" s="11" t="n"/>
      <c r="F204" s="11" t="n"/>
      <c r="G204" s="108" t="n"/>
      <c r="H204" s="108" t="n"/>
      <c r="I204" s="108" t="n"/>
      <c r="J204" s="108" t="n"/>
      <c r="K204" s="48" t="n"/>
    </row>
    <row r="205" hidden="1" ht="15.75" customHeight="1" s="236">
      <c r="A205" s="11" t="n"/>
      <c r="B205" s="11" t="n"/>
      <c r="C205" s="11" t="n"/>
      <c r="D205" s="11" t="n"/>
      <c r="E205" s="11" t="n"/>
      <c r="F205" s="11" t="n"/>
      <c r="G205" s="108" t="n"/>
      <c r="H205" s="108" t="n"/>
      <c r="I205" s="108" t="n"/>
      <c r="J205" s="108" t="n"/>
      <c r="K205" s="48" t="n"/>
    </row>
    <row r="206" hidden="1" ht="15.75" customHeight="1" s="236">
      <c r="A206" s="11" t="n"/>
      <c r="B206" s="11" t="n"/>
      <c r="C206" s="11" t="n"/>
      <c r="D206" s="11" t="n"/>
      <c r="E206" s="11" t="n"/>
      <c r="F206" s="11" t="n"/>
      <c r="G206" s="108" t="n"/>
      <c r="H206" s="108" t="n"/>
      <c r="I206" s="108" t="n"/>
      <c r="J206" s="108" t="n"/>
      <c r="K206" s="48" t="n"/>
    </row>
    <row r="207" hidden="1" ht="15.75" customHeight="1" s="236">
      <c r="A207" s="11" t="n"/>
      <c r="B207" s="11" t="n"/>
      <c r="C207" s="11" t="n"/>
      <c r="D207" s="11" t="n"/>
      <c r="E207" s="11" t="n"/>
      <c r="F207" s="11" t="n"/>
      <c r="G207" s="108" t="n"/>
      <c r="H207" s="108" t="n"/>
      <c r="I207" s="108" t="n"/>
      <c r="J207" s="108" t="n"/>
      <c r="K207" s="48" t="n"/>
    </row>
    <row r="208" hidden="1" ht="15.75" customHeight="1" s="236">
      <c r="A208" s="11" t="n"/>
      <c r="B208" s="11" t="n"/>
      <c r="C208" s="11" t="n"/>
      <c r="D208" s="11" t="n"/>
      <c r="E208" s="11" t="n"/>
      <c r="F208" s="11" t="n"/>
      <c r="G208" s="108" t="n"/>
      <c r="H208" s="108" t="n"/>
      <c r="I208" s="108" t="n"/>
      <c r="J208" s="108" t="n"/>
      <c r="K208" s="48" t="n"/>
    </row>
    <row r="209" hidden="1" ht="15.75" customHeight="1" s="236">
      <c r="A209" s="11" t="n"/>
      <c r="B209" s="11" t="n"/>
      <c r="C209" s="11" t="n"/>
      <c r="D209" s="11" t="n"/>
      <c r="E209" s="11" t="n"/>
      <c r="F209" s="11" t="n"/>
      <c r="G209" s="108" t="n"/>
      <c r="H209" s="108" t="n"/>
      <c r="I209" s="108" t="n"/>
      <c r="J209" s="108" t="n"/>
      <c r="K209" s="48" t="n"/>
    </row>
    <row r="210" hidden="1" ht="15.75" customHeight="1" s="236">
      <c r="A210" s="11" t="n"/>
      <c r="B210" s="11" t="n"/>
      <c r="C210" s="11" t="n"/>
      <c r="D210" s="11" t="n"/>
      <c r="E210" s="11" t="n"/>
      <c r="F210" s="11" t="n"/>
      <c r="G210" s="108" t="n"/>
      <c r="H210" s="108" t="n"/>
      <c r="I210" s="108" t="n"/>
      <c r="J210" s="108" t="n"/>
      <c r="K210" s="48" t="n"/>
    </row>
    <row r="211" hidden="1" ht="15.75" customHeight="1" s="236">
      <c r="A211" s="11" t="n"/>
      <c r="B211" s="11" t="n"/>
      <c r="C211" s="11" t="n"/>
      <c r="D211" s="11" t="n"/>
      <c r="E211" s="11" t="n"/>
      <c r="F211" s="11" t="n"/>
      <c r="G211" s="108" t="n"/>
      <c r="H211" s="108" t="n"/>
      <c r="I211" s="108" t="n"/>
      <c r="J211" s="108" t="n"/>
      <c r="K211" s="48" t="n"/>
    </row>
    <row r="212" hidden="1" ht="15.75" customHeight="1" s="236">
      <c r="A212" s="11" t="n"/>
      <c r="B212" s="11" t="n"/>
      <c r="C212" s="11" t="n"/>
      <c r="D212" s="11" t="n"/>
      <c r="E212" s="11" t="n"/>
      <c r="F212" s="11" t="n"/>
      <c r="G212" s="108" t="n"/>
      <c r="H212" s="108" t="n"/>
      <c r="I212" s="108" t="n"/>
      <c r="J212" s="108" t="n"/>
      <c r="K212" s="48" t="n"/>
    </row>
    <row r="213" hidden="1" ht="15.75" customHeight="1" s="236">
      <c r="A213" s="11" t="n"/>
      <c r="B213" s="11" t="n"/>
      <c r="C213" s="11" t="n"/>
      <c r="D213" s="11" t="n"/>
      <c r="E213" s="11" t="n"/>
      <c r="F213" s="11" t="n"/>
      <c r="G213" s="108" t="n"/>
      <c r="H213" s="108" t="n"/>
      <c r="I213" s="108" t="n"/>
      <c r="J213" s="108" t="n"/>
      <c r="K213" s="48" t="n"/>
    </row>
    <row r="214" hidden="1" ht="15.75" customHeight="1" s="236">
      <c r="A214" s="11" t="n"/>
      <c r="B214" s="11" t="n"/>
      <c r="C214" s="11" t="n"/>
      <c r="D214" s="11" t="n"/>
      <c r="E214" s="11" t="n"/>
      <c r="F214" s="11" t="n"/>
      <c r="G214" s="108" t="n"/>
      <c r="H214" s="108" t="n"/>
      <c r="I214" s="108" t="n"/>
      <c r="J214" s="108" t="n"/>
      <c r="K214" s="48" t="n"/>
    </row>
    <row r="215" hidden="1" ht="15.75" customHeight="1" s="236">
      <c r="A215" s="11" t="n"/>
      <c r="B215" s="11" t="n"/>
      <c r="C215" s="11" t="n"/>
      <c r="D215" s="11" t="n"/>
      <c r="E215" s="11" t="n"/>
      <c r="F215" s="11" t="n"/>
      <c r="G215" s="108" t="n"/>
      <c r="H215" s="108" t="n"/>
      <c r="I215" s="108" t="n"/>
      <c r="J215" s="108" t="n"/>
      <c r="K215" s="48" t="n"/>
    </row>
    <row r="216" hidden="1" ht="15.75" customHeight="1" s="236">
      <c r="A216" s="11" t="n"/>
      <c r="B216" s="11" t="n"/>
      <c r="C216" s="11" t="n"/>
      <c r="D216" s="11" t="n"/>
      <c r="E216" s="11" t="n"/>
      <c r="F216" s="11" t="n"/>
      <c r="G216" s="108" t="n"/>
      <c r="H216" s="108" t="n"/>
      <c r="I216" s="108" t="n"/>
      <c r="J216" s="108" t="n"/>
      <c r="K216" s="48" t="n"/>
    </row>
    <row r="217" hidden="1" ht="15.75" customHeight="1" s="236">
      <c r="A217" s="11" t="n"/>
      <c r="B217" s="11" t="n"/>
      <c r="C217" s="11" t="n"/>
      <c r="D217" s="11" t="n"/>
      <c r="E217" s="11" t="n"/>
      <c r="F217" s="11" t="n"/>
      <c r="G217" s="108" t="n"/>
      <c r="H217" s="108" t="n"/>
      <c r="I217" s="108" t="n"/>
      <c r="J217" s="108" t="n"/>
      <c r="K217" s="48" t="n"/>
    </row>
    <row r="218" hidden="1" ht="15.75" customHeight="1" s="236">
      <c r="A218" s="11" t="n"/>
      <c r="B218" s="11" t="n"/>
      <c r="C218" s="11" t="n"/>
      <c r="D218" s="11" t="n"/>
      <c r="E218" s="11" t="n"/>
      <c r="F218" s="11" t="n"/>
      <c r="G218" s="108" t="n"/>
      <c r="H218" s="108" t="n"/>
      <c r="I218" s="108" t="n"/>
      <c r="J218" s="108" t="n"/>
      <c r="K218" s="48" t="n"/>
    </row>
    <row r="219" hidden="1" ht="15.75" customHeight="1" s="236">
      <c r="A219" s="11" t="n"/>
      <c r="B219" s="11" t="n"/>
      <c r="C219" s="11" t="n"/>
      <c r="D219" s="11" t="n"/>
      <c r="E219" s="11" t="n"/>
      <c r="F219" s="11" t="n"/>
      <c r="G219" s="108" t="n"/>
      <c r="H219" s="108" t="n"/>
      <c r="I219" s="108" t="n"/>
      <c r="J219" s="108" t="n"/>
      <c r="K219" s="48" t="n"/>
    </row>
    <row r="220" hidden="1" ht="15.75" customHeight="1" s="236">
      <c r="A220" s="11" t="n"/>
      <c r="B220" s="11" t="n"/>
      <c r="C220" s="11" t="n"/>
      <c r="D220" s="11" t="n"/>
      <c r="E220" s="11" t="n"/>
      <c r="F220" s="11" t="n"/>
      <c r="G220" s="108" t="n"/>
      <c r="H220" s="108" t="n"/>
      <c r="I220" s="108" t="n"/>
      <c r="J220" s="108" t="n"/>
      <c r="K220" s="48" t="n"/>
    </row>
    <row r="221" hidden="1" ht="15.75" customHeight="1" s="236">
      <c r="A221" s="11" t="n"/>
      <c r="B221" s="11" t="n"/>
      <c r="C221" s="11" t="n"/>
      <c r="D221" s="11" t="n"/>
      <c r="E221" s="11" t="n"/>
      <c r="F221" s="11" t="n"/>
      <c r="G221" s="108" t="n"/>
      <c r="H221" s="108" t="n"/>
      <c r="I221" s="108" t="n"/>
      <c r="J221" s="108" t="n"/>
      <c r="K221" s="48" t="n"/>
    </row>
    <row r="222" hidden="1" ht="15.75" customHeight="1" s="236">
      <c r="A222" s="11" t="n"/>
      <c r="B222" s="11" t="n"/>
      <c r="C222" s="11" t="n"/>
      <c r="D222" s="11" t="n"/>
      <c r="E222" s="11" t="n"/>
      <c r="F222" s="11" t="n"/>
      <c r="G222" s="108" t="n"/>
      <c r="H222" s="108" t="n"/>
      <c r="I222" s="108" t="n"/>
      <c r="J222" s="108" t="n"/>
      <c r="K222" s="48" t="n"/>
    </row>
    <row r="223" hidden="1" ht="15.75" customHeight="1" s="236">
      <c r="A223" s="11" t="n"/>
      <c r="B223" s="11" t="n"/>
      <c r="C223" s="11" t="n"/>
      <c r="D223" s="11" t="n"/>
      <c r="E223" s="11" t="n"/>
      <c r="F223" s="11" t="n"/>
      <c r="G223" s="108" t="n"/>
      <c r="H223" s="108" t="n"/>
      <c r="I223" s="108" t="n"/>
      <c r="J223" s="108" t="n"/>
      <c r="K223" s="48" t="n"/>
    </row>
    <row r="224" hidden="1" ht="15.75" customHeight="1" s="236">
      <c r="A224" s="11" t="n"/>
      <c r="B224" s="11" t="n"/>
      <c r="C224" s="11" t="n"/>
      <c r="D224" s="11" t="n"/>
      <c r="E224" s="11" t="n"/>
      <c r="F224" s="11" t="n"/>
      <c r="G224" s="108" t="n"/>
      <c r="H224" s="108" t="n"/>
      <c r="I224" s="108" t="n"/>
      <c r="J224" s="108" t="n"/>
      <c r="K224" s="48" t="n"/>
    </row>
    <row r="225" hidden="1" ht="15.75" customHeight="1" s="236">
      <c r="A225" s="11" t="n"/>
      <c r="B225" s="11" t="n"/>
      <c r="C225" s="11" t="n"/>
      <c r="D225" s="11" t="n"/>
      <c r="E225" s="11" t="n"/>
      <c r="F225" s="11" t="n"/>
      <c r="G225" s="108" t="n"/>
      <c r="H225" s="108" t="n"/>
      <c r="I225" s="108" t="n"/>
      <c r="J225" s="108" t="n"/>
      <c r="K225" s="48" t="n"/>
    </row>
    <row r="226" hidden="1" ht="15.75" customHeight="1" s="236">
      <c r="A226" s="11" t="n"/>
      <c r="B226" s="11" t="n"/>
      <c r="C226" s="11" t="n"/>
      <c r="D226" s="11" t="n"/>
      <c r="E226" s="11" t="n"/>
      <c r="F226" s="11" t="n"/>
      <c r="G226" s="108" t="n"/>
      <c r="H226" s="108" t="n"/>
      <c r="I226" s="108" t="n"/>
      <c r="J226" s="108" t="n"/>
      <c r="K226" s="48" t="n"/>
    </row>
    <row r="227" hidden="1" ht="15.75" customHeight="1" s="236">
      <c r="A227" s="11" t="n"/>
      <c r="B227" s="11" t="n"/>
      <c r="C227" s="11" t="n"/>
      <c r="D227" s="11" t="n"/>
      <c r="E227" s="11" t="n"/>
      <c r="F227" s="11" t="n"/>
      <c r="G227" s="108" t="n"/>
      <c r="H227" s="108" t="n"/>
      <c r="I227" s="108" t="n"/>
      <c r="J227" s="108" t="n"/>
      <c r="K227" s="48" t="n"/>
    </row>
    <row r="228" hidden="1" ht="15.75" customHeight="1" s="236">
      <c r="A228" s="11" t="n"/>
      <c r="B228" s="11" t="n"/>
      <c r="C228" s="11" t="n"/>
      <c r="D228" s="11" t="n"/>
      <c r="E228" s="11" t="n"/>
      <c r="F228" s="11" t="n"/>
      <c r="G228" s="108" t="n"/>
      <c r="H228" s="108" t="n"/>
      <c r="I228" s="108" t="n"/>
      <c r="J228" s="108" t="n"/>
      <c r="K228" s="48" t="n"/>
    </row>
    <row r="229" hidden="1" ht="15.75" customHeight="1" s="236">
      <c r="A229" s="11" t="n"/>
      <c r="B229" s="11" t="n"/>
      <c r="C229" s="11" t="n"/>
      <c r="D229" s="11" t="n"/>
      <c r="E229" s="11" t="n"/>
      <c r="F229" s="11" t="n"/>
      <c r="G229" s="108" t="n"/>
      <c r="H229" s="108" t="n"/>
      <c r="I229" s="108" t="n"/>
      <c r="J229" s="108" t="n"/>
      <c r="K229" s="48" t="n"/>
    </row>
    <row r="230" hidden="1" ht="15.75" customHeight="1" s="236">
      <c r="A230" s="11" t="n"/>
      <c r="B230" s="11" t="n"/>
      <c r="C230" s="11" t="n"/>
      <c r="D230" s="11" t="n"/>
      <c r="E230" s="11" t="n"/>
      <c r="F230" s="11" t="n"/>
      <c r="G230" s="108" t="n"/>
      <c r="H230" s="108" t="n"/>
      <c r="I230" s="108" t="n"/>
      <c r="J230" s="108" t="n"/>
      <c r="K230" s="48" t="n"/>
    </row>
    <row r="231" hidden="1" ht="15.75" customHeight="1" s="236">
      <c r="A231" s="11" t="n"/>
      <c r="B231" s="11" t="n"/>
      <c r="C231" s="11" t="n"/>
      <c r="D231" s="11" t="n"/>
      <c r="E231" s="11" t="n"/>
      <c r="F231" s="11" t="n"/>
      <c r="G231" s="108" t="n"/>
      <c r="H231" s="108" t="n"/>
      <c r="I231" s="108" t="n"/>
      <c r="J231" s="108" t="n"/>
      <c r="K231" s="48" t="n"/>
    </row>
    <row r="232" hidden="1" ht="15.75" customHeight="1" s="236">
      <c r="A232" s="11" t="n"/>
      <c r="B232" s="11" t="n"/>
      <c r="C232" s="11" t="n"/>
      <c r="D232" s="11" t="n"/>
      <c r="E232" s="11" t="n"/>
      <c r="F232" s="11" t="n"/>
      <c r="G232" s="108" t="n"/>
      <c r="H232" s="108" t="n"/>
      <c r="I232" s="108" t="n"/>
      <c r="J232" s="108" t="n"/>
      <c r="K232" s="48" t="n"/>
    </row>
    <row r="233" hidden="1" ht="15.75" customHeight="1" s="236">
      <c r="A233" s="11" t="n"/>
      <c r="B233" s="11" t="n"/>
      <c r="C233" s="11" t="n"/>
      <c r="D233" s="11" t="n"/>
      <c r="E233" s="11" t="n"/>
      <c r="F233" s="11" t="n"/>
      <c r="G233" s="108" t="n"/>
      <c r="H233" s="108" t="n"/>
      <c r="I233" s="108" t="n"/>
      <c r="J233" s="108" t="n"/>
      <c r="K233" s="48" t="n"/>
    </row>
    <row r="234" hidden="1" ht="15.75" customHeight="1" s="236">
      <c r="A234" s="11" t="n"/>
      <c r="B234" s="11" t="n"/>
      <c r="C234" s="11" t="n"/>
      <c r="D234" s="11" t="n"/>
      <c r="E234" s="11" t="n"/>
      <c r="F234" s="11" t="n"/>
      <c r="G234" s="108" t="n"/>
      <c r="H234" s="108" t="n"/>
      <c r="I234" s="108" t="n"/>
      <c r="J234" s="108" t="n"/>
      <c r="K234" s="48" t="n"/>
    </row>
    <row r="235" hidden="1" ht="15.75" customHeight="1" s="236">
      <c r="A235" s="11" t="n"/>
      <c r="B235" s="11" t="n"/>
      <c r="C235" s="11" t="n"/>
      <c r="D235" s="11" t="n"/>
      <c r="E235" s="11" t="n"/>
      <c r="F235" s="11" t="n"/>
      <c r="G235" s="108" t="n"/>
      <c r="H235" s="108" t="n"/>
      <c r="I235" s="108" t="n"/>
      <c r="J235" s="108" t="n"/>
      <c r="K235" s="48" t="n"/>
    </row>
    <row r="236" hidden="1" ht="15.75" customHeight="1" s="236">
      <c r="A236" s="11" t="n"/>
      <c r="B236" s="11" t="n"/>
      <c r="C236" s="11" t="n"/>
      <c r="D236" s="11" t="n"/>
      <c r="E236" s="11" t="n"/>
      <c r="F236" s="11" t="n"/>
      <c r="G236" s="108" t="n"/>
      <c r="H236" s="108" t="n"/>
      <c r="I236" s="108" t="n"/>
      <c r="J236" s="108" t="n"/>
      <c r="K236" s="48" t="n"/>
    </row>
    <row r="237" hidden="1" ht="15.75" customHeight="1" s="236">
      <c r="A237" s="11" t="n"/>
      <c r="B237" s="11" t="n"/>
      <c r="C237" s="11" t="n"/>
      <c r="D237" s="11" t="n"/>
      <c r="E237" s="11" t="n"/>
      <c r="F237" s="11" t="n"/>
      <c r="G237" s="108" t="n"/>
      <c r="H237" s="108" t="n"/>
      <c r="I237" s="108" t="n"/>
      <c r="J237" s="108" t="n"/>
      <c r="K237" s="48" t="n"/>
    </row>
    <row r="238" hidden="1" ht="15.75" customHeight="1" s="236">
      <c r="A238" s="11" t="n"/>
      <c r="B238" s="11" t="n"/>
      <c r="C238" s="11" t="n"/>
      <c r="D238" s="11" t="n"/>
      <c r="E238" s="11" t="n"/>
      <c r="F238" s="11" t="n"/>
      <c r="G238" s="108" t="n"/>
      <c r="H238" s="108" t="n"/>
      <c r="I238" s="108" t="n"/>
      <c r="J238" s="108" t="n"/>
      <c r="K238" s="48" t="n"/>
    </row>
    <row r="239" hidden="1" ht="15.75" customHeight="1" s="236">
      <c r="A239" s="11" t="n"/>
      <c r="B239" s="11" t="n"/>
      <c r="C239" s="11" t="n"/>
      <c r="D239" s="11" t="n"/>
      <c r="E239" s="11" t="n"/>
      <c r="F239" s="11" t="n"/>
      <c r="G239" s="108" t="n"/>
      <c r="H239" s="108" t="n"/>
      <c r="I239" s="108" t="n"/>
      <c r="J239" s="108" t="n"/>
      <c r="K239" s="48" t="n"/>
    </row>
    <row r="240" hidden="1" ht="15.75" customHeight="1" s="236">
      <c r="A240" s="11" t="n"/>
      <c r="B240" s="11" t="n"/>
      <c r="C240" s="11" t="n"/>
      <c r="D240" s="11" t="n"/>
      <c r="E240" s="11" t="n"/>
      <c r="F240" s="11" t="n"/>
      <c r="G240" s="108" t="n"/>
      <c r="H240" s="108" t="n"/>
      <c r="I240" s="108" t="n"/>
      <c r="J240" s="108" t="n"/>
      <c r="K240" s="48" t="n"/>
    </row>
    <row r="241" hidden="1" ht="15.75" customHeight="1" s="236">
      <c r="A241" s="11" t="n"/>
      <c r="B241" s="11" t="n"/>
      <c r="C241" s="11" t="n"/>
      <c r="D241" s="11" t="n"/>
      <c r="E241" s="11" t="n"/>
      <c r="F241" s="11" t="n"/>
      <c r="G241" s="108" t="n"/>
      <c r="H241" s="108" t="n"/>
      <c r="I241" s="108" t="n"/>
      <c r="J241" s="108" t="n"/>
      <c r="K241" s="48" t="n"/>
    </row>
    <row r="242" hidden="1" ht="15.75" customHeight="1" s="236">
      <c r="A242" s="11" t="n"/>
      <c r="B242" s="11" t="n"/>
      <c r="C242" s="11" t="n"/>
      <c r="D242" s="11" t="n"/>
      <c r="E242" s="11" t="n"/>
      <c r="F242" s="11" t="n"/>
      <c r="G242" s="108" t="n"/>
      <c r="H242" s="108" t="n"/>
      <c r="I242" s="108" t="n"/>
      <c r="J242" s="108" t="n"/>
      <c r="K242" s="48" t="n"/>
    </row>
    <row r="243" hidden="1" ht="15.75" customHeight="1" s="236">
      <c r="A243" s="11" t="n"/>
      <c r="B243" s="11" t="n"/>
      <c r="C243" s="11" t="n"/>
      <c r="D243" s="11" t="n"/>
      <c r="E243" s="11" t="n"/>
      <c r="F243" s="11" t="n"/>
      <c r="G243" s="108" t="n"/>
      <c r="H243" s="108" t="n"/>
      <c r="I243" s="108" t="n"/>
      <c r="J243" s="108" t="n"/>
      <c r="K243" s="48" t="n"/>
    </row>
    <row r="244" hidden="1" ht="15.75" customHeight="1" s="236">
      <c r="A244" s="11" t="n"/>
      <c r="B244" s="11" t="n"/>
      <c r="C244" s="11" t="n"/>
      <c r="D244" s="11" t="n"/>
      <c r="E244" s="11" t="n"/>
      <c r="F244" s="11" t="n"/>
      <c r="G244" s="108" t="n"/>
      <c r="H244" s="108" t="n"/>
      <c r="I244" s="108" t="n"/>
      <c r="J244" s="108" t="n"/>
      <c r="K244" s="48" t="n"/>
    </row>
    <row r="245" hidden="1" ht="15.75" customHeight="1" s="236">
      <c r="A245" s="11" t="n"/>
      <c r="B245" s="11" t="n"/>
      <c r="C245" s="11" t="n"/>
      <c r="D245" s="11" t="n"/>
      <c r="E245" s="11" t="n"/>
      <c r="F245" s="11" t="n"/>
      <c r="G245" s="108" t="n"/>
      <c r="H245" s="108" t="n"/>
      <c r="I245" s="108" t="n"/>
      <c r="J245" s="108" t="n"/>
      <c r="K245" s="48" t="n"/>
    </row>
    <row r="246" hidden="1" ht="15.75" customHeight="1" s="236">
      <c r="A246" s="11" t="n"/>
      <c r="B246" s="11" t="n"/>
      <c r="C246" s="11" t="n"/>
      <c r="D246" s="11" t="n"/>
      <c r="E246" s="11" t="n"/>
      <c r="F246" s="11" t="n"/>
      <c r="G246" s="108" t="n"/>
      <c r="H246" s="108" t="n"/>
      <c r="I246" s="108" t="n"/>
      <c r="J246" s="108" t="n"/>
      <c r="K246" s="48" t="n"/>
    </row>
    <row r="247" hidden="1" ht="15.75" customHeight="1" s="236">
      <c r="A247" s="11" t="n"/>
      <c r="B247" s="11" t="n"/>
      <c r="C247" s="11" t="n"/>
      <c r="D247" s="11" t="n"/>
      <c r="E247" s="11" t="n"/>
      <c r="F247" s="11" t="n"/>
      <c r="G247" s="108" t="n"/>
      <c r="H247" s="108" t="n"/>
      <c r="I247" s="108" t="n"/>
      <c r="J247" s="108" t="n"/>
      <c r="K247" s="48" t="n"/>
    </row>
    <row r="248" hidden="1" ht="15.75" customHeight="1" s="236">
      <c r="A248" s="11" t="n"/>
      <c r="B248" s="11" t="n"/>
      <c r="C248" s="11" t="n"/>
      <c r="D248" s="11" t="n"/>
      <c r="E248" s="11" t="n"/>
      <c r="F248" s="11" t="n"/>
      <c r="G248" s="108" t="n"/>
      <c r="H248" s="108" t="n"/>
      <c r="I248" s="108" t="n"/>
      <c r="J248" s="108" t="n"/>
      <c r="K248" s="48" t="n"/>
    </row>
    <row r="249" hidden="1" ht="15.75" customHeight="1" s="236">
      <c r="A249" s="11" t="n"/>
      <c r="B249" s="11" t="n"/>
      <c r="C249" s="11" t="n"/>
      <c r="D249" s="11" t="n"/>
      <c r="E249" s="11" t="n"/>
      <c r="F249" s="11" t="n"/>
      <c r="G249" s="108" t="n"/>
      <c r="H249" s="108" t="n"/>
      <c r="I249" s="108" t="n"/>
      <c r="J249" s="108" t="n"/>
      <c r="K249" s="48" t="n"/>
    </row>
    <row r="250" hidden="1" ht="15.75" customHeight="1" s="236">
      <c r="A250" s="11" t="n"/>
      <c r="B250" s="11" t="n"/>
      <c r="C250" s="11" t="n"/>
      <c r="D250" s="11" t="n"/>
      <c r="E250" s="11" t="n"/>
      <c r="F250" s="11" t="n"/>
      <c r="G250" s="108" t="n"/>
      <c r="H250" s="108" t="n"/>
      <c r="I250" s="108" t="n"/>
      <c r="J250" s="108" t="n"/>
      <c r="K250" s="48" t="n"/>
    </row>
    <row r="251" hidden="1" ht="15.75" customHeight="1" s="236">
      <c r="A251" s="11" t="n"/>
      <c r="B251" s="11" t="n"/>
      <c r="C251" s="11" t="n"/>
      <c r="D251" s="11" t="n"/>
      <c r="E251" s="11" t="n"/>
      <c r="F251" s="11" t="n"/>
      <c r="G251" s="108" t="n"/>
      <c r="H251" s="108" t="n"/>
      <c r="I251" s="108" t="n"/>
      <c r="J251" s="108" t="n"/>
      <c r="K251" s="48" t="n"/>
    </row>
    <row r="252" hidden="1" ht="15.75" customHeight="1" s="236">
      <c r="A252" s="11" t="n"/>
      <c r="B252" s="11" t="n"/>
      <c r="C252" s="11" t="n"/>
      <c r="D252" s="11" t="n"/>
      <c r="E252" s="11" t="n"/>
      <c r="F252" s="11" t="n"/>
      <c r="G252" s="108" t="n"/>
      <c r="H252" s="108" t="n"/>
      <c r="I252" s="108" t="n"/>
      <c r="J252" s="108" t="n"/>
      <c r="K252" s="48" t="n"/>
    </row>
    <row r="253" hidden="1" ht="15.75" customHeight="1" s="236">
      <c r="A253" s="11" t="n"/>
      <c r="B253" s="11" t="n"/>
      <c r="C253" s="11" t="n"/>
      <c r="D253" s="11" t="n"/>
      <c r="E253" s="11" t="n"/>
      <c r="F253" s="11" t="n"/>
      <c r="G253" s="108" t="n"/>
      <c r="H253" s="108" t="n"/>
      <c r="I253" s="108" t="n"/>
      <c r="J253" s="108" t="n"/>
      <c r="K253" s="48" t="n"/>
    </row>
    <row r="254" hidden="1" ht="15.75" customHeight="1" s="236">
      <c r="A254" s="11" t="n"/>
      <c r="B254" s="11" t="n"/>
      <c r="C254" s="11" t="n"/>
      <c r="D254" s="11" t="n"/>
      <c r="E254" s="11" t="n"/>
      <c r="F254" s="11" t="n"/>
      <c r="G254" s="108" t="n"/>
      <c r="H254" s="108" t="n"/>
      <c r="I254" s="108" t="n"/>
      <c r="J254" s="108" t="n"/>
      <c r="K254" s="48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08" t="n"/>
      <c r="H255" s="108" t="n"/>
      <c r="I255" s="108" t="n"/>
      <c r="J255" s="108" t="n"/>
      <c r="K255" s="48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08" t="n"/>
      <c r="H256" s="108" t="n"/>
      <c r="I256" s="108" t="n"/>
      <c r="J256" s="108" t="n"/>
      <c r="K256" s="48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08" t="n"/>
      <c r="H257" s="108" t="n"/>
      <c r="I257" s="108" t="n"/>
      <c r="J257" s="108" t="n"/>
      <c r="K257" s="48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08" t="n"/>
      <c r="H258" s="108" t="n"/>
      <c r="I258" s="108" t="n"/>
      <c r="J258" s="108" t="n"/>
      <c r="K258" s="48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08" t="n"/>
      <c r="H259" s="108" t="n"/>
      <c r="I259" s="108" t="n"/>
      <c r="J259" s="108" t="n"/>
      <c r="K259" s="48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08" t="n"/>
      <c r="H260" s="108" t="n"/>
      <c r="I260" s="108" t="n"/>
      <c r="J260" s="108" t="n"/>
      <c r="K260" s="48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08" t="n"/>
      <c r="H261" s="108" t="n"/>
      <c r="I261" s="108" t="n"/>
      <c r="J261" s="108" t="n"/>
      <c r="K261" s="48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08" t="n"/>
      <c r="H262" s="108" t="n"/>
      <c r="I262" s="108" t="n"/>
      <c r="J262" s="108" t="n"/>
      <c r="K262" s="48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08" t="n"/>
      <c r="H263" s="108" t="n"/>
      <c r="I263" s="108" t="n"/>
      <c r="J263" s="108" t="n"/>
      <c r="K263" s="48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08" t="n"/>
      <c r="H264" s="108" t="n"/>
      <c r="I264" s="108" t="n"/>
      <c r="J264" s="108" t="n"/>
      <c r="K264" s="48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08" t="n"/>
      <c r="H265" s="108" t="n"/>
      <c r="I265" s="108" t="n"/>
      <c r="J265" s="108" t="n"/>
      <c r="K265" s="48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08" t="n"/>
      <c r="H266" s="108" t="n"/>
      <c r="I266" s="108" t="n"/>
      <c r="J266" s="108" t="n"/>
      <c r="K266" s="48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08" t="n"/>
      <c r="H267" s="108" t="n"/>
      <c r="I267" s="108" t="n"/>
      <c r="J267" s="108" t="n"/>
      <c r="K267" s="48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08" t="n"/>
      <c r="H268" s="108" t="n"/>
      <c r="I268" s="108" t="n"/>
      <c r="J268" s="108" t="n"/>
      <c r="K268" s="48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08" t="n"/>
      <c r="H269" s="108" t="n"/>
      <c r="I269" s="108" t="n"/>
      <c r="J269" s="108" t="n"/>
      <c r="K269" s="48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08" t="n"/>
      <c r="H270" s="108" t="n"/>
      <c r="I270" s="108" t="n"/>
      <c r="J270" s="108" t="n"/>
      <c r="K270" s="48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08" t="n"/>
      <c r="H271" s="108" t="n"/>
      <c r="I271" s="108" t="n"/>
      <c r="J271" s="108" t="n"/>
      <c r="K271" s="48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08" t="n"/>
      <c r="H272" s="108" t="n"/>
      <c r="I272" s="108" t="n"/>
      <c r="J272" s="108" t="n"/>
      <c r="K272" s="48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08" t="n"/>
      <c r="H273" s="108" t="n"/>
      <c r="I273" s="108" t="n"/>
      <c r="J273" s="108" t="n"/>
      <c r="K273" s="48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08" t="n"/>
      <c r="H274" s="108" t="n"/>
      <c r="I274" s="108" t="n"/>
      <c r="J274" s="108" t="n"/>
      <c r="K274" s="48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08" t="n"/>
      <c r="H275" s="108" t="n"/>
      <c r="I275" s="108" t="n"/>
      <c r="J275" s="108" t="n"/>
      <c r="K275" s="48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08" t="n"/>
      <c r="H276" s="108" t="n"/>
      <c r="I276" s="108" t="n"/>
      <c r="J276" s="108" t="n"/>
      <c r="K276" s="48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08" t="n"/>
      <c r="H277" s="108" t="n"/>
      <c r="I277" s="108" t="n"/>
      <c r="J277" s="108" t="n"/>
      <c r="K277" s="48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08" t="n"/>
      <c r="H278" s="108" t="n"/>
      <c r="I278" s="108" t="n"/>
      <c r="J278" s="108" t="n"/>
      <c r="K278" s="48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08" t="n"/>
      <c r="H279" s="108" t="n"/>
      <c r="I279" s="108" t="n"/>
      <c r="J279" s="108" t="n"/>
      <c r="K279" s="48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08" t="n"/>
      <c r="H280" s="108" t="n"/>
      <c r="I280" s="108" t="n"/>
      <c r="J280" s="108" t="n"/>
      <c r="K280" s="48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08" t="n"/>
      <c r="H281" s="108" t="n"/>
      <c r="I281" s="108" t="n"/>
      <c r="J281" s="108" t="n"/>
      <c r="K281" s="48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08" t="n"/>
      <c r="H282" s="108" t="n"/>
      <c r="I282" s="108" t="n"/>
      <c r="J282" s="108" t="n"/>
      <c r="K282" s="48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08" t="n"/>
      <c r="H283" s="108" t="n"/>
      <c r="I283" s="108" t="n"/>
      <c r="J283" s="108" t="n"/>
      <c r="K283" s="48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08" t="n"/>
      <c r="H284" s="108" t="n"/>
      <c r="I284" s="108" t="n"/>
      <c r="J284" s="108" t="n"/>
      <c r="K284" s="48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08" t="n"/>
      <c r="H285" s="108" t="n"/>
      <c r="I285" s="108" t="n"/>
      <c r="J285" s="108" t="n"/>
      <c r="K285" s="48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08" t="n"/>
      <c r="H286" s="108" t="n"/>
      <c r="I286" s="108" t="n"/>
      <c r="J286" s="108" t="n"/>
      <c r="K286" s="48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08" t="n"/>
      <c r="H287" s="108" t="n"/>
      <c r="I287" s="108" t="n"/>
      <c r="J287" s="108" t="n"/>
      <c r="K287" s="48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08" t="n"/>
      <c r="H288" s="108" t="n"/>
      <c r="I288" s="108" t="n"/>
      <c r="J288" s="108" t="n"/>
      <c r="K288" s="48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08" t="n"/>
      <c r="H289" s="108" t="n"/>
      <c r="I289" s="108" t="n"/>
      <c r="J289" s="108" t="n"/>
      <c r="K289" s="48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08" t="n"/>
      <c r="H290" s="108" t="n"/>
      <c r="I290" s="108" t="n"/>
      <c r="J290" s="108" t="n"/>
      <c r="K290" s="48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08" t="n"/>
      <c r="H291" s="108" t="n"/>
      <c r="I291" s="108" t="n"/>
      <c r="J291" s="108" t="n"/>
      <c r="K291" s="48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08" t="n"/>
      <c r="H292" s="108" t="n"/>
      <c r="I292" s="108" t="n"/>
      <c r="J292" s="108" t="n"/>
      <c r="K292" s="48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08" t="n"/>
      <c r="H293" s="108" t="n"/>
      <c r="I293" s="108" t="n"/>
      <c r="J293" s="108" t="n"/>
      <c r="K293" s="48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08" t="n"/>
      <c r="H294" s="108" t="n"/>
      <c r="I294" s="108" t="n"/>
      <c r="J294" s="108" t="n"/>
      <c r="K294" s="48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08" t="n"/>
      <c r="H295" s="108" t="n"/>
      <c r="I295" s="108" t="n"/>
      <c r="J295" s="108" t="n"/>
      <c r="K295" s="48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08" t="n"/>
      <c r="H296" s="108" t="n"/>
      <c r="I296" s="108" t="n"/>
      <c r="J296" s="108" t="n"/>
      <c r="K296" s="48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08" t="n"/>
      <c r="H297" s="108" t="n"/>
      <c r="I297" s="108" t="n"/>
      <c r="J297" s="108" t="n"/>
      <c r="K297" s="48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08" t="n"/>
      <c r="H298" s="108" t="n"/>
      <c r="I298" s="108" t="n"/>
      <c r="J298" s="108" t="n"/>
      <c r="K298" s="48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08" t="n"/>
      <c r="H299" s="108" t="n"/>
      <c r="I299" s="108" t="n"/>
      <c r="J299" s="108" t="n"/>
      <c r="K299" s="48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</sheetData>
  <conditionalFormatting sqref="D1">
    <cfRule type="containsBlanks" priority="1" dxfId="0">
      <formula>LEN(TRIM(D1))=0</formula>
    </cfRule>
  </conditionalFormatting>
  <conditionalFormatting sqref="A2:F51 A47:B51">
    <cfRule type="containsBlanks" priority="2" dxfId="1">
      <formula>LEN(TRIM(A2))=0</formula>
    </cfRule>
  </conditionalFormatting>
  <conditionalFormatting sqref="A47:B51">
    <cfRule type="notContainsBlanks" priority="3" dxfId="2">
      <formula>LEN(TRIM(A47))&gt;0</formula>
    </cfRule>
  </conditionalFormatting>
  <conditionalFormatting sqref="E1:F299">
    <cfRule type="cellIs" priority="4" operator="greaterThan" dxfId="3">
      <formula>30</formula>
    </cfRule>
  </conditionalFormatting>
  <hyperlinks>
    <hyperlink ref="K1" location="'Smart Dashboard'!A1" display="DESHOARD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8" customWidth="1" style="236" min="4" max="4"/>
    <col width="24" customWidth="1" style="236" min="5" max="5"/>
    <col width="14" customWidth="1" style="236" min="6" max="6"/>
    <col width="18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39" customHeight="1" s="236">
      <c r="A1" s="122" t="inlineStr">
        <is>
          <t>THE STATEMENT SHOWING THE PRIORITY LIST OF WHEAT  FAQ 2025-26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24" t="inlineStr">
        <is>
          <t>Sr No.</t>
        </is>
      </c>
      <c r="B2" s="125" t="inlineStr">
        <is>
          <t>Shed No.</t>
        </is>
      </c>
      <c r="C2" s="125" t="inlineStr">
        <is>
          <t>Stack No.</t>
        </is>
      </c>
      <c r="D2" s="126" t="inlineStr">
        <is>
          <t>RDate of Receipt</t>
        </is>
      </c>
      <c r="E2" s="125" t="inlineStr">
        <is>
          <t>Commodity/Crop Year</t>
        </is>
      </c>
      <c r="F2" s="127" t="inlineStr">
        <is>
          <t>Qty(in MT)</t>
        </is>
      </c>
      <c r="G2" s="128" t="inlineStr">
        <is>
          <t>Cat</t>
        </is>
      </c>
      <c r="H2" s="129" t="inlineStr">
        <is>
          <t>Remarks</t>
        </is>
      </c>
      <c r="I2" s="130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 t="n">
        <v>1</v>
      </c>
      <c r="B3" s="132" t="n">
        <v>9</v>
      </c>
      <c r="C3" s="132" t="inlineStr">
        <is>
          <t>9A03</t>
        </is>
      </c>
      <c r="D3" s="298" t="n">
        <v>45775</v>
      </c>
      <c r="E3" s="132" t="inlineStr">
        <is>
          <t>WHEAT FAQ 2025-26</t>
        </is>
      </c>
      <c r="F3" s="299" t="n">
        <v>174.719903</v>
      </c>
      <c r="G3" s="135" t="inlineStr">
        <is>
          <t>A</t>
        </is>
      </c>
      <c r="H3" s="136" t="inlineStr"/>
      <c r="I3" s="133" t="inlineStr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 t="n">
        <v>2</v>
      </c>
      <c r="B4" s="132" t="n">
        <v>9</v>
      </c>
      <c r="C4" s="132" t="inlineStr">
        <is>
          <t>9B15</t>
        </is>
      </c>
      <c r="D4" s="298" t="n">
        <v>45775</v>
      </c>
      <c r="E4" s="132" t="inlineStr">
        <is>
          <t>WHEAT FAQ 2025-26</t>
        </is>
      </c>
      <c r="F4" s="299" t="n">
        <v>174.491739</v>
      </c>
      <c r="G4" s="135" t="inlineStr">
        <is>
          <t>A</t>
        </is>
      </c>
      <c r="H4" s="136" t="inlineStr"/>
      <c r="I4" s="133" t="inlineStr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 t="n">
        <v>3</v>
      </c>
      <c r="B5" s="132" t="n">
        <v>9</v>
      </c>
      <c r="C5" s="132" t="inlineStr">
        <is>
          <t>9A05</t>
        </is>
      </c>
      <c r="D5" s="298" t="n">
        <v>45812</v>
      </c>
      <c r="E5" s="132" t="inlineStr">
        <is>
          <t>WHEAT FAQ 2025-26</t>
        </is>
      </c>
      <c r="F5" s="299" t="n">
        <v>174.250285</v>
      </c>
      <c r="G5" s="135" t="inlineStr">
        <is>
          <t>A</t>
        </is>
      </c>
      <c r="H5" s="136" t="inlineStr"/>
      <c r="I5" s="133" t="inlineStr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 t="n">
        <v>4</v>
      </c>
      <c r="B6" s="132" t="n">
        <v>9</v>
      </c>
      <c r="C6" s="132" t="inlineStr">
        <is>
          <t>9B18</t>
        </is>
      </c>
      <c r="D6" s="298" t="n">
        <v>45812</v>
      </c>
      <c r="E6" s="132" t="inlineStr">
        <is>
          <t>WHEAT FAQ 2025-26</t>
        </is>
      </c>
      <c r="F6" s="299" t="n">
        <v>174.355417</v>
      </c>
      <c r="G6" s="135" t="inlineStr">
        <is>
          <t>A</t>
        </is>
      </c>
      <c r="H6" s="136" t="inlineStr"/>
      <c r="I6" s="133" t="inlineStr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 t="n">
        <v>5</v>
      </c>
      <c r="B7" s="132" t="n">
        <v>9</v>
      </c>
      <c r="C7" s="132" t="inlineStr">
        <is>
          <t>9A02</t>
        </is>
      </c>
      <c r="D7" s="298" t="n">
        <v>45823</v>
      </c>
      <c r="E7" s="132" t="inlineStr">
        <is>
          <t>WHEAT FAQ 2025-26</t>
        </is>
      </c>
      <c r="F7" s="299" t="n">
        <v>173.684844</v>
      </c>
      <c r="G7" s="135" t="inlineStr">
        <is>
          <t>A</t>
        </is>
      </c>
      <c r="H7" s="136" t="inlineStr"/>
      <c r="I7" s="133" t="inlineStr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 t="n">
        <v>6</v>
      </c>
      <c r="B8" s="132" t="n">
        <v>14</v>
      </c>
      <c r="C8" s="132" t="inlineStr">
        <is>
          <t>14A03</t>
        </is>
      </c>
      <c r="D8" s="298" t="n">
        <v>45823</v>
      </c>
      <c r="E8" s="132" t="inlineStr">
        <is>
          <t>WHEAT FAQ 2025-26</t>
        </is>
      </c>
      <c r="F8" s="299" t="n">
        <v>174.155727</v>
      </c>
      <c r="G8" s="135" t="inlineStr">
        <is>
          <t>A</t>
        </is>
      </c>
      <c r="H8" s="136" t="inlineStr"/>
      <c r="I8" s="133" t="inlineStr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 t="n">
        <v>7</v>
      </c>
      <c r="B9" s="132" t="n">
        <v>18</v>
      </c>
      <c r="C9" s="132" t="inlineStr">
        <is>
          <t>18A08</t>
        </is>
      </c>
      <c r="D9" s="298" t="n">
        <v>45833</v>
      </c>
      <c r="E9" s="132" t="inlineStr">
        <is>
          <t>WHEAT FAQ 2025-26</t>
        </is>
      </c>
      <c r="F9" s="299" t="n">
        <v>174.481049</v>
      </c>
      <c r="G9" s="135" t="inlineStr">
        <is>
          <t>A</t>
        </is>
      </c>
      <c r="H9" s="136" t="inlineStr"/>
      <c r="I9" s="133" t="inlineStr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 t="n">
        <v>8</v>
      </c>
      <c r="B10" s="132" t="n">
        <v>9</v>
      </c>
      <c r="C10" s="132" t="inlineStr">
        <is>
          <t>9B11</t>
        </is>
      </c>
      <c r="D10" s="298" t="n">
        <v>45882</v>
      </c>
      <c r="E10" s="132" t="inlineStr">
        <is>
          <t>WHEAT FAQ 2025-26</t>
        </is>
      </c>
      <c r="F10" s="299" t="n">
        <v>177.259771</v>
      </c>
      <c r="G10" s="135" t="inlineStr">
        <is>
          <t>A</t>
        </is>
      </c>
      <c r="H10" s="136" t="inlineStr"/>
      <c r="I10" s="133" t="inlineStr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 t="n">
        <v>9</v>
      </c>
      <c r="B11" s="132" t="n">
        <v>14</v>
      </c>
      <c r="C11" s="132" t="inlineStr">
        <is>
          <t>14A02</t>
        </is>
      </c>
      <c r="D11" s="298" t="n">
        <v>45890</v>
      </c>
      <c r="E11" s="132" t="inlineStr">
        <is>
          <t>WHEAT FAQ 2025-26</t>
        </is>
      </c>
      <c r="F11" s="299" t="n">
        <v>175.283364</v>
      </c>
      <c r="G11" s="135" t="inlineStr">
        <is>
          <t>A</t>
        </is>
      </c>
      <c r="H11" s="136" t="inlineStr"/>
      <c r="I11" s="133" t="inlineStr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 t="n">
        <v>10</v>
      </c>
      <c r="B12" s="132" t="n">
        <v>14</v>
      </c>
      <c r="C12" s="132" t="inlineStr">
        <is>
          <t>14A05</t>
        </is>
      </c>
      <c r="D12" s="298" t="n">
        <v>45906</v>
      </c>
      <c r="E12" s="132" t="inlineStr">
        <is>
          <t>WHEAT FAQ 2025-26</t>
        </is>
      </c>
      <c r="F12" s="299" t="n">
        <v>177.281405</v>
      </c>
      <c r="G12" s="135" t="inlineStr">
        <is>
          <t>A</t>
        </is>
      </c>
      <c r="H12" s="136" t="inlineStr"/>
      <c r="I12" s="133" t="inlineStr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 t="n">
        <v>11</v>
      </c>
      <c r="B13" s="132" t="n">
        <v>14</v>
      </c>
      <c r="C13" s="132" t="inlineStr">
        <is>
          <t>14B15</t>
        </is>
      </c>
      <c r="D13" s="298" t="n">
        <v>45925</v>
      </c>
      <c r="E13" s="132" t="inlineStr">
        <is>
          <t>WHEAT FAQ 2025-26</t>
        </is>
      </c>
      <c r="F13" s="299" t="n">
        <v>176.077448</v>
      </c>
      <c r="G13" s="135" t="inlineStr">
        <is>
          <t>A</t>
        </is>
      </c>
      <c r="H13" s="136" t="inlineStr"/>
      <c r="I13" s="133" t="inlineStr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 t="n">
        <v>12</v>
      </c>
      <c r="B14" s="132" t="n">
        <v>14</v>
      </c>
      <c r="C14" s="132" t="inlineStr">
        <is>
          <t>14B14</t>
        </is>
      </c>
      <c r="D14" s="298" t="n">
        <v>45927</v>
      </c>
      <c r="E14" s="132" t="inlineStr">
        <is>
          <t>WHEAT FAQ 2025-26</t>
        </is>
      </c>
      <c r="F14" s="299" t="n">
        <v>176.111963</v>
      </c>
      <c r="G14" s="135" t="inlineStr">
        <is>
          <t>A</t>
        </is>
      </c>
      <c r="H14" s="136" t="inlineStr"/>
      <c r="I14" s="133" t="inlineStr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 t="n">
        <v>13</v>
      </c>
      <c r="B15" s="132" t="n">
        <v>20</v>
      </c>
      <c r="C15" s="132" t="inlineStr">
        <is>
          <t>M6A03</t>
        </is>
      </c>
      <c r="D15" s="298" t="n">
        <v>45978</v>
      </c>
      <c r="E15" s="132" t="inlineStr">
        <is>
          <t>WHEAT FAQ 2025-26</t>
        </is>
      </c>
      <c r="F15" s="299" t="n">
        <v>177.099</v>
      </c>
      <c r="G15" s="135" t="inlineStr">
        <is>
          <t>A</t>
        </is>
      </c>
      <c r="H15" s="136" t="inlineStr"/>
      <c r="I15" s="133" t="inlineStr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 t="n">
        <v>14</v>
      </c>
      <c r="B16" s="132" t="n">
        <v>20</v>
      </c>
      <c r="C16" s="132" t="inlineStr">
        <is>
          <t>M6A01</t>
        </is>
      </c>
      <c r="D16" s="298" t="n">
        <v>46027</v>
      </c>
      <c r="E16" s="132" t="inlineStr">
        <is>
          <t>WHEAT FAQ 2025-26</t>
        </is>
      </c>
      <c r="F16" s="299" t="n">
        <v>174.908</v>
      </c>
      <c r="G16" s="135" t="inlineStr">
        <is>
          <t>A</t>
        </is>
      </c>
      <c r="H16" s="136" t="inlineStr"/>
      <c r="I16" s="133" t="inlineStr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 t="n"/>
      <c r="B17" s="132" t="n"/>
      <c r="C17" s="132" t="n"/>
      <c r="D17" s="133" t="n"/>
      <c r="E17" s="132" t="n"/>
      <c r="F17" s="134" t="n"/>
      <c r="G17" s="135" t="n"/>
      <c r="H17" s="136" t="n"/>
      <c r="I17" s="13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 t="n"/>
      <c r="B18" s="132" t="n"/>
      <c r="C18" s="132" t="n"/>
      <c r="D18" s="133" t="n"/>
      <c r="E18" s="132" t="n"/>
      <c r="F18" s="134" t="n"/>
      <c r="G18" s="135" t="n"/>
      <c r="H18" s="136" t="n"/>
      <c r="I18" s="13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 t="n"/>
      <c r="B19" s="132" t="n"/>
      <c r="C19" s="132" t="n"/>
      <c r="D19" s="133" t="n"/>
      <c r="E19" s="132" t="n"/>
      <c r="F19" s="134" t="n"/>
      <c r="G19" s="135" t="n"/>
      <c r="H19" s="136" t="n"/>
      <c r="I19" s="13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 t="n"/>
      <c r="B20" s="132" t="n"/>
      <c r="C20" s="132" t="n"/>
      <c r="D20" s="133" t="n"/>
      <c r="E20" s="132" t="n"/>
      <c r="F20" s="134" t="n"/>
      <c r="G20" s="135" t="n"/>
      <c r="H20" s="136" t="n"/>
      <c r="I20" s="13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223" t="n"/>
      <c r="B21" s="125" t="n"/>
      <c r="C21" s="125" t="n"/>
      <c r="D21" s="130" t="n"/>
      <c r="E21" s="125" t="n"/>
      <c r="F21" s="127" t="n"/>
      <c r="G21" s="128" t="n"/>
      <c r="H21" s="129" t="n"/>
      <c r="I21" s="130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223" t="n"/>
      <c r="B22" s="125" t="n"/>
      <c r="C22" s="125" t="n"/>
      <c r="D22" s="130" t="n"/>
      <c r="E22" s="125" t="n"/>
      <c r="F22" s="127" t="n"/>
      <c r="G22" s="128" t="n"/>
      <c r="H22" s="129" t="n"/>
      <c r="I22" s="130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223" t="n"/>
      <c r="B23" s="125" t="n"/>
      <c r="C23" s="125" t="n"/>
      <c r="D23" s="130" t="n"/>
      <c r="E23" s="125" t="n"/>
      <c r="F23" s="127" t="n"/>
      <c r="G23" s="128" t="n"/>
      <c r="H23" s="129" t="n"/>
      <c r="I23" s="130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223" t="n"/>
      <c r="B24" s="125" t="n"/>
      <c r="C24" s="125" t="n"/>
      <c r="D24" s="130" t="n"/>
      <c r="E24" s="125" t="n"/>
      <c r="F24" s="127" t="n"/>
      <c r="G24" s="128" t="n"/>
      <c r="H24" s="129" t="n"/>
      <c r="I24" s="130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idden="1" ht="15" customHeight="1" s="236">
      <c r="A25" s="223" t="n"/>
      <c r="B25" s="125" t="n"/>
      <c r="C25" s="125" t="n"/>
      <c r="D25" s="130" t="n"/>
      <c r="E25" s="125" t="n"/>
      <c r="F25" s="127" t="n"/>
      <c r="G25" s="128" t="n"/>
      <c r="H25" s="129" t="n"/>
      <c r="I25" s="130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idden="1" ht="15" customHeight="1" s="236">
      <c r="A26" s="223" t="n"/>
      <c r="B26" s="125" t="n"/>
      <c r="C26" s="125" t="n"/>
      <c r="D26" s="130" t="n"/>
      <c r="E26" s="125" t="n"/>
      <c r="F26" s="127" t="n"/>
      <c r="G26" s="128" t="n"/>
      <c r="H26" s="129" t="n"/>
      <c r="I26" s="130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idden="1" ht="15" customHeight="1" s="236">
      <c r="A27" s="223" t="n"/>
      <c r="B27" s="125" t="n"/>
      <c r="C27" s="125" t="n"/>
      <c r="D27" s="130" t="n"/>
      <c r="E27" s="125" t="n"/>
      <c r="F27" s="127" t="n"/>
      <c r="G27" s="128" t="n"/>
      <c r="H27" s="129" t="n"/>
      <c r="I27" s="130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idden="1" ht="15" customHeight="1" s="236">
      <c r="A28" s="223" t="n"/>
      <c r="B28" s="125" t="n"/>
      <c r="C28" s="125" t="n"/>
      <c r="D28" s="130" t="n"/>
      <c r="E28" s="125" t="n"/>
      <c r="F28" s="127" t="n"/>
      <c r="G28" s="128" t="n"/>
      <c r="H28" s="129" t="n"/>
      <c r="I28" s="130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idden="1" ht="15" customHeight="1" s="236">
      <c r="A29" s="223" t="n"/>
      <c r="B29" s="125" t="n"/>
      <c r="C29" s="125" t="n"/>
      <c r="D29" s="130" t="n"/>
      <c r="E29" s="125" t="n"/>
      <c r="F29" s="127" t="n"/>
      <c r="G29" s="128" t="n"/>
      <c r="H29" s="129" t="n"/>
      <c r="I29" s="130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idden="1" ht="15" customHeight="1" s="236">
      <c r="A30" s="223" t="n"/>
      <c r="B30" s="125" t="n"/>
      <c r="C30" s="125" t="n"/>
      <c r="D30" s="130" t="n"/>
      <c r="E30" s="125" t="n"/>
      <c r="F30" s="127" t="n"/>
      <c r="G30" s="128" t="n"/>
      <c r="H30" s="129" t="n"/>
      <c r="I30" s="130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idden="1" ht="15" customHeight="1" s="236">
      <c r="A31" s="223" t="n"/>
      <c r="B31" s="125" t="n"/>
      <c r="C31" s="125" t="n"/>
      <c r="D31" s="130" t="n"/>
      <c r="E31" s="125" t="n"/>
      <c r="F31" s="127" t="n"/>
      <c r="G31" s="128" t="n"/>
      <c r="H31" s="129" t="n"/>
      <c r="I31" s="130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idden="1" ht="15" customHeight="1" s="236">
      <c r="A32" s="223" t="n"/>
      <c r="B32" s="125" t="n"/>
      <c r="C32" s="125" t="n"/>
      <c r="D32" s="130" t="n"/>
      <c r="E32" s="125" t="n"/>
      <c r="F32" s="127" t="n"/>
      <c r="G32" s="128" t="n"/>
      <c r="H32" s="129" t="n"/>
      <c r="I32" s="130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 t="n"/>
      <c r="B33" s="125" t="n"/>
      <c r="C33" s="125" t="n"/>
      <c r="D33" s="130" t="n"/>
      <c r="E33" s="125" t="n"/>
      <c r="F33" s="127" t="n"/>
      <c r="G33" s="128" t="n"/>
      <c r="H33" s="129" t="n"/>
      <c r="I33" s="130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 t="n"/>
      <c r="B34" s="125" t="n"/>
      <c r="C34" s="125" t="n"/>
      <c r="D34" s="130" t="n"/>
      <c r="E34" s="125" t="n"/>
      <c r="F34" s="127" t="n"/>
      <c r="G34" s="128" t="n"/>
      <c r="H34" s="129" t="n"/>
      <c r="I34" s="130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 t="n"/>
      <c r="B35" s="125" t="n"/>
      <c r="C35" s="125" t="n"/>
      <c r="D35" s="130" t="n"/>
      <c r="E35" s="125" t="n"/>
      <c r="F35" s="127" t="n"/>
      <c r="G35" s="128" t="n"/>
      <c r="H35" s="129" t="n"/>
      <c r="I35" s="130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 t="n"/>
      <c r="B36" s="125" t="n"/>
      <c r="C36" s="125" t="n"/>
      <c r="D36" s="130" t="n"/>
      <c r="E36" s="125" t="n"/>
      <c r="F36" s="127" t="n"/>
      <c r="G36" s="128" t="n"/>
      <c r="H36" s="129" t="n"/>
      <c r="I36" s="130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 t="n"/>
      <c r="B37" s="125" t="n"/>
      <c r="C37" s="125" t="n"/>
      <c r="D37" s="130" t="n"/>
      <c r="E37" s="125" t="n"/>
      <c r="F37" s="127" t="n"/>
      <c r="G37" s="128" t="n"/>
      <c r="H37" s="129" t="n"/>
      <c r="I37" s="130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 t="n"/>
      <c r="B38" s="125" t="n"/>
      <c r="C38" s="125" t="n"/>
      <c r="D38" s="130" t="n"/>
      <c r="E38" s="125" t="n"/>
      <c r="F38" s="127" t="n"/>
      <c r="G38" s="128" t="n"/>
      <c r="H38" s="129" t="n"/>
      <c r="I38" s="130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 t="n"/>
      <c r="B39" s="125" t="n"/>
      <c r="C39" s="125" t="n"/>
      <c r="D39" s="130" t="n"/>
      <c r="E39" s="125" t="n"/>
      <c r="F39" s="127" t="n"/>
      <c r="G39" s="128" t="n"/>
      <c r="H39" s="129" t="n"/>
      <c r="I39" s="130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 t="n"/>
      <c r="B40" s="125" t="n"/>
      <c r="C40" s="125" t="n"/>
      <c r="D40" s="130" t="n"/>
      <c r="E40" s="125" t="n"/>
      <c r="F40" s="127" t="n"/>
      <c r="G40" s="128" t="n"/>
      <c r="H40" s="129" t="n"/>
      <c r="I40" s="130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 t="n"/>
      <c r="B41" s="125" t="n"/>
      <c r="C41" s="125" t="n"/>
      <c r="D41" s="130" t="n"/>
      <c r="E41" s="125" t="n"/>
      <c r="F41" s="127" t="n"/>
      <c r="G41" s="128" t="n"/>
      <c r="H41" s="129" t="n"/>
      <c r="I41" s="130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 t="n"/>
      <c r="B42" s="125" t="n"/>
      <c r="C42" s="125" t="n"/>
      <c r="D42" s="130" t="n"/>
      <c r="E42" s="125" t="n"/>
      <c r="F42" s="127" t="n"/>
      <c r="G42" s="128" t="n"/>
      <c r="H42" s="129" t="n"/>
      <c r="I42" s="130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 t="n"/>
      <c r="B43" s="125" t="n"/>
      <c r="C43" s="125" t="n"/>
      <c r="D43" s="130" t="n"/>
      <c r="E43" s="125" t="n"/>
      <c r="F43" s="127" t="n"/>
      <c r="G43" s="128" t="n"/>
      <c r="H43" s="129" t="n"/>
      <c r="I43" s="130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 t="n"/>
      <c r="B44" s="125" t="n"/>
      <c r="C44" s="125" t="n"/>
      <c r="D44" s="130" t="n"/>
      <c r="E44" s="125" t="n"/>
      <c r="F44" s="127" t="n"/>
      <c r="G44" s="128" t="n"/>
      <c r="H44" s="129" t="n"/>
      <c r="I44" s="130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 t="n"/>
      <c r="B45" s="125" t="n"/>
      <c r="C45" s="125" t="n"/>
      <c r="D45" s="130" t="n"/>
      <c r="E45" s="125" t="n"/>
      <c r="F45" s="127" t="n"/>
      <c r="G45" s="128" t="n"/>
      <c r="H45" s="129" t="n"/>
      <c r="I45" s="130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 t="n"/>
      <c r="B46" s="125" t="n"/>
      <c r="C46" s="125" t="n"/>
      <c r="D46" s="130" t="n"/>
      <c r="E46" s="125" t="n"/>
      <c r="F46" s="127" t="n"/>
      <c r="G46" s="128" t="n"/>
      <c r="H46" s="129" t="n"/>
      <c r="I46" s="130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 t="n"/>
      <c r="B47" s="125" t="n"/>
      <c r="C47" s="125" t="n"/>
      <c r="D47" s="130" t="n"/>
      <c r="E47" s="125" t="n"/>
      <c r="F47" s="127" t="n"/>
      <c r="G47" s="128" t="n"/>
      <c r="H47" s="129" t="n"/>
      <c r="I47" s="130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 t="n"/>
      <c r="B48" s="125" t="n"/>
      <c r="C48" s="125" t="n"/>
      <c r="D48" s="130" t="n"/>
      <c r="E48" s="125" t="n"/>
      <c r="F48" s="127" t="n"/>
      <c r="G48" s="128" t="n"/>
      <c r="H48" s="129" t="n"/>
      <c r="I48" s="130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 t="n"/>
      <c r="B49" s="125" t="n"/>
      <c r="C49" s="125" t="n"/>
      <c r="D49" s="130" t="n"/>
      <c r="E49" s="125" t="n"/>
      <c r="F49" s="127" t="n"/>
      <c r="G49" s="128" t="n"/>
      <c r="H49" s="129" t="n"/>
      <c r="I49" s="130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 t="n"/>
      <c r="B50" s="125" t="n"/>
      <c r="C50" s="125" t="n"/>
      <c r="D50" s="130" t="n"/>
      <c r="E50" s="125" t="n"/>
      <c r="F50" s="127" t="n"/>
      <c r="G50" s="128" t="n"/>
      <c r="H50" s="129" t="n"/>
      <c r="I50" s="130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 t="n"/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n"/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n"/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n"/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n"/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n"/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n"/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3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7.75" customWidth="1" style="236" min="4" max="4"/>
    <col width="23" customWidth="1" style="236" min="5" max="5"/>
    <col width="12.88" customWidth="1" style="236" min="6" max="6"/>
    <col width="6.25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45.75" customHeight="1" s="236">
      <c r="A1" s="122" t="inlineStr">
        <is>
          <t>THE STATEMENT SHOWING THE PRIORITY LIST OF RICE FRK 2024-25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37" t="inlineStr">
        <is>
          <t>Sr No.</t>
        </is>
      </c>
      <c r="B2" s="138" t="inlineStr">
        <is>
          <t>Shed No.</t>
        </is>
      </c>
      <c r="C2" s="138" t="inlineStr">
        <is>
          <t>Stack No.</t>
        </is>
      </c>
      <c r="D2" s="139" t="inlineStr">
        <is>
          <t>RDate of Receipt</t>
        </is>
      </c>
      <c r="E2" s="138" t="inlineStr">
        <is>
          <t>Commodity/Crop Year</t>
        </is>
      </c>
      <c r="F2" s="140" t="inlineStr">
        <is>
          <t>Qty(in MT)</t>
        </is>
      </c>
      <c r="G2" s="128" t="inlineStr">
        <is>
          <t>Cat</t>
        </is>
      </c>
      <c r="H2" s="128" t="inlineStr">
        <is>
          <t>Remarks</t>
        </is>
      </c>
      <c r="I2" s="141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 t="n">
        <v>1</v>
      </c>
      <c r="B3" s="132" t="n">
        <v>14</v>
      </c>
      <c r="C3" s="132" t="inlineStr">
        <is>
          <t>14B13</t>
        </is>
      </c>
      <c r="D3" s="298" t="n">
        <v>45944</v>
      </c>
      <c r="E3" s="132" t="inlineStr">
        <is>
          <t>FRK  RRA 2024-25</t>
        </is>
      </c>
      <c r="F3" s="299" t="n">
        <v>149.676154</v>
      </c>
      <c r="G3" s="135" t="inlineStr">
        <is>
          <t>A</t>
        </is>
      </c>
      <c r="H3" s="136" t="inlineStr"/>
      <c r="I3" s="133" t="inlineStr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 t="n">
        <v>2</v>
      </c>
      <c r="B4" s="132" t="n">
        <v>9</v>
      </c>
      <c r="C4" s="132" t="inlineStr">
        <is>
          <t>9B12</t>
        </is>
      </c>
      <c r="D4" s="298" t="n">
        <v>45948</v>
      </c>
      <c r="E4" s="132" t="inlineStr">
        <is>
          <t>FRK  RRA 2024-25</t>
        </is>
      </c>
      <c r="F4" s="299" t="n">
        <v>172.85983</v>
      </c>
      <c r="G4" s="135" t="inlineStr">
        <is>
          <t>A</t>
        </is>
      </c>
      <c r="H4" s="136" t="inlineStr"/>
      <c r="I4" s="133" t="inlineStr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 t="n">
        <v>3</v>
      </c>
      <c r="B5" s="132" t="n">
        <v>9</v>
      </c>
      <c r="C5" s="132" t="inlineStr">
        <is>
          <t>9A07</t>
        </is>
      </c>
      <c r="D5" s="298" t="n">
        <v>45954</v>
      </c>
      <c r="E5" s="132" t="inlineStr">
        <is>
          <t>FRK  RRA 2024-25</t>
        </is>
      </c>
      <c r="F5" s="299" t="n">
        <v>172.964622</v>
      </c>
      <c r="G5" s="135" t="inlineStr">
        <is>
          <t>A</t>
        </is>
      </c>
      <c r="H5" s="136" t="inlineStr"/>
      <c r="I5" s="133" t="inlineStr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 t="n">
        <v>4</v>
      </c>
      <c r="B6" s="132" t="n">
        <v>18</v>
      </c>
      <c r="C6" s="132" t="inlineStr">
        <is>
          <t>18A03</t>
        </is>
      </c>
      <c r="D6" s="298" t="n">
        <v>45964</v>
      </c>
      <c r="E6" s="132" t="inlineStr">
        <is>
          <t>FRK  RRA 2024-25</t>
        </is>
      </c>
      <c r="F6" s="299" t="n">
        <v>172.986342</v>
      </c>
      <c r="G6" s="135" t="inlineStr">
        <is>
          <t>A</t>
        </is>
      </c>
      <c r="H6" s="136" t="inlineStr"/>
      <c r="I6" s="133" t="inlineStr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 t="n">
        <v>5</v>
      </c>
      <c r="B7" s="132" t="n">
        <v>9</v>
      </c>
      <c r="C7" s="132" t="inlineStr">
        <is>
          <t>9B14</t>
        </is>
      </c>
      <c r="D7" s="298" t="n">
        <v>46018</v>
      </c>
      <c r="E7" s="132" t="inlineStr">
        <is>
          <t>FRK  RRA 2024-25</t>
        </is>
      </c>
      <c r="F7" s="299" t="n">
        <v>173.251172</v>
      </c>
      <c r="G7" s="135" t="inlineStr">
        <is>
          <t>A</t>
        </is>
      </c>
      <c r="H7" s="136" t="inlineStr"/>
      <c r="I7" s="133" t="inlineStr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 t="n">
        <v>6</v>
      </c>
      <c r="B8" s="132" t="n">
        <v>9</v>
      </c>
      <c r="C8" s="132" t="inlineStr">
        <is>
          <t>9B13</t>
        </is>
      </c>
      <c r="D8" s="298" t="n">
        <v>46043</v>
      </c>
      <c r="E8" s="132" t="inlineStr">
        <is>
          <t>FRK  RRA 2024-25</t>
        </is>
      </c>
      <c r="F8" s="299" t="n">
        <v>172.480731</v>
      </c>
      <c r="G8" s="135" t="inlineStr">
        <is>
          <t>A</t>
        </is>
      </c>
      <c r="H8" s="136" t="inlineStr"/>
      <c r="I8" s="133" t="inlineStr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 t="n">
        <v>7</v>
      </c>
      <c r="B9" s="132" t="n">
        <v>18</v>
      </c>
      <c r="C9" s="132" t="inlineStr">
        <is>
          <t>18A01</t>
        </is>
      </c>
      <c r="D9" s="298" t="n">
        <v>46043</v>
      </c>
      <c r="E9" s="132" t="inlineStr">
        <is>
          <t>FRK  RRA 2024-25</t>
        </is>
      </c>
      <c r="F9" s="299" t="n">
        <v>172.480731</v>
      </c>
      <c r="G9" s="135" t="inlineStr">
        <is>
          <t>A</t>
        </is>
      </c>
      <c r="H9" s="136" t="inlineStr"/>
      <c r="I9" s="133" t="inlineStr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 t="n">
        <v>8</v>
      </c>
      <c r="B10" s="132" t="n">
        <v>14</v>
      </c>
      <c r="C10" s="132" t="inlineStr">
        <is>
          <t>14A07</t>
        </is>
      </c>
      <c r="D10" s="298" t="n">
        <v>46098</v>
      </c>
      <c r="E10" s="132" t="inlineStr">
        <is>
          <t>FRK  RRA 2024-25</t>
        </is>
      </c>
      <c r="F10" s="299" t="n">
        <v>173.195651</v>
      </c>
      <c r="G10" s="135" t="inlineStr">
        <is>
          <t>A</t>
        </is>
      </c>
      <c r="H10" s="136" t="inlineStr"/>
      <c r="I10" s="133" t="inlineStr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 t="n">
        <v>9</v>
      </c>
      <c r="B11" s="132" t="n">
        <v>14</v>
      </c>
      <c r="C11" s="132" t="inlineStr">
        <is>
          <t>14B10</t>
        </is>
      </c>
      <c r="D11" s="298" t="n">
        <v>46098</v>
      </c>
      <c r="E11" s="132" t="inlineStr">
        <is>
          <t>FRK  RRA 2024-25</t>
        </is>
      </c>
      <c r="F11" s="299" t="n">
        <v>172.303651</v>
      </c>
      <c r="G11" s="135" t="inlineStr">
        <is>
          <t>A</t>
        </is>
      </c>
      <c r="H11" s="136" t="inlineStr"/>
      <c r="I11" s="133" t="inlineStr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 t="n">
        <v>10</v>
      </c>
      <c r="B12" s="132" t="n">
        <v>18</v>
      </c>
      <c r="C12" s="132" t="inlineStr">
        <is>
          <t>18A09</t>
        </is>
      </c>
      <c r="D12" s="298" t="n">
        <v>46100</v>
      </c>
      <c r="E12" s="132" t="inlineStr">
        <is>
          <t>FRK  RRA 2024-25</t>
        </is>
      </c>
      <c r="F12" s="299" t="n">
        <v>173.324292</v>
      </c>
      <c r="G12" s="135" t="inlineStr">
        <is>
          <t>A</t>
        </is>
      </c>
      <c r="H12" s="136" t="inlineStr"/>
      <c r="I12" s="133" t="inlineStr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 t="n">
        <v>11</v>
      </c>
      <c r="B13" s="132" t="n">
        <v>14</v>
      </c>
      <c r="C13" s="132" t="inlineStr">
        <is>
          <t>14A08</t>
        </is>
      </c>
      <c r="D13" s="298" t="n">
        <v>46104</v>
      </c>
      <c r="E13" s="132" t="inlineStr">
        <is>
          <t>FRK  RRA 2024-25</t>
        </is>
      </c>
      <c r="F13" s="299" t="n">
        <v>172.786144</v>
      </c>
      <c r="G13" s="135" t="inlineStr">
        <is>
          <t>A</t>
        </is>
      </c>
      <c r="H13" s="136" t="inlineStr"/>
      <c r="I13" s="133" t="inlineStr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 t="n">
        <v>12</v>
      </c>
      <c r="B14" s="132" t="n">
        <v>9</v>
      </c>
      <c r="C14" s="132" t="inlineStr">
        <is>
          <t>9A08</t>
        </is>
      </c>
      <c r="D14" s="298" t="n">
        <v>46107</v>
      </c>
      <c r="E14" s="132" t="inlineStr">
        <is>
          <t>FRK  RRA 2024-25</t>
        </is>
      </c>
      <c r="F14" s="299" t="n">
        <v>173.953365</v>
      </c>
      <c r="G14" s="135" t="inlineStr">
        <is>
          <t>A</t>
        </is>
      </c>
      <c r="H14" s="136" t="inlineStr"/>
      <c r="I14" s="133" t="inlineStr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 t="n">
        <v>13</v>
      </c>
      <c r="B15" s="132" t="n">
        <v>9</v>
      </c>
      <c r="C15" s="132" t="inlineStr">
        <is>
          <t>9B16</t>
        </is>
      </c>
      <c r="D15" s="298" t="n">
        <v>46108</v>
      </c>
      <c r="E15" s="132" t="inlineStr">
        <is>
          <t>FRK  RRA 2024-25</t>
        </is>
      </c>
      <c r="F15" s="299" t="n">
        <v>172.736064</v>
      </c>
      <c r="G15" s="135" t="inlineStr">
        <is>
          <t>A</t>
        </is>
      </c>
      <c r="H15" s="136" t="inlineStr"/>
      <c r="I15" s="133" t="inlineStr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 t="n">
        <v>14</v>
      </c>
      <c r="B16" s="132" t="n">
        <v>14</v>
      </c>
      <c r="C16" s="132" t="inlineStr">
        <is>
          <t>14B12</t>
        </is>
      </c>
      <c r="D16" s="298" t="n">
        <v>46108</v>
      </c>
      <c r="E16" s="132" t="inlineStr">
        <is>
          <t>FRK  RRA 2024-25</t>
        </is>
      </c>
      <c r="F16" s="299" t="n">
        <v>173.878683</v>
      </c>
      <c r="G16" s="135" t="inlineStr">
        <is>
          <t>A</t>
        </is>
      </c>
      <c r="H16" s="136" t="inlineStr"/>
      <c r="I16" s="133" t="inlineStr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 t="n">
        <v>15</v>
      </c>
      <c r="B17" s="132" t="n">
        <v>9</v>
      </c>
      <c r="C17" s="132" t="inlineStr">
        <is>
          <t>9B10</t>
        </is>
      </c>
      <c r="D17" s="298" t="n">
        <v>46112</v>
      </c>
      <c r="E17" s="132" t="inlineStr">
        <is>
          <t>FRK  RRA 2024-25</t>
        </is>
      </c>
      <c r="F17" s="299" t="n">
        <v>170.647564</v>
      </c>
      <c r="G17" s="135" t="inlineStr">
        <is>
          <t>A</t>
        </is>
      </c>
      <c r="H17" s="136" t="inlineStr"/>
      <c r="I17" s="133" t="inlineStr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 t="n">
        <v>16</v>
      </c>
      <c r="B18" s="132" t="n">
        <v>18</v>
      </c>
      <c r="C18" s="132" t="inlineStr">
        <is>
          <t>18A04</t>
        </is>
      </c>
      <c r="D18" s="298" t="n">
        <v>46112</v>
      </c>
      <c r="E18" s="132" t="inlineStr">
        <is>
          <t>FRK  RRA 2024-25</t>
        </is>
      </c>
      <c r="F18" s="299" t="n">
        <v>170.648875</v>
      </c>
      <c r="G18" s="135" t="inlineStr">
        <is>
          <t>A</t>
        </is>
      </c>
      <c r="H18" s="136" t="inlineStr"/>
      <c r="I18" s="133" t="inlineStr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 t="n">
        <v>17</v>
      </c>
      <c r="B19" s="132" t="n">
        <v>18</v>
      </c>
      <c r="C19" s="132" t="inlineStr">
        <is>
          <t>18A02</t>
        </is>
      </c>
      <c r="D19" s="298" t="n">
        <v>46118</v>
      </c>
      <c r="E19" s="132" t="inlineStr">
        <is>
          <t>FRK  RRA 2024-25</t>
        </is>
      </c>
      <c r="F19" s="299" t="n">
        <v>173.348281</v>
      </c>
      <c r="G19" s="135" t="inlineStr">
        <is>
          <t>A</t>
        </is>
      </c>
      <c r="H19" s="136" t="inlineStr"/>
      <c r="I19" s="133" t="inlineStr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 t="n">
        <v>18</v>
      </c>
      <c r="B20" s="132" t="n">
        <v>9</v>
      </c>
      <c r="C20" s="132" t="inlineStr">
        <is>
          <t>9A01</t>
        </is>
      </c>
      <c r="D20" s="298" t="n">
        <v>46122</v>
      </c>
      <c r="E20" s="132" t="inlineStr">
        <is>
          <t>FRK  RRA 2024-25</t>
        </is>
      </c>
      <c r="F20" s="299" t="n">
        <v>170.759474</v>
      </c>
      <c r="G20" s="135" t="inlineStr">
        <is>
          <t>A</t>
        </is>
      </c>
      <c r="H20" s="136" t="inlineStr"/>
      <c r="I20" s="133" t="inlineStr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131" t="n">
        <v>19</v>
      </c>
      <c r="B21" s="132" t="n">
        <v>14</v>
      </c>
      <c r="C21" s="132" t="inlineStr">
        <is>
          <t>14B11</t>
        </is>
      </c>
      <c r="D21" s="298" t="n">
        <v>46172</v>
      </c>
      <c r="E21" s="132" t="inlineStr">
        <is>
          <t>FRK  RRA 2024-25</t>
        </is>
      </c>
      <c r="F21" s="299" t="n">
        <v>160.88036</v>
      </c>
      <c r="G21" s="135" t="inlineStr">
        <is>
          <t>A</t>
        </is>
      </c>
      <c r="H21" s="136" t="inlineStr"/>
      <c r="I21" s="133" t="inlineStr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131" t="n">
        <v>20</v>
      </c>
      <c r="B22" s="132" t="n">
        <v>14</v>
      </c>
      <c r="C22" s="132" t="inlineStr">
        <is>
          <t>14A06</t>
        </is>
      </c>
      <c r="D22" s="298" t="n">
        <v>46175</v>
      </c>
      <c r="E22" s="132" t="inlineStr">
        <is>
          <t>FRK  RRA 2024-25</t>
        </is>
      </c>
      <c r="F22" s="299" t="n">
        <v>170.623897</v>
      </c>
      <c r="G22" s="135" t="inlineStr">
        <is>
          <t>A</t>
        </is>
      </c>
      <c r="H22" s="136" t="inlineStr"/>
      <c r="I22" s="133" t="inlineStr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131" t="n">
        <v>21</v>
      </c>
      <c r="B23" s="132" t="n">
        <v>14</v>
      </c>
      <c r="C23" s="132" t="inlineStr">
        <is>
          <t>14A09</t>
        </is>
      </c>
      <c r="D23" s="298" t="n">
        <v>46175</v>
      </c>
      <c r="E23" s="132" t="inlineStr">
        <is>
          <t>FRK  RRA 2024-25</t>
        </is>
      </c>
      <c r="F23" s="299" t="n">
        <v>170.650613</v>
      </c>
      <c r="G23" s="135" t="inlineStr">
        <is>
          <t>A</t>
        </is>
      </c>
      <c r="H23" s="136" t="inlineStr"/>
      <c r="I23" s="133" t="inlineStr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131" t="n">
        <v>22</v>
      </c>
      <c r="B24" s="132" t="n">
        <v>18</v>
      </c>
      <c r="C24" s="132" t="inlineStr">
        <is>
          <t>18A07</t>
        </is>
      </c>
      <c r="D24" s="298" t="n">
        <v>46207</v>
      </c>
      <c r="E24" s="132" t="inlineStr">
        <is>
          <t>FRK  RRA 2024-25</t>
        </is>
      </c>
      <c r="F24" s="299" t="n">
        <v>92.47653800000001</v>
      </c>
      <c r="G24" s="135" t="inlineStr">
        <is>
          <t>A</t>
        </is>
      </c>
      <c r="H24" s="136" t="inlineStr"/>
      <c r="I24" s="133" t="inlineStr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t="15" customHeight="1" s="236">
      <c r="A25" s="131" t="n"/>
      <c r="B25" s="132" t="n"/>
      <c r="C25" s="132" t="n"/>
      <c r="D25" s="133" t="n"/>
      <c r="E25" s="132" t="n"/>
      <c r="F25" s="134" t="n"/>
      <c r="G25" s="135" t="n"/>
      <c r="H25" s="136" t="n"/>
      <c r="I25" s="13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t="15" customHeight="1" s="236">
      <c r="A26" s="131" t="n"/>
      <c r="B26" s="132" t="n"/>
      <c r="C26" s="132" t="n"/>
      <c r="D26" s="133" t="n"/>
      <c r="E26" s="132" t="n"/>
      <c r="F26" s="134" t="n"/>
      <c r="G26" s="135" t="n"/>
      <c r="H26" s="136" t="n"/>
      <c r="I26" s="13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t="15" customHeight="1" s="236">
      <c r="A27" s="131" t="n"/>
      <c r="B27" s="132" t="n"/>
      <c r="C27" s="132" t="n"/>
      <c r="D27" s="133" t="n"/>
      <c r="E27" s="132" t="n"/>
      <c r="F27" s="134" t="n"/>
      <c r="G27" s="135" t="n"/>
      <c r="H27" s="136" t="n"/>
      <c r="I27" s="13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t="15" customHeight="1" s="236">
      <c r="A28" s="131" t="n"/>
      <c r="B28" s="132" t="n"/>
      <c r="C28" s="132" t="n"/>
      <c r="D28" s="133" t="n"/>
      <c r="E28" s="132" t="n"/>
      <c r="F28" s="134" t="n"/>
      <c r="G28" s="135" t="n"/>
      <c r="H28" s="136" t="n"/>
      <c r="I28" s="13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t="15" customHeight="1" s="236">
      <c r="A29" s="131" t="n"/>
      <c r="B29" s="132" t="n"/>
      <c r="C29" s="132" t="n"/>
      <c r="D29" s="133" t="n"/>
      <c r="E29" s="132" t="n"/>
      <c r="F29" s="134" t="n"/>
      <c r="G29" s="135" t="n"/>
      <c r="H29" s="136" t="n"/>
      <c r="I29" s="13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t="15" customHeight="1" s="236">
      <c r="A30" s="223" t="n"/>
      <c r="B30" s="125" t="n"/>
      <c r="C30" s="125" t="n"/>
      <c r="D30" s="130" t="n"/>
      <c r="E30" s="125" t="n"/>
      <c r="F30" s="127" t="n"/>
      <c r="G30" s="128" t="n"/>
      <c r="H30" s="129" t="n"/>
      <c r="I30" s="130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t="15" customHeight="1" s="236">
      <c r="A31" s="223" t="n"/>
      <c r="B31" s="125" t="n"/>
      <c r="C31" s="125" t="n"/>
      <c r="D31" s="130" t="n"/>
      <c r="E31" s="125" t="n"/>
      <c r="F31" s="127" t="n"/>
      <c r="G31" s="128" t="n"/>
      <c r="H31" s="129" t="n"/>
      <c r="I31" s="130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t="15" customHeight="1" s="236">
      <c r="A32" s="223" t="n"/>
      <c r="B32" s="125" t="n"/>
      <c r="C32" s="125" t="n"/>
      <c r="D32" s="130" t="n"/>
      <c r="E32" s="125" t="n"/>
      <c r="F32" s="127" t="n"/>
      <c r="G32" s="128" t="n"/>
      <c r="H32" s="129" t="n"/>
      <c r="I32" s="130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 t="n"/>
      <c r="B33" s="125" t="n"/>
      <c r="C33" s="125" t="n"/>
      <c r="D33" s="130" t="n"/>
      <c r="E33" s="125" t="n"/>
      <c r="F33" s="127" t="n"/>
      <c r="G33" s="128" t="n"/>
      <c r="H33" s="129" t="n"/>
      <c r="I33" s="130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 t="n"/>
      <c r="B34" s="125" t="n"/>
      <c r="C34" s="125" t="n"/>
      <c r="D34" s="130" t="n"/>
      <c r="E34" s="125" t="n"/>
      <c r="F34" s="127" t="n"/>
      <c r="G34" s="128" t="n"/>
      <c r="H34" s="129" t="n"/>
      <c r="I34" s="130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 t="n"/>
      <c r="B35" s="125" t="n"/>
      <c r="C35" s="125" t="n"/>
      <c r="D35" s="130" t="n"/>
      <c r="E35" s="125" t="n"/>
      <c r="F35" s="127" t="n"/>
      <c r="G35" s="128" t="n"/>
      <c r="H35" s="129" t="n"/>
      <c r="I35" s="130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 t="n"/>
      <c r="B36" s="125" t="n"/>
      <c r="C36" s="125" t="n"/>
      <c r="D36" s="130" t="n"/>
      <c r="E36" s="125" t="n"/>
      <c r="F36" s="127" t="n"/>
      <c r="G36" s="128" t="n"/>
      <c r="H36" s="129" t="n"/>
      <c r="I36" s="130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 t="n"/>
      <c r="B37" s="125" t="n"/>
      <c r="C37" s="125" t="n"/>
      <c r="D37" s="130" t="n"/>
      <c r="E37" s="125" t="n"/>
      <c r="F37" s="127" t="n"/>
      <c r="G37" s="128" t="n"/>
      <c r="H37" s="129" t="n"/>
      <c r="I37" s="130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 t="n"/>
      <c r="B38" s="125" t="n"/>
      <c r="C38" s="125" t="n"/>
      <c r="D38" s="130" t="n"/>
      <c r="E38" s="125" t="n"/>
      <c r="F38" s="127" t="n"/>
      <c r="G38" s="128" t="n"/>
      <c r="H38" s="129" t="n"/>
      <c r="I38" s="130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 t="n"/>
      <c r="B39" s="125" t="n"/>
      <c r="C39" s="125" t="n"/>
      <c r="D39" s="130" t="n"/>
      <c r="E39" s="125" t="n"/>
      <c r="F39" s="127" t="n"/>
      <c r="G39" s="128" t="n"/>
      <c r="H39" s="129" t="n"/>
      <c r="I39" s="130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 t="n"/>
      <c r="B40" s="125" t="n"/>
      <c r="C40" s="125" t="n"/>
      <c r="D40" s="130" t="n"/>
      <c r="E40" s="125" t="n"/>
      <c r="F40" s="127" t="n"/>
      <c r="G40" s="128" t="n"/>
      <c r="H40" s="129" t="n"/>
      <c r="I40" s="130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 t="n"/>
      <c r="B41" s="125" t="n"/>
      <c r="C41" s="125" t="n"/>
      <c r="D41" s="130" t="n"/>
      <c r="E41" s="125" t="n"/>
      <c r="F41" s="127" t="n"/>
      <c r="G41" s="128" t="n"/>
      <c r="H41" s="129" t="n"/>
      <c r="I41" s="130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 t="n"/>
      <c r="B42" s="125" t="n"/>
      <c r="C42" s="125" t="n"/>
      <c r="D42" s="130" t="n"/>
      <c r="E42" s="125" t="n"/>
      <c r="F42" s="127" t="n"/>
      <c r="G42" s="128" t="n"/>
      <c r="H42" s="129" t="n"/>
      <c r="I42" s="130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 t="n"/>
      <c r="B43" s="125" t="n"/>
      <c r="C43" s="125" t="n"/>
      <c r="D43" s="130" t="n"/>
      <c r="E43" s="125" t="n"/>
      <c r="F43" s="127" t="n"/>
      <c r="G43" s="128" t="n"/>
      <c r="H43" s="129" t="n"/>
      <c r="I43" s="130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 t="n"/>
      <c r="B44" s="125" t="n"/>
      <c r="C44" s="125" t="n"/>
      <c r="D44" s="130" t="n"/>
      <c r="E44" s="125" t="n"/>
      <c r="F44" s="127" t="n"/>
      <c r="G44" s="128" t="n"/>
      <c r="H44" s="129" t="n"/>
      <c r="I44" s="130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 t="n"/>
      <c r="B45" s="125" t="n"/>
      <c r="C45" s="125" t="n"/>
      <c r="D45" s="130" t="n"/>
      <c r="E45" s="125" t="n"/>
      <c r="F45" s="127" t="n"/>
      <c r="G45" s="128" t="n"/>
      <c r="H45" s="129" t="n"/>
      <c r="I45" s="130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 t="n"/>
      <c r="B46" s="125" t="n"/>
      <c r="C46" s="125" t="n"/>
      <c r="D46" s="130" t="n"/>
      <c r="E46" s="125" t="n"/>
      <c r="F46" s="127" t="n"/>
      <c r="G46" s="128" t="n"/>
      <c r="H46" s="129" t="n"/>
      <c r="I46" s="130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 t="n"/>
      <c r="B47" s="125" t="n"/>
      <c r="C47" s="125" t="n"/>
      <c r="D47" s="130" t="n"/>
      <c r="E47" s="125" t="n"/>
      <c r="F47" s="127" t="n"/>
      <c r="G47" s="128" t="n"/>
      <c r="H47" s="129" t="n"/>
      <c r="I47" s="130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 t="n"/>
      <c r="B48" s="125" t="n"/>
      <c r="C48" s="125" t="n"/>
      <c r="D48" s="130" t="n"/>
      <c r="E48" s="125" t="n"/>
      <c r="F48" s="127" t="n"/>
      <c r="G48" s="128" t="n"/>
      <c r="H48" s="129" t="n"/>
      <c r="I48" s="130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 t="n"/>
      <c r="B49" s="125" t="n"/>
      <c r="C49" s="125" t="n"/>
      <c r="D49" s="130" t="n"/>
      <c r="E49" s="125" t="n"/>
      <c r="F49" s="127" t="n"/>
      <c r="G49" s="128" t="n"/>
      <c r="H49" s="129" t="n"/>
      <c r="I49" s="130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 t="n"/>
      <c r="B50" s="125" t="n"/>
      <c r="C50" s="125" t="n"/>
      <c r="D50" s="130" t="n"/>
      <c r="E50" s="125" t="n"/>
      <c r="F50" s="127" t="n"/>
      <c r="G50" s="128" t="n"/>
      <c r="H50" s="129" t="n"/>
      <c r="I50" s="130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 t="n"/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n"/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n"/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n"/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n"/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n"/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n"/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6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5" customWidth="1" style="236" min="1" max="1"/>
    <col width="12.25" customWidth="1" style="236" min="2" max="2"/>
    <col width="11.38" customWidth="1" style="236" min="3" max="3"/>
    <col width="10.5" customWidth="1" style="236" min="4" max="4"/>
    <col width="12.25" customWidth="1" style="236" min="5" max="5"/>
    <col width="14" customWidth="1" style="236" min="6" max="6"/>
  </cols>
  <sheetData>
    <row r="1" ht="27.75" customHeight="1" s="236">
      <c r="A1" s="209" t="inlineStr">
        <is>
          <t>Shed No.</t>
        </is>
      </c>
      <c r="B1" s="209" t="inlineStr">
        <is>
          <t>Total Stacks</t>
        </is>
      </c>
      <c r="C1" s="209" t="inlineStr">
        <is>
          <t>Occupied</t>
        </is>
      </c>
      <c r="D1" s="209" t="inlineStr">
        <is>
          <t>Empty</t>
        </is>
      </c>
      <c r="E1" s="209" t="inlineStr">
        <is>
          <t>Total Bags</t>
        </is>
      </c>
      <c r="F1" s="210" t="inlineStr">
        <is>
          <t>Total Qty (MT)</t>
        </is>
      </c>
    </row>
    <row r="2" ht="15" customHeight="1" s="236">
      <c r="A2" s="211" t="n">
        <v>9</v>
      </c>
      <c r="B2" s="211">
        <f>COUNTIF('Master Stock'!C:C,A2)</f>
        <v/>
      </c>
      <c r="C2" s="211">
        <f>COUNTIFS('Master Stock'!C:C,A2,'Master Stock'!H:H,"OCCUPIED")</f>
        <v/>
      </c>
      <c r="D2" s="211">
        <f>COUNTIFS('Master Stock'!C:C,A2,'Master Stock'!H:H,"EMPTY")</f>
        <v/>
      </c>
      <c r="E2" s="211">
        <f>SUMIF('Master Stock'!C:C,A2,'Master Stock'!E:E)</f>
        <v/>
      </c>
      <c r="F2" s="212">
        <f>SUMIF('Master Stock'!C:C,A2,'Master Stock'!F:F)</f>
        <v/>
      </c>
    </row>
    <row r="3" ht="15" customHeight="1" s="236">
      <c r="A3" s="211" t="n">
        <v>14</v>
      </c>
      <c r="B3" s="211">
        <f>COUNTIF('Master Stock'!C:C,A3)</f>
        <v/>
      </c>
      <c r="C3" s="211">
        <f>COUNTIFS('Master Stock'!C:C,A3,'Master Stock'!H:H,"OCCUPIED")</f>
        <v/>
      </c>
      <c r="D3" s="211">
        <f>COUNTIFS('Master Stock'!C:C,A3,'Master Stock'!H:H,"EMPTY")</f>
        <v/>
      </c>
      <c r="E3" s="211">
        <f>SUMIF('Master Stock'!C:C,A3,'Master Stock'!E:E)</f>
        <v/>
      </c>
      <c r="F3" s="212">
        <f>SUMIF('Master Stock'!C:C,A3,'Master Stock'!F:F)</f>
        <v/>
      </c>
    </row>
    <row r="4" ht="15" customHeight="1" s="236">
      <c r="A4" s="211" t="n">
        <v>18</v>
      </c>
      <c r="B4" s="211">
        <f>COUNTIF('Master Stock'!C:C,A4)</f>
        <v/>
      </c>
      <c r="C4" s="211">
        <f>COUNTIFS('Master Stock'!C:C,A4,'Master Stock'!H:H,"OCCUPIED")</f>
        <v/>
      </c>
      <c r="D4" s="211">
        <f>COUNTIFS('Master Stock'!C:C,A4,'Master Stock'!H:H,"EMPTY")</f>
        <v/>
      </c>
      <c r="E4" s="211">
        <f>SUMIF('Master Stock'!C:C,A4,'Master Stock'!E:E)</f>
        <v/>
      </c>
      <c r="F4" s="212">
        <f>SUMIF('Master Stock'!C:C,A4,'Master Stock'!F:F)</f>
        <v/>
      </c>
    </row>
    <row r="5" ht="15" customHeight="1" s="236">
      <c r="A5" s="211" t="n">
        <v>20</v>
      </c>
      <c r="B5" s="211">
        <f>COUNTIF('Master Stock'!C:C,A5)</f>
        <v/>
      </c>
      <c r="C5" s="211">
        <f>COUNTIFS('Master Stock'!C:C,A5,'Master Stock'!H:H,"OCCUPIED")</f>
        <v/>
      </c>
      <c r="D5" s="211">
        <f>COUNTIFS('Master Stock'!C:C,A5,'Master Stock'!H:H,"EMPTY")</f>
        <v/>
      </c>
      <c r="E5" s="211">
        <f>SUMIF('Master Stock'!C:C,A5,'Master Stock'!E:E)</f>
        <v/>
      </c>
      <c r="F5" s="212">
        <f>SUMIF('Master Stock'!C:C,A5,'Master Stock'!F:F)</f>
        <v/>
      </c>
    </row>
    <row r="6" ht="15" customHeight="1" s="236">
      <c r="A6" s="211" t="inlineStr">
        <is>
          <t>TS</t>
        </is>
      </c>
      <c r="B6" s="211" t="n"/>
      <c r="C6" s="211" t="n"/>
      <c r="D6" s="211" t="n"/>
      <c r="E6" s="211" t="n"/>
      <c r="F6" s="212" t="n"/>
    </row>
    <row r="7" ht="27.75" customHeight="1" s="236">
      <c r="A7" s="211" t="inlineStr">
        <is>
          <t>GRAND TOTAL</t>
        </is>
      </c>
      <c r="B7" s="211">
        <f>SUM(B2:B6)</f>
        <v/>
      </c>
      <c r="C7" s="211">
        <f>SUM(C2:C6)</f>
        <v/>
      </c>
      <c r="D7" s="211">
        <f>SUM(D2:D6)</f>
        <v/>
      </c>
      <c r="E7" s="211">
        <f>SUM(E2:E5)</f>
        <v/>
      </c>
      <c r="F7" s="212">
        <f>SUM(F2:F5)</f>
        <v/>
      </c>
    </row>
    <row r="8" ht="15" customHeight="1" s="236">
      <c r="A8" s="14" t="n"/>
      <c r="B8" s="14" t="n"/>
      <c r="C8" s="14" t="n"/>
      <c r="D8" s="14" t="n"/>
      <c r="E8" s="14" t="n"/>
      <c r="F8" s="68" t="n"/>
    </row>
    <row r="9" ht="15" customHeight="1" s="236">
      <c r="A9" s="14" t="n"/>
      <c r="B9" s="14" t="n"/>
      <c r="C9" s="14" t="n"/>
      <c r="D9" s="14" t="n"/>
      <c r="E9" s="14" t="n"/>
      <c r="F9" s="68" t="n"/>
    </row>
    <row r="10" ht="15" customHeight="1" s="236">
      <c r="A10" s="14" t="n"/>
      <c r="B10" s="14" t="n"/>
      <c r="C10" s="14" t="n"/>
      <c r="D10" s="14" t="n"/>
      <c r="E10" s="14" t="n"/>
      <c r="F10" s="68" t="n"/>
    </row>
    <row r="11" ht="15" customHeight="1" s="236">
      <c r="A11" s="14" t="n"/>
      <c r="B11" s="14" t="n"/>
      <c r="C11" s="14" t="n"/>
      <c r="D11" s="14" t="n"/>
      <c r="E11" s="14" t="n"/>
      <c r="F11" s="68" t="n"/>
    </row>
    <row r="12" ht="15" customHeight="1" s="236">
      <c r="A12" s="14" t="n"/>
      <c r="B12" s="14" t="n"/>
      <c r="C12" s="14" t="n"/>
      <c r="D12" s="14" t="n"/>
      <c r="E12" s="14" t="n"/>
      <c r="F12" s="68" t="n"/>
    </row>
    <row r="13" ht="15" customHeight="1" s="236">
      <c r="A13" s="14" t="n"/>
      <c r="B13" s="14" t="n"/>
      <c r="C13" s="14" t="n"/>
      <c r="D13" s="14" t="n"/>
      <c r="E13" s="14" t="n"/>
      <c r="F13" s="68" t="n"/>
    </row>
    <row r="14" ht="15" customHeight="1" s="236">
      <c r="A14" s="14" t="n"/>
      <c r="B14" s="14" t="n"/>
      <c r="C14" s="14" t="n"/>
      <c r="D14" s="14" t="n"/>
      <c r="E14" s="14" t="n"/>
      <c r="F14" s="68" t="n"/>
    </row>
    <row r="15" ht="15" customHeight="1" s="236">
      <c r="A15" s="14" t="n"/>
      <c r="B15" s="14" t="n"/>
      <c r="C15" s="14" t="n"/>
      <c r="D15" s="14" t="n"/>
      <c r="E15" s="14" t="n"/>
      <c r="F15" s="68" t="n"/>
    </row>
    <row r="16" ht="15" customHeight="1" s="236">
      <c r="A16" s="14" t="n"/>
      <c r="B16" s="14" t="n"/>
      <c r="C16" s="14" t="n"/>
      <c r="D16" s="14" t="n"/>
      <c r="E16" s="14" t="n"/>
      <c r="F16" s="68" t="n"/>
    </row>
    <row r="17" ht="15" customHeight="1" s="236">
      <c r="A17" s="14" t="n"/>
      <c r="B17" s="14" t="n"/>
      <c r="C17" s="14" t="n"/>
      <c r="D17" s="14" t="n"/>
      <c r="E17" s="14" t="n"/>
      <c r="F17" s="68" t="n"/>
    </row>
    <row r="18" ht="15" customHeight="1" s="236">
      <c r="A18" s="14" t="n"/>
      <c r="B18" s="14" t="n"/>
      <c r="C18" s="14" t="n"/>
      <c r="D18" s="14" t="n"/>
      <c r="E18" s="14" t="n"/>
      <c r="F18" s="68" t="n"/>
    </row>
    <row r="19" ht="15" customHeight="1" s="236">
      <c r="A19" s="14" t="n"/>
      <c r="B19" s="14" t="n"/>
      <c r="C19" s="14" t="n"/>
      <c r="D19" s="14" t="n"/>
      <c r="E19" s="14" t="n"/>
      <c r="F19" s="68" t="n"/>
    </row>
    <row r="20" ht="15" customHeight="1" s="236">
      <c r="A20" s="14" t="n"/>
      <c r="B20" s="14" t="n"/>
      <c r="C20" s="14" t="n"/>
      <c r="D20" s="14" t="n"/>
      <c r="E20" s="14" t="n"/>
      <c r="F20" s="68" t="n"/>
    </row>
    <row r="21" ht="15" customHeight="1" s="236">
      <c r="A21" s="14" t="n"/>
      <c r="B21" s="14" t="n"/>
      <c r="C21" s="14" t="n"/>
      <c r="D21" s="14" t="n"/>
      <c r="E21" s="14" t="n"/>
      <c r="F21" s="68" t="n"/>
    </row>
    <row r="22" ht="15.75" customHeight="1" s="236">
      <c r="A22" s="14" t="n"/>
      <c r="B22" s="14" t="n"/>
      <c r="C22" s="14" t="n"/>
      <c r="D22" s="14" t="n"/>
      <c r="E22" s="14" t="n"/>
      <c r="F22" s="68" t="n"/>
    </row>
    <row r="23" ht="15.75" customHeight="1" s="236">
      <c r="A23" s="14" t="n"/>
      <c r="B23" s="14" t="n"/>
      <c r="C23" s="14" t="n"/>
      <c r="D23" s="14" t="n"/>
      <c r="E23" s="14" t="n"/>
      <c r="F23" s="68" t="n"/>
    </row>
    <row r="24" ht="15.75" customHeight="1" s="236">
      <c r="A24" s="14" t="n"/>
      <c r="B24" s="14" t="n"/>
      <c r="C24" s="14" t="n"/>
      <c r="D24" s="14" t="n"/>
      <c r="E24" s="14" t="n"/>
      <c r="F24" s="68" t="n"/>
    </row>
    <row r="25" ht="15.75" customHeight="1" s="236">
      <c r="A25" s="14" t="n"/>
      <c r="B25" s="14" t="n"/>
      <c r="C25" s="14" t="n"/>
      <c r="D25" s="14" t="n"/>
      <c r="E25" s="14" t="n"/>
      <c r="F25" s="68" t="n"/>
    </row>
    <row r="26" ht="15.75" customHeight="1" s="236">
      <c r="A26" s="14" t="n"/>
      <c r="B26" s="14" t="n"/>
      <c r="C26" s="14" t="n"/>
      <c r="D26" s="14" t="n"/>
      <c r="E26" s="14" t="n"/>
      <c r="F26" s="68" t="n"/>
    </row>
    <row r="27" ht="15.75" customHeight="1" s="236">
      <c r="A27" s="14" t="n"/>
      <c r="B27" s="14" t="n"/>
      <c r="C27" s="14" t="n"/>
      <c r="D27" s="14" t="n"/>
      <c r="E27" s="14" t="n"/>
      <c r="F27" s="68" t="n"/>
    </row>
    <row r="28" ht="15.75" customHeight="1" s="236">
      <c r="A28" s="14" t="n"/>
      <c r="B28" s="14" t="n"/>
      <c r="C28" s="14" t="n"/>
      <c r="D28" s="14" t="n"/>
      <c r="E28" s="14" t="n"/>
      <c r="F28" s="68" t="n"/>
    </row>
    <row r="29" ht="15.75" customHeight="1" s="236">
      <c r="A29" s="14" t="n"/>
      <c r="B29" s="14" t="n"/>
      <c r="C29" s="14" t="n"/>
      <c r="D29" s="14" t="n"/>
      <c r="E29" s="14" t="n"/>
      <c r="F29" s="68" t="n"/>
    </row>
    <row r="30" ht="15.75" customHeight="1" s="236">
      <c r="A30" s="14" t="n"/>
      <c r="B30" s="14" t="n"/>
      <c r="C30" s="14" t="n"/>
      <c r="D30" s="14" t="n"/>
      <c r="E30" s="14" t="n"/>
      <c r="F30" s="68" t="n"/>
    </row>
    <row r="31" ht="15.75" customHeight="1" s="236">
      <c r="A31" s="14" t="n"/>
      <c r="B31" s="14" t="n"/>
      <c r="C31" s="14" t="n"/>
      <c r="D31" s="14" t="n"/>
      <c r="E31" s="14" t="n"/>
      <c r="F31" s="68" t="n"/>
    </row>
    <row r="32" ht="15.75" customHeight="1" s="236">
      <c r="A32" s="14" t="n"/>
      <c r="B32" s="14" t="n"/>
      <c r="C32" s="14" t="n"/>
      <c r="D32" s="14" t="n"/>
      <c r="E32" s="14" t="n"/>
      <c r="F32" s="68" t="n"/>
    </row>
    <row r="33" ht="15.75" customHeight="1" s="236">
      <c r="A33" s="14" t="n"/>
      <c r="B33" s="14" t="n"/>
      <c r="C33" s="14" t="n"/>
      <c r="D33" s="14" t="n"/>
      <c r="E33" s="14" t="n"/>
      <c r="F33" s="68" t="n"/>
    </row>
    <row r="34" ht="15.75" customHeight="1" s="236">
      <c r="A34" s="14" t="n"/>
      <c r="B34" s="14" t="n"/>
      <c r="C34" s="14" t="n"/>
      <c r="D34" s="14" t="n"/>
      <c r="E34" s="14" t="n"/>
      <c r="F34" s="68" t="n"/>
    </row>
    <row r="35" ht="15.75" customHeight="1" s="236">
      <c r="A35" s="14" t="n"/>
      <c r="B35" s="14" t="n"/>
      <c r="C35" s="14" t="n"/>
      <c r="D35" s="14" t="n"/>
      <c r="E35" s="14" t="n"/>
      <c r="F35" s="68" t="n"/>
    </row>
    <row r="36" ht="15.75" customHeight="1" s="236">
      <c r="A36" s="14" t="n"/>
      <c r="B36" s="14" t="n"/>
      <c r="C36" s="14" t="n"/>
      <c r="D36" s="14" t="n"/>
      <c r="E36" s="14" t="n"/>
      <c r="F36" s="68" t="n"/>
    </row>
    <row r="37" ht="15.75" customHeight="1" s="236">
      <c r="A37" s="14" t="n"/>
      <c r="B37" s="14" t="n"/>
      <c r="C37" s="14" t="n"/>
      <c r="D37" s="14" t="n"/>
      <c r="E37" s="14" t="n"/>
      <c r="F37" s="68" t="n"/>
    </row>
    <row r="38" ht="15.75" customHeight="1" s="236">
      <c r="A38" s="14" t="n"/>
      <c r="B38" s="14" t="n"/>
      <c r="C38" s="14" t="n"/>
      <c r="D38" s="14" t="n"/>
      <c r="E38" s="14" t="n"/>
      <c r="F38" s="68" t="n"/>
    </row>
    <row r="39" ht="15.75" customHeight="1" s="236">
      <c r="A39" s="14" t="n"/>
      <c r="B39" s="14" t="n"/>
      <c r="C39" s="14" t="n"/>
      <c r="D39" s="14" t="n"/>
      <c r="E39" s="14" t="n"/>
      <c r="F39" s="68" t="n"/>
    </row>
    <row r="40" ht="15.75" customHeight="1" s="236">
      <c r="A40" s="14" t="n"/>
      <c r="B40" s="14" t="n"/>
      <c r="C40" s="14" t="n"/>
      <c r="D40" s="14" t="n"/>
      <c r="E40" s="14" t="n"/>
      <c r="F40" s="68" t="n"/>
    </row>
    <row r="41" ht="15.75" customHeight="1" s="236">
      <c r="A41" s="14" t="n"/>
      <c r="B41" s="14" t="n"/>
      <c r="C41" s="14" t="n"/>
      <c r="D41" s="14" t="n"/>
      <c r="E41" s="14" t="n"/>
      <c r="F41" s="68" t="n"/>
    </row>
    <row r="42" ht="15.75" customHeight="1" s="236">
      <c r="A42" s="14" t="n"/>
      <c r="B42" s="14" t="n"/>
      <c r="C42" s="14" t="n"/>
      <c r="D42" s="14" t="n"/>
      <c r="E42" s="14" t="n"/>
      <c r="F42" s="68" t="n"/>
    </row>
    <row r="43" ht="15.75" customHeight="1" s="236">
      <c r="A43" s="14" t="n"/>
      <c r="B43" s="14" t="n"/>
      <c r="C43" s="14" t="n"/>
      <c r="D43" s="14" t="n"/>
      <c r="E43" s="14" t="n"/>
      <c r="F43" s="68" t="n"/>
    </row>
    <row r="44" ht="15.75" customHeight="1" s="236">
      <c r="A44" s="14" t="n"/>
      <c r="B44" s="14" t="n"/>
      <c r="C44" s="14" t="n"/>
      <c r="D44" s="14" t="n"/>
      <c r="E44" s="14" t="n"/>
      <c r="F44" s="68" t="n"/>
    </row>
    <row r="45" ht="15.75" customHeight="1" s="236">
      <c r="A45" s="14" t="n"/>
      <c r="B45" s="14" t="n"/>
      <c r="C45" s="14" t="n"/>
      <c r="D45" s="14" t="n"/>
      <c r="E45" s="14" t="n"/>
      <c r="F45" s="68" t="n"/>
    </row>
    <row r="46" ht="15.75" customHeight="1" s="236">
      <c r="A46" s="14" t="n"/>
      <c r="B46" s="14" t="n"/>
      <c r="C46" s="14" t="n"/>
      <c r="D46" s="14" t="n"/>
      <c r="E46" s="14" t="n"/>
      <c r="F46" s="68" t="n"/>
    </row>
    <row r="47" ht="15.75" customHeight="1" s="236">
      <c r="A47" s="14" t="n"/>
      <c r="B47" s="14" t="n"/>
      <c r="C47" s="14" t="n"/>
      <c r="D47" s="14" t="n"/>
      <c r="E47" s="14" t="n"/>
      <c r="F47" s="68" t="n"/>
    </row>
    <row r="48" ht="15.75" customHeight="1" s="236">
      <c r="A48" s="14" t="n"/>
      <c r="B48" s="14" t="n"/>
      <c r="C48" s="14" t="n"/>
      <c r="D48" s="14" t="n"/>
      <c r="E48" s="14" t="n"/>
      <c r="F48" s="68" t="n"/>
    </row>
    <row r="49" ht="15.75" customHeight="1" s="236">
      <c r="A49" s="14" t="n"/>
      <c r="B49" s="14" t="n"/>
      <c r="C49" s="14" t="n"/>
      <c r="D49" s="14" t="n"/>
      <c r="E49" s="14" t="n"/>
      <c r="F49" s="68" t="n"/>
    </row>
    <row r="50" ht="15.75" customHeight="1" s="236">
      <c r="A50" s="14" t="n"/>
      <c r="B50" s="14" t="n"/>
      <c r="C50" s="14" t="n"/>
      <c r="D50" s="14" t="n"/>
      <c r="E50" s="14" t="n"/>
      <c r="F50" s="68" t="n"/>
    </row>
    <row r="51" ht="15.75" customHeight="1" s="236">
      <c r="A51" s="14" t="n"/>
      <c r="B51" s="14" t="n"/>
      <c r="C51" s="14" t="n"/>
      <c r="D51" s="14" t="n"/>
      <c r="E51" s="14" t="n"/>
      <c r="F51" s="68" t="n"/>
    </row>
    <row r="52" ht="15.75" customHeight="1" s="236">
      <c r="A52" s="14" t="n"/>
      <c r="B52" s="14" t="n"/>
      <c r="C52" s="14" t="n"/>
      <c r="D52" s="14" t="n"/>
      <c r="E52" s="14" t="n"/>
      <c r="F52" s="68" t="n"/>
    </row>
    <row r="53" ht="15.75" customHeight="1" s="236">
      <c r="A53" s="14" t="n"/>
      <c r="B53" s="14" t="n"/>
      <c r="C53" s="14" t="n"/>
      <c r="D53" s="14" t="n"/>
      <c r="E53" s="14" t="n"/>
      <c r="F53" s="68" t="n"/>
    </row>
    <row r="54" ht="15.75" customHeight="1" s="236">
      <c r="A54" s="14" t="n"/>
      <c r="B54" s="14" t="n"/>
      <c r="C54" s="14" t="n"/>
      <c r="D54" s="14" t="n"/>
      <c r="E54" s="14" t="n"/>
      <c r="F54" s="68" t="n"/>
    </row>
    <row r="55" ht="15.75" customHeight="1" s="236">
      <c r="A55" s="14" t="n"/>
      <c r="B55" s="14" t="n"/>
      <c r="C55" s="14" t="n"/>
      <c r="D55" s="14" t="n"/>
      <c r="E55" s="14" t="n"/>
      <c r="F55" s="68" t="n"/>
    </row>
    <row r="56" ht="15.75" customHeight="1" s="236">
      <c r="A56" s="14" t="n"/>
      <c r="B56" s="14" t="n"/>
      <c r="C56" s="14" t="n"/>
      <c r="D56" s="14" t="n"/>
      <c r="E56" s="14" t="n"/>
      <c r="F56" s="68" t="n"/>
    </row>
    <row r="57" ht="15.75" customHeight="1" s="236">
      <c r="A57" s="14" t="n"/>
      <c r="B57" s="14" t="n"/>
      <c r="C57" s="14" t="n"/>
      <c r="D57" s="14" t="n"/>
      <c r="E57" s="14" t="n"/>
      <c r="F57" s="68" t="n"/>
    </row>
    <row r="58" ht="15.75" customHeight="1" s="236">
      <c r="A58" s="14" t="n"/>
      <c r="B58" s="14" t="n"/>
      <c r="C58" s="14" t="n"/>
      <c r="D58" s="14" t="n"/>
      <c r="E58" s="14" t="n"/>
      <c r="F58" s="68" t="n"/>
    </row>
    <row r="59" ht="15.75" customHeight="1" s="236">
      <c r="A59" s="14" t="n"/>
      <c r="B59" s="14" t="n"/>
      <c r="C59" s="14" t="n"/>
      <c r="D59" s="14" t="n"/>
      <c r="E59" s="14" t="n"/>
      <c r="F59" s="68" t="n"/>
    </row>
    <row r="60" ht="15.75" customHeight="1" s="236">
      <c r="A60" s="14" t="n"/>
      <c r="B60" s="14" t="n"/>
      <c r="C60" s="14" t="n"/>
      <c r="D60" s="14" t="n"/>
      <c r="E60" s="14" t="n"/>
      <c r="F60" s="68" t="n"/>
    </row>
    <row r="61" ht="15.75" customHeight="1" s="236">
      <c r="A61" s="14" t="n"/>
      <c r="B61" s="14" t="n"/>
      <c r="C61" s="14" t="n"/>
      <c r="D61" s="14" t="n"/>
      <c r="E61" s="14" t="n"/>
      <c r="F61" s="68" t="n"/>
    </row>
    <row r="62" ht="15.75" customHeight="1" s="236">
      <c r="A62" s="14" t="n"/>
      <c r="B62" s="14" t="n"/>
      <c r="C62" s="14" t="n"/>
      <c r="D62" s="14" t="n"/>
      <c r="E62" s="14" t="n"/>
      <c r="F62" s="68" t="n"/>
    </row>
    <row r="63" ht="15.75" customHeight="1" s="236">
      <c r="A63" s="14" t="n"/>
      <c r="B63" s="14" t="n"/>
      <c r="C63" s="14" t="n"/>
      <c r="D63" s="14" t="n"/>
      <c r="E63" s="14" t="n"/>
      <c r="F63" s="68" t="n"/>
    </row>
    <row r="64" ht="15.75" customHeight="1" s="236">
      <c r="A64" s="14" t="n"/>
      <c r="B64" s="14" t="n"/>
      <c r="C64" s="14" t="n"/>
      <c r="D64" s="14" t="n"/>
      <c r="E64" s="14" t="n"/>
      <c r="F64" s="68" t="n"/>
    </row>
    <row r="65" ht="15.75" customHeight="1" s="236">
      <c r="A65" s="14" t="n"/>
      <c r="B65" s="14" t="n"/>
      <c r="C65" s="14" t="n"/>
      <c r="D65" s="14" t="n"/>
      <c r="E65" s="14" t="n"/>
      <c r="F65" s="68" t="n"/>
    </row>
    <row r="66" ht="15.75" customHeight="1" s="236">
      <c r="A66" s="14" t="n"/>
      <c r="B66" s="14" t="n"/>
      <c r="C66" s="14" t="n"/>
      <c r="D66" s="14" t="n"/>
      <c r="E66" s="14" t="n"/>
      <c r="F66" s="68" t="n"/>
    </row>
    <row r="67" ht="15.75" customHeight="1" s="236">
      <c r="A67" s="14" t="n"/>
      <c r="B67" s="14" t="n"/>
      <c r="C67" s="14" t="n"/>
      <c r="D67" s="14" t="n"/>
      <c r="E67" s="14" t="n"/>
      <c r="F67" s="68" t="n"/>
    </row>
    <row r="68" ht="15.75" customHeight="1" s="236">
      <c r="A68" s="14" t="n"/>
      <c r="B68" s="14" t="n"/>
      <c r="C68" s="14" t="n"/>
      <c r="D68" s="14" t="n"/>
      <c r="E68" s="14" t="n"/>
      <c r="F68" s="68" t="n"/>
    </row>
    <row r="69" ht="15.75" customHeight="1" s="236">
      <c r="A69" s="14" t="n"/>
      <c r="B69" s="14" t="n"/>
      <c r="C69" s="14" t="n"/>
      <c r="D69" s="14" t="n"/>
      <c r="E69" s="14" t="n"/>
      <c r="F69" s="68" t="n"/>
    </row>
    <row r="70" ht="15.75" customHeight="1" s="236">
      <c r="A70" s="14" t="n"/>
      <c r="B70" s="14" t="n"/>
      <c r="C70" s="14" t="n"/>
      <c r="D70" s="14" t="n"/>
      <c r="E70" s="14" t="n"/>
      <c r="F70" s="68" t="n"/>
    </row>
    <row r="71" ht="15.75" customHeight="1" s="236">
      <c r="A71" s="14" t="n"/>
      <c r="B71" s="14" t="n"/>
      <c r="C71" s="14" t="n"/>
      <c r="D71" s="14" t="n"/>
      <c r="E71" s="14" t="n"/>
      <c r="F71" s="68" t="n"/>
    </row>
    <row r="72" ht="15.75" customHeight="1" s="236">
      <c r="A72" s="14" t="n"/>
      <c r="B72" s="14" t="n"/>
      <c r="C72" s="14" t="n"/>
      <c r="D72" s="14" t="n"/>
      <c r="E72" s="14" t="n"/>
      <c r="F72" s="68" t="n"/>
    </row>
    <row r="73" ht="15.75" customHeight="1" s="236">
      <c r="A73" s="14" t="n"/>
      <c r="B73" s="14" t="n"/>
      <c r="C73" s="14" t="n"/>
      <c r="D73" s="14" t="n"/>
      <c r="E73" s="14" t="n"/>
      <c r="F73" s="68" t="n"/>
    </row>
    <row r="74" ht="15.75" customHeight="1" s="236">
      <c r="A74" s="14" t="n"/>
      <c r="B74" s="14" t="n"/>
      <c r="C74" s="14" t="n"/>
      <c r="D74" s="14" t="n"/>
      <c r="E74" s="14" t="n"/>
      <c r="F74" s="68" t="n"/>
    </row>
    <row r="75" ht="15.75" customHeight="1" s="236">
      <c r="A75" s="14" t="n"/>
      <c r="B75" s="14" t="n"/>
      <c r="C75" s="14" t="n"/>
      <c r="D75" s="14" t="n"/>
      <c r="E75" s="14" t="n"/>
      <c r="F75" s="68" t="n"/>
    </row>
    <row r="76" ht="15.75" customHeight="1" s="236">
      <c r="A76" s="14" t="n"/>
      <c r="B76" s="14" t="n"/>
      <c r="C76" s="14" t="n"/>
      <c r="D76" s="14" t="n"/>
      <c r="E76" s="14" t="n"/>
      <c r="F76" s="68" t="n"/>
    </row>
    <row r="77" ht="15.75" customHeight="1" s="236">
      <c r="A77" s="14" t="n"/>
      <c r="B77" s="14" t="n"/>
      <c r="C77" s="14" t="n"/>
      <c r="D77" s="14" t="n"/>
      <c r="E77" s="14" t="n"/>
      <c r="F77" s="68" t="n"/>
    </row>
    <row r="78" ht="15.75" customHeight="1" s="236">
      <c r="A78" s="14" t="n"/>
      <c r="B78" s="14" t="n"/>
      <c r="C78" s="14" t="n"/>
      <c r="D78" s="14" t="n"/>
      <c r="E78" s="14" t="n"/>
      <c r="F78" s="68" t="n"/>
    </row>
    <row r="79" ht="15.75" customHeight="1" s="236">
      <c r="A79" s="14" t="n"/>
      <c r="B79" s="14" t="n"/>
      <c r="C79" s="14" t="n"/>
      <c r="D79" s="14" t="n"/>
      <c r="E79" s="14" t="n"/>
      <c r="F79" s="68" t="n"/>
    </row>
    <row r="80" ht="15.75" customHeight="1" s="236">
      <c r="A80" s="14" t="n"/>
      <c r="B80" s="14" t="n"/>
      <c r="C80" s="14" t="n"/>
      <c r="D80" s="14" t="n"/>
      <c r="E80" s="14" t="n"/>
      <c r="F80" s="68" t="n"/>
    </row>
    <row r="81" ht="15.75" customHeight="1" s="236">
      <c r="A81" s="14" t="n"/>
      <c r="B81" s="14" t="n"/>
      <c r="C81" s="14" t="n"/>
      <c r="D81" s="14" t="n"/>
      <c r="E81" s="14" t="n"/>
      <c r="F81" s="68" t="n"/>
    </row>
    <row r="82" ht="15.75" customHeight="1" s="236">
      <c r="A82" s="14" t="n"/>
      <c r="B82" s="14" t="n"/>
      <c r="C82" s="14" t="n"/>
      <c r="D82" s="14" t="n"/>
      <c r="E82" s="14" t="n"/>
      <c r="F82" s="68" t="n"/>
    </row>
    <row r="83" ht="15.75" customHeight="1" s="236">
      <c r="A83" s="14" t="n"/>
      <c r="B83" s="14" t="n"/>
      <c r="C83" s="14" t="n"/>
      <c r="D83" s="14" t="n"/>
      <c r="E83" s="14" t="n"/>
      <c r="F83" s="68" t="n"/>
    </row>
    <row r="84" ht="15.75" customHeight="1" s="236">
      <c r="A84" s="14" t="n"/>
      <c r="B84" s="14" t="n"/>
      <c r="C84" s="14" t="n"/>
      <c r="D84" s="14" t="n"/>
      <c r="E84" s="14" t="n"/>
      <c r="F84" s="68" t="n"/>
    </row>
    <row r="85" ht="15.75" customHeight="1" s="236">
      <c r="A85" s="14" t="n"/>
      <c r="B85" s="14" t="n"/>
      <c r="C85" s="14" t="n"/>
      <c r="D85" s="14" t="n"/>
      <c r="E85" s="14" t="n"/>
      <c r="F85" s="68" t="n"/>
    </row>
    <row r="86" ht="15.75" customHeight="1" s="236">
      <c r="A86" s="14" t="n"/>
      <c r="B86" s="14" t="n"/>
      <c r="C86" s="14" t="n"/>
      <c r="D86" s="14" t="n"/>
      <c r="E86" s="14" t="n"/>
      <c r="F86" s="68" t="n"/>
    </row>
    <row r="87" ht="15.75" customHeight="1" s="236">
      <c r="A87" s="14" t="n"/>
      <c r="B87" s="14" t="n"/>
      <c r="C87" s="14" t="n"/>
      <c r="D87" s="14" t="n"/>
      <c r="E87" s="14" t="n"/>
      <c r="F87" s="68" t="n"/>
    </row>
    <row r="88" ht="15.75" customHeight="1" s="236">
      <c r="A88" s="14" t="n"/>
      <c r="B88" s="14" t="n"/>
      <c r="C88" s="14" t="n"/>
      <c r="D88" s="14" t="n"/>
      <c r="E88" s="14" t="n"/>
      <c r="F88" s="68" t="n"/>
    </row>
    <row r="89" ht="15.75" customHeight="1" s="236">
      <c r="A89" s="14" t="n"/>
      <c r="B89" s="14" t="n"/>
      <c r="C89" s="14" t="n"/>
      <c r="D89" s="14" t="n"/>
      <c r="E89" s="14" t="n"/>
      <c r="F89" s="68" t="n"/>
    </row>
    <row r="90" ht="15.75" customHeight="1" s="236">
      <c r="A90" s="14" t="n"/>
      <c r="B90" s="14" t="n"/>
      <c r="C90" s="14" t="n"/>
      <c r="D90" s="14" t="n"/>
      <c r="E90" s="14" t="n"/>
      <c r="F90" s="68" t="n"/>
    </row>
    <row r="91" ht="15.75" customHeight="1" s="236">
      <c r="A91" s="14" t="n"/>
      <c r="B91" s="14" t="n"/>
      <c r="C91" s="14" t="n"/>
      <c r="D91" s="14" t="n"/>
      <c r="E91" s="14" t="n"/>
      <c r="F91" s="68" t="n"/>
    </row>
    <row r="92" ht="15.75" customHeight="1" s="236">
      <c r="A92" s="14" t="n"/>
      <c r="B92" s="14" t="n"/>
      <c r="C92" s="14" t="n"/>
      <c r="D92" s="14" t="n"/>
      <c r="E92" s="14" t="n"/>
      <c r="F92" s="68" t="n"/>
    </row>
    <row r="93" ht="15.75" customHeight="1" s="236">
      <c r="A93" s="14" t="n"/>
      <c r="B93" s="14" t="n"/>
      <c r="C93" s="14" t="n"/>
      <c r="D93" s="14" t="n"/>
      <c r="E93" s="14" t="n"/>
      <c r="F93" s="68" t="n"/>
    </row>
    <row r="94" ht="15.75" customHeight="1" s="236">
      <c r="A94" s="14" t="n"/>
      <c r="B94" s="14" t="n"/>
      <c r="C94" s="14" t="n"/>
      <c r="D94" s="14" t="n"/>
      <c r="E94" s="14" t="n"/>
      <c r="F94" s="68" t="n"/>
    </row>
    <row r="95" ht="15.75" customHeight="1" s="236">
      <c r="A95" s="14" t="n"/>
      <c r="B95" s="14" t="n"/>
      <c r="C95" s="14" t="n"/>
      <c r="D95" s="14" t="n"/>
      <c r="E95" s="14" t="n"/>
      <c r="F95" s="68" t="n"/>
    </row>
    <row r="96" ht="15.75" customHeight="1" s="236">
      <c r="A96" s="14" t="n"/>
      <c r="B96" s="14" t="n"/>
      <c r="C96" s="14" t="n"/>
      <c r="D96" s="14" t="n"/>
      <c r="E96" s="14" t="n"/>
      <c r="F96" s="68" t="n"/>
    </row>
    <row r="97" ht="15.75" customHeight="1" s="236">
      <c r="A97" s="14" t="n"/>
      <c r="B97" s="14" t="n"/>
      <c r="C97" s="14" t="n"/>
      <c r="D97" s="14" t="n"/>
      <c r="E97" s="14" t="n"/>
      <c r="F97" s="68" t="n"/>
    </row>
    <row r="98" ht="15.75" customHeight="1" s="236">
      <c r="A98" s="14" t="n"/>
      <c r="B98" s="14" t="n"/>
      <c r="C98" s="14" t="n"/>
      <c r="D98" s="14" t="n"/>
      <c r="E98" s="14" t="n"/>
      <c r="F98" s="68" t="n"/>
    </row>
    <row r="99" ht="15.75" customHeight="1" s="236">
      <c r="A99" s="14" t="n"/>
      <c r="B99" s="14" t="n"/>
      <c r="C99" s="14" t="n"/>
      <c r="D99" s="14" t="n"/>
      <c r="E99" s="14" t="n"/>
      <c r="F99" s="68" t="n"/>
    </row>
    <row r="100" ht="15.75" customHeight="1" s="236">
      <c r="A100" s="14" t="n"/>
      <c r="B100" s="14" t="n"/>
      <c r="C100" s="14" t="n"/>
      <c r="D100" s="14" t="n"/>
      <c r="E100" s="14" t="n"/>
      <c r="F100" s="68" t="n"/>
    </row>
    <row r="101" ht="15.75" customHeight="1" s="236">
      <c r="A101" s="14" t="n"/>
      <c r="B101" s="14" t="n"/>
      <c r="C101" s="14" t="n"/>
      <c r="D101" s="14" t="n"/>
      <c r="E101" s="14" t="n"/>
      <c r="F101" s="68" t="n"/>
    </row>
    <row r="102" ht="15.75" customHeight="1" s="236">
      <c r="A102" s="11" t="n"/>
      <c r="B102" s="11" t="n"/>
      <c r="C102" s="11" t="n"/>
      <c r="D102" s="11" t="n"/>
      <c r="E102" s="11" t="n"/>
      <c r="F102" s="119" t="n"/>
    </row>
    <row r="103" ht="15.75" customHeight="1" s="236">
      <c r="A103" s="11" t="n"/>
      <c r="B103" s="11" t="n"/>
      <c r="C103" s="11" t="n"/>
      <c r="D103" s="11" t="n"/>
      <c r="E103" s="11" t="n"/>
      <c r="F103" s="119" t="n"/>
    </row>
    <row r="104" ht="15.75" customHeight="1" s="236">
      <c r="A104" s="11" t="n"/>
      <c r="B104" s="11" t="n"/>
      <c r="C104" s="11" t="n"/>
      <c r="D104" s="11" t="n"/>
      <c r="E104" s="11" t="n"/>
      <c r="F104" s="119" t="n"/>
    </row>
    <row r="105" ht="15.75" customHeight="1" s="236">
      <c r="A105" s="11" t="n"/>
      <c r="B105" s="11" t="n"/>
      <c r="C105" s="11" t="n"/>
      <c r="D105" s="11" t="n"/>
      <c r="E105" s="11" t="n"/>
      <c r="F105" s="119" t="n"/>
    </row>
    <row r="106" ht="15.75" customHeight="1" s="236">
      <c r="A106" s="11" t="n"/>
      <c r="B106" s="11" t="n"/>
      <c r="C106" s="11" t="n"/>
      <c r="D106" s="11" t="n"/>
      <c r="E106" s="11" t="n"/>
      <c r="F106" s="119" t="n"/>
    </row>
    <row r="107" ht="15.75" customHeight="1" s="236">
      <c r="A107" s="11" t="n"/>
      <c r="B107" s="11" t="n"/>
      <c r="C107" s="11" t="n"/>
      <c r="D107" s="11" t="n"/>
      <c r="E107" s="11" t="n"/>
      <c r="F107" s="119" t="n"/>
    </row>
    <row r="108" ht="15.75" customHeight="1" s="236">
      <c r="A108" s="11" t="n"/>
      <c r="B108" s="11" t="n"/>
      <c r="C108" s="11" t="n"/>
      <c r="D108" s="11" t="n"/>
      <c r="E108" s="11" t="n"/>
      <c r="F108" s="119" t="n"/>
    </row>
    <row r="109" ht="15.75" customHeight="1" s="236">
      <c r="A109" s="11" t="n"/>
      <c r="B109" s="11" t="n"/>
      <c r="C109" s="11" t="n"/>
      <c r="D109" s="11" t="n"/>
      <c r="E109" s="11" t="n"/>
      <c r="F109" s="119" t="n"/>
    </row>
    <row r="110" ht="15.75" customHeight="1" s="236">
      <c r="A110" s="11" t="n"/>
      <c r="B110" s="11" t="n"/>
      <c r="C110" s="11" t="n"/>
      <c r="D110" s="11" t="n"/>
      <c r="E110" s="11" t="n"/>
      <c r="F110" s="119" t="n"/>
    </row>
    <row r="111" ht="15.75" customHeight="1" s="236">
      <c r="A111" s="11" t="n"/>
      <c r="B111" s="11" t="n"/>
      <c r="C111" s="11" t="n"/>
      <c r="D111" s="11" t="n"/>
      <c r="E111" s="11" t="n"/>
      <c r="F111" s="119" t="n"/>
    </row>
    <row r="112" ht="15.75" customHeight="1" s="236">
      <c r="A112" s="11" t="n"/>
      <c r="B112" s="11" t="n"/>
      <c r="C112" s="11" t="n"/>
      <c r="D112" s="11" t="n"/>
      <c r="E112" s="11" t="n"/>
      <c r="F112" s="119" t="n"/>
    </row>
    <row r="113" ht="15.75" customHeight="1" s="236">
      <c r="A113" s="11" t="n"/>
      <c r="B113" s="11" t="n"/>
      <c r="C113" s="11" t="n"/>
      <c r="D113" s="11" t="n"/>
      <c r="E113" s="11" t="n"/>
      <c r="F113" s="119" t="n"/>
    </row>
    <row r="114" ht="15.75" customHeight="1" s="236">
      <c r="A114" s="11" t="n"/>
      <c r="B114" s="11" t="n"/>
      <c r="C114" s="11" t="n"/>
      <c r="D114" s="11" t="n"/>
      <c r="E114" s="11" t="n"/>
      <c r="F114" s="119" t="n"/>
    </row>
    <row r="115" ht="15.75" customHeight="1" s="236">
      <c r="A115" s="11" t="n"/>
      <c r="B115" s="11" t="n"/>
      <c r="C115" s="11" t="n"/>
      <c r="D115" s="11" t="n"/>
      <c r="E115" s="11" t="n"/>
      <c r="F115" s="119" t="n"/>
    </row>
    <row r="116" ht="15.75" customHeight="1" s="236">
      <c r="A116" s="11" t="n"/>
      <c r="B116" s="11" t="n"/>
      <c r="C116" s="11" t="n"/>
      <c r="D116" s="11" t="n"/>
      <c r="E116" s="11" t="n"/>
      <c r="F116" s="119" t="n"/>
    </row>
    <row r="117" ht="15.75" customHeight="1" s="236">
      <c r="A117" s="11" t="n"/>
      <c r="B117" s="11" t="n"/>
      <c r="C117" s="11" t="n"/>
      <c r="D117" s="11" t="n"/>
      <c r="E117" s="11" t="n"/>
      <c r="F117" s="119" t="n"/>
    </row>
    <row r="118" ht="15.75" customHeight="1" s="236">
      <c r="A118" s="11" t="n"/>
      <c r="B118" s="11" t="n"/>
      <c r="C118" s="11" t="n"/>
      <c r="D118" s="11" t="n"/>
      <c r="E118" s="11" t="n"/>
      <c r="F118" s="119" t="n"/>
    </row>
    <row r="119" ht="15.75" customHeight="1" s="236">
      <c r="A119" s="11" t="n"/>
      <c r="B119" s="11" t="n"/>
      <c r="C119" s="11" t="n"/>
      <c r="D119" s="11" t="n"/>
      <c r="E119" s="11" t="n"/>
      <c r="F119" s="119" t="n"/>
    </row>
    <row r="120" ht="15.75" customHeight="1" s="236">
      <c r="A120" s="11" t="n"/>
      <c r="B120" s="11" t="n"/>
      <c r="C120" s="11" t="n"/>
      <c r="D120" s="11" t="n"/>
      <c r="E120" s="11" t="n"/>
      <c r="F120" s="119" t="n"/>
    </row>
    <row r="121" ht="15.75" customHeight="1" s="236">
      <c r="A121" s="11" t="n"/>
      <c r="B121" s="11" t="n"/>
      <c r="C121" s="11" t="n"/>
      <c r="D121" s="11" t="n"/>
      <c r="E121" s="11" t="n"/>
      <c r="F121" s="119" t="n"/>
    </row>
    <row r="122" ht="15.75" customHeight="1" s="236">
      <c r="A122" s="11" t="n"/>
      <c r="B122" s="11" t="n"/>
      <c r="C122" s="11" t="n"/>
      <c r="D122" s="11" t="n"/>
      <c r="E122" s="11" t="n"/>
      <c r="F122" s="119" t="n"/>
    </row>
    <row r="123" ht="15.75" customHeight="1" s="236">
      <c r="A123" s="11" t="n"/>
      <c r="B123" s="11" t="n"/>
      <c r="C123" s="11" t="n"/>
      <c r="D123" s="11" t="n"/>
      <c r="E123" s="11" t="n"/>
      <c r="F123" s="119" t="n"/>
    </row>
    <row r="124" ht="15.75" customHeight="1" s="236">
      <c r="A124" s="11" t="n"/>
      <c r="B124" s="11" t="n"/>
      <c r="C124" s="11" t="n"/>
      <c r="D124" s="11" t="n"/>
      <c r="E124" s="11" t="n"/>
      <c r="F124" s="119" t="n"/>
    </row>
    <row r="125" ht="15.75" customHeight="1" s="236">
      <c r="A125" s="11" t="n"/>
      <c r="B125" s="11" t="n"/>
      <c r="C125" s="11" t="n"/>
      <c r="D125" s="11" t="n"/>
      <c r="E125" s="11" t="n"/>
      <c r="F125" s="119" t="n"/>
    </row>
    <row r="126" ht="15.75" customHeight="1" s="236">
      <c r="A126" s="11" t="n"/>
      <c r="B126" s="11" t="n"/>
      <c r="C126" s="11" t="n"/>
      <c r="D126" s="11" t="n"/>
      <c r="E126" s="11" t="n"/>
      <c r="F126" s="119" t="n"/>
    </row>
    <row r="127" ht="15.75" customHeight="1" s="236">
      <c r="A127" s="11" t="n"/>
      <c r="B127" s="11" t="n"/>
      <c r="C127" s="11" t="n"/>
      <c r="D127" s="11" t="n"/>
      <c r="E127" s="11" t="n"/>
      <c r="F127" s="119" t="n"/>
    </row>
    <row r="128" ht="15.75" customHeight="1" s="236">
      <c r="A128" s="11" t="n"/>
      <c r="B128" s="11" t="n"/>
      <c r="C128" s="11" t="n"/>
      <c r="D128" s="11" t="n"/>
      <c r="E128" s="11" t="n"/>
      <c r="F128" s="119" t="n"/>
    </row>
    <row r="129" ht="15.75" customHeight="1" s="236">
      <c r="A129" s="11" t="n"/>
      <c r="B129" s="11" t="n"/>
      <c r="C129" s="11" t="n"/>
      <c r="D129" s="11" t="n"/>
      <c r="E129" s="11" t="n"/>
      <c r="F129" s="119" t="n"/>
    </row>
    <row r="130" ht="15.75" customHeight="1" s="236">
      <c r="A130" s="11" t="n"/>
      <c r="B130" s="11" t="n"/>
      <c r="C130" s="11" t="n"/>
      <c r="D130" s="11" t="n"/>
      <c r="E130" s="11" t="n"/>
      <c r="F130" s="119" t="n"/>
    </row>
    <row r="131" ht="15.75" customHeight="1" s="236">
      <c r="A131" s="11" t="n"/>
      <c r="B131" s="11" t="n"/>
      <c r="C131" s="11" t="n"/>
      <c r="D131" s="11" t="n"/>
      <c r="E131" s="11" t="n"/>
      <c r="F131" s="119" t="n"/>
    </row>
    <row r="132" ht="15.75" customHeight="1" s="236">
      <c r="A132" s="11" t="n"/>
      <c r="B132" s="11" t="n"/>
      <c r="C132" s="11" t="n"/>
      <c r="D132" s="11" t="n"/>
      <c r="E132" s="11" t="n"/>
      <c r="F132" s="119" t="n"/>
    </row>
    <row r="133" ht="15.75" customHeight="1" s="236">
      <c r="A133" s="11" t="n"/>
      <c r="B133" s="11" t="n"/>
      <c r="C133" s="11" t="n"/>
      <c r="D133" s="11" t="n"/>
      <c r="E133" s="11" t="n"/>
      <c r="F133" s="119" t="n"/>
    </row>
    <row r="134" ht="15.75" customHeight="1" s="236">
      <c r="A134" s="11" t="n"/>
      <c r="B134" s="11" t="n"/>
      <c r="C134" s="11" t="n"/>
      <c r="D134" s="11" t="n"/>
      <c r="E134" s="11" t="n"/>
      <c r="F134" s="119" t="n"/>
    </row>
    <row r="135" ht="15.75" customHeight="1" s="236">
      <c r="A135" s="11" t="n"/>
      <c r="B135" s="11" t="n"/>
      <c r="C135" s="11" t="n"/>
      <c r="D135" s="11" t="n"/>
      <c r="E135" s="11" t="n"/>
      <c r="F135" s="119" t="n"/>
    </row>
    <row r="136" ht="15.75" customHeight="1" s="236">
      <c r="A136" s="11" t="n"/>
      <c r="B136" s="11" t="n"/>
      <c r="C136" s="11" t="n"/>
      <c r="D136" s="11" t="n"/>
      <c r="E136" s="11" t="n"/>
      <c r="F136" s="119" t="n"/>
    </row>
    <row r="137" ht="15.75" customHeight="1" s="236">
      <c r="A137" s="11" t="n"/>
      <c r="B137" s="11" t="n"/>
      <c r="C137" s="11" t="n"/>
      <c r="D137" s="11" t="n"/>
      <c r="E137" s="11" t="n"/>
      <c r="F137" s="119" t="n"/>
    </row>
    <row r="138" ht="15.75" customHeight="1" s="236">
      <c r="A138" s="11" t="n"/>
      <c r="B138" s="11" t="n"/>
      <c r="C138" s="11" t="n"/>
      <c r="D138" s="11" t="n"/>
      <c r="E138" s="11" t="n"/>
      <c r="F138" s="119" t="n"/>
    </row>
    <row r="139" ht="15.75" customHeight="1" s="236">
      <c r="A139" s="11" t="n"/>
      <c r="B139" s="11" t="n"/>
      <c r="C139" s="11" t="n"/>
      <c r="D139" s="11" t="n"/>
      <c r="E139" s="11" t="n"/>
      <c r="F139" s="119" t="n"/>
    </row>
    <row r="140" ht="15.75" customHeight="1" s="236">
      <c r="A140" s="11" t="n"/>
      <c r="B140" s="11" t="n"/>
      <c r="C140" s="11" t="n"/>
      <c r="D140" s="11" t="n"/>
      <c r="E140" s="11" t="n"/>
      <c r="F140" s="119" t="n"/>
    </row>
    <row r="141" ht="15.75" customHeight="1" s="236">
      <c r="A141" s="11" t="n"/>
      <c r="B141" s="11" t="n"/>
      <c r="C141" s="11" t="n"/>
      <c r="D141" s="11" t="n"/>
      <c r="E141" s="11" t="n"/>
      <c r="F141" s="119" t="n"/>
    </row>
    <row r="142" ht="15.75" customHeight="1" s="236">
      <c r="A142" s="11" t="n"/>
      <c r="B142" s="11" t="n"/>
      <c r="C142" s="11" t="n"/>
      <c r="D142" s="11" t="n"/>
      <c r="E142" s="11" t="n"/>
      <c r="F142" s="119" t="n"/>
    </row>
    <row r="143" ht="15.75" customHeight="1" s="236">
      <c r="A143" s="11" t="n"/>
      <c r="B143" s="11" t="n"/>
      <c r="C143" s="11" t="n"/>
      <c r="D143" s="11" t="n"/>
      <c r="E143" s="11" t="n"/>
      <c r="F143" s="119" t="n"/>
    </row>
    <row r="144" ht="15.75" customHeight="1" s="236">
      <c r="A144" s="11" t="n"/>
      <c r="B144" s="11" t="n"/>
      <c r="C144" s="11" t="n"/>
      <c r="D144" s="11" t="n"/>
      <c r="E144" s="11" t="n"/>
      <c r="F144" s="119" t="n"/>
    </row>
    <row r="145" ht="15.75" customHeight="1" s="236">
      <c r="A145" s="11" t="n"/>
      <c r="B145" s="11" t="n"/>
      <c r="C145" s="11" t="n"/>
      <c r="D145" s="11" t="n"/>
      <c r="E145" s="11" t="n"/>
      <c r="F145" s="119" t="n"/>
    </row>
    <row r="146" ht="15.75" customHeight="1" s="236">
      <c r="A146" s="11" t="n"/>
      <c r="B146" s="11" t="n"/>
      <c r="C146" s="11" t="n"/>
      <c r="D146" s="11" t="n"/>
      <c r="E146" s="11" t="n"/>
      <c r="F146" s="119" t="n"/>
    </row>
    <row r="147" ht="15.75" customHeight="1" s="236">
      <c r="A147" s="11" t="n"/>
      <c r="B147" s="11" t="n"/>
      <c r="C147" s="11" t="n"/>
      <c r="D147" s="11" t="n"/>
      <c r="E147" s="11" t="n"/>
      <c r="F147" s="119" t="n"/>
    </row>
    <row r="148" ht="15.75" customHeight="1" s="236">
      <c r="A148" s="11" t="n"/>
      <c r="B148" s="11" t="n"/>
      <c r="C148" s="11" t="n"/>
      <c r="D148" s="11" t="n"/>
      <c r="E148" s="11" t="n"/>
      <c r="F148" s="119" t="n"/>
    </row>
    <row r="149" ht="15.75" customHeight="1" s="236">
      <c r="A149" s="11" t="n"/>
      <c r="B149" s="11" t="n"/>
      <c r="C149" s="11" t="n"/>
      <c r="D149" s="11" t="n"/>
      <c r="E149" s="11" t="n"/>
      <c r="F149" s="119" t="n"/>
    </row>
    <row r="150" ht="15.75" customHeight="1" s="236">
      <c r="A150" s="11" t="n"/>
      <c r="B150" s="11" t="n"/>
      <c r="C150" s="11" t="n"/>
      <c r="D150" s="11" t="n"/>
      <c r="E150" s="11" t="n"/>
      <c r="F150" s="119" t="n"/>
    </row>
    <row r="151" ht="15.75" customHeight="1" s="236">
      <c r="A151" s="11" t="n"/>
      <c r="B151" s="11" t="n"/>
      <c r="C151" s="11" t="n"/>
      <c r="D151" s="11" t="n"/>
      <c r="E151" s="11" t="n"/>
      <c r="F151" s="119" t="n"/>
    </row>
    <row r="152" ht="15.75" customHeight="1" s="236">
      <c r="A152" s="11" t="n"/>
      <c r="B152" s="11" t="n"/>
      <c r="C152" s="11" t="n"/>
      <c r="D152" s="11" t="n"/>
      <c r="E152" s="11" t="n"/>
      <c r="F152" s="119" t="n"/>
    </row>
    <row r="153" ht="15.75" customHeight="1" s="236">
      <c r="A153" s="11" t="n"/>
      <c r="B153" s="11" t="n"/>
      <c r="C153" s="11" t="n"/>
      <c r="D153" s="11" t="n"/>
      <c r="E153" s="11" t="n"/>
      <c r="F153" s="119" t="n"/>
    </row>
    <row r="154" ht="15.75" customHeight="1" s="236">
      <c r="A154" s="11" t="n"/>
      <c r="B154" s="11" t="n"/>
      <c r="C154" s="11" t="n"/>
      <c r="D154" s="11" t="n"/>
      <c r="E154" s="11" t="n"/>
      <c r="F154" s="119" t="n"/>
    </row>
    <row r="155" ht="15.75" customHeight="1" s="236">
      <c r="A155" s="11" t="n"/>
      <c r="B155" s="11" t="n"/>
      <c r="C155" s="11" t="n"/>
      <c r="D155" s="11" t="n"/>
      <c r="E155" s="11" t="n"/>
      <c r="F155" s="119" t="n"/>
    </row>
    <row r="156" ht="15.75" customHeight="1" s="236">
      <c r="A156" s="11" t="n"/>
      <c r="B156" s="11" t="n"/>
      <c r="C156" s="11" t="n"/>
      <c r="D156" s="11" t="n"/>
      <c r="E156" s="11" t="n"/>
      <c r="F156" s="119" t="n"/>
    </row>
    <row r="157" ht="15.75" customHeight="1" s="236">
      <c r="A157" s="11" t="n"/>
      <c r="B157" s="11" t="n"/>
      <c r="C157" s="11" t="n"/>
      <c r="D157" s="11" t="n"/>
      <c r="E157" s="11" t="n"/>
      <c r="F157" s="119" t="n"/>
    </row>
    <row r="158" ht="15.75" customHeight="1" s="236">
      <c r="A158" s="11" t="n"/>
      <c r="B158" s="11" t="n"/>
      <c r="C158" s="11" t="n"/>
      <c r="D158" s="11" t="n"/>
      <c r="E158" s="11" t="n"/>
      <c r="F158" s="119" t="n"/>
    </row>
    <row r="159" ht="15.75" customHeight="1" s="236">
      <c r="A159" s="11" t="n"/>
      <c r="B159" s="11" t="n"/>
      <c r="C159" s="11" t="n"/>
      <c r="D159" s="11" t="n"/>
      <c r="E159" s="11" t="n"/>
      <c r="F159" s="119" t="n"/>
    </row>
    <row r="160" ht="15.75" customHeight="1" s="236">
      <c r="A160" s="11" t="n"/>
      <c r="B160" s="11" t="n"/>
      <c r="C160" s="11" t="n"/>
      <c r="D160" s="11" t="n"/>
      <c r="E160" s="11" t="n"/>
      <c r="F160" s="119" t="n"/>
    </row>
    <row r="161" ht="15.75" customHeight="1" s="236">
      <c r="A161" s="11" t="n"/>
      <c r="B161" s="11" t="n"/>
      <c r="C161" s="11" t="n"/>
      <c r="D161" s="11" t="n"/>
      <c r="E161" s="11" t="n"/>
      <c r="F161" s="119" t="n"/>
    </row>
    <row r="162" ht="15.75" customHeight="1" s="236">
      <c r="A162" s="11" t="n"/>
      <c r="B162" s="11" t="n"/>
      <c r="C162" s="11" t="n"/>
      <c r="D162" s="11" t="n"/>
      <c r="E162" s="11" t="n"/>
      <c r="F162" s="119" t="n"/>
    </row>
    <row r="163" ht="15.75" customHeight="1" s="236">
      <c r="A163" s="11" t="n"/>
      <c r="B163" s="11" t="n"/>
      <c r="C163" s="11" t="n"/>
      <c r="D163" s="11" t="n"/>
      <c r="E163" s="11" t="n"/>
      <c r="F163" s="119" t="n"/>
    </row>
    <row r="164" ht="15.75" customHeight="1" s="236">
      <c r="A164" s="11" t="n"/>
      <c r="B164" s="11" t="n"/>
      <c r="C164" s="11" t="n"/>
      <c r="D164" s="11" t="n"/>
      <c r="E164" s="11" t="n"/>
      <c r="F164" s="119" t="n"/>
    </row>
    <row r="165" ht="15.75" customHeight="1" s="236">
      <c r="A165" s="11" t="n"/>
      <c r="B165" s="11" t="n"/>
      <c r="C165" s="11" t="n"/>
      <c r="D165" s="11" t="n"/>
      <c r="E165" s="11" t="n"/>
      <c r="F165" s="119" t="n"/>
    </row>
    <row r="166" ht="15.75" customHeight="1" s="236">
      <c r="A166" s="11" t="n"/>
      <c r="B166" s="11" t="n"/>
      <c r="C166" s="11" t="n"/>
      <c r="D166" s="11" t="n"/>
      <c r="E166" s="11" t="n"/>
      <c r="F166" s="119" t="n"/>
    </row>
    <row r="167" ht="15.75" customHeight="1" s="236">
      <c r="A167" s="11" t="n"/>
      <c r="B167" s="11" t="n"/>
      <c r="C167" s="11" t="n"/>
      <c r="D167" s="11" t="n"/>
      <c r="E167" s="11" t="n"/>
      <c r="F167" s="119" t="n"/>
    </row>
    <row r="168" ht="15.75" customHeight="1" s="236">
      <c r="A168" s="11" t="n"/>
      <c r="B168" s="11" t="n"/>
      <c r="C168" s="11" t="n"/>
      <c r="D168" s="11" t="n"/>
      <c r="E168" s="11" t="n"/>
      <c r="F168" s="119" t="n"/>
    </row>
    <row r="169" ht="15.75" customHeight="1" s="236">
      <c r="A169" s="11" t="n"/>
      <c r="B169" s="11" t="n"/>
      <c r="C169" s="11" t="n"/>
      <c r="D169" s="11" t="n"/>
      <c r="E169" s="11" t="n"/>
      <c r="F169" s="119" t="n"/>
    </row>
    <row r="170" ht="15.75" customHeight="1" s="236">
      <c r="A170" s="11" t="n"/>
      <c r="B170" s="11" t="n"/>
      <c r="C170" s="11" t="n"/>
      <c r="D170" s="11" t="n"/>
      <c r="E170" s="11" t="n"/>
      <c r="F170" s="119" t="n"/>
    </row>
    <row r="171" ht="15.75" customHeight="1" s="236">
      <c r="A171" s="11" t="n"/>
      <c r="B171" s="11" t="n"/>
      <c r="C171" s="11" t="n"/>
      <c r="D171" s="11" t="n"/>
      <c r="E171" s="11" t="n"/>
      <c r="F171" s="119" t="n"/>
    </row>
    <row r="172" ht="15.75" customHeight="1" s="236">
      <c r="A172" s="11" t="n"/>
      <c r="B172" s="11" t="n"/>
      <c r="C172" s="11" t="n"/>
      <c r="D172" s="11" t="n"/>
      <c r="E172" s="11" t="n"/>
      <c r="F172" s="119" t="n"/>
    </row>
    <row r="173" ht="15.75" customHeight="1" s="236">
      <c r="A173" s="11" t="n"/>
      <c r="B173" s="11" t="n"/>
      <c r="C173" s="11" t="n"/>
      <c r="D173" s="11" t="n"/>
      <c r="E173" s="11" t="n"/>
      <c r="F173" s="119" t="n"/>
    </row>
    <row r="174" ht="15.75" customHeight="1" s="236">
      <c r="A174" s="11" t="n"/>
      <c r="B174" s="11" t="n"/>
      <c r="C174" s="11" t="n"/>
      <c r="D174" s="11" t="n"/>
      <c r="E174" s="11" t="n"/>
      <c r="F174" s="119" t="n"/>
    </row>
    <row r="175" ht="15.75" customHeight="1" s="236">
      <c r="A175" s="11" t="n"/>
      <c r="B175" s="11" t="n"/>
      <c r="C175" s="11" t="n"/>
      <c r="D175" s="11" t="n"/>
      <c r="E175" s="11" t="n"/>
      <c r="F175" s="119" t="n"/>
    </row>
    <row r="176" ht="15.75" customHeight="1" s="236">
      <c r="A176" s="11" t="n"/>
      <c r="B176" s="11" t="n"/>
      <c r="C176" s="11" t="n"/>
      <c r="D176" s="11" t="n"/>
      <c r="E176" s="11" t="n"/>
      <c r="F176" s="119" t="n"/>
    </row>
    <row r="177" ht="15.75" customHeight="1" s="236">
      <c r="A177" s="11" t="n"/>
      <c r="B177" s="11" t="n"/>
      <c r="C177" s="11" t="n"/>
      <c r="D177" s="11" t="n"/>
      <c r="E177" s="11" t="n"/>
      <c r="F177" s="119" t="n"/>
    </row>
    <row r="178" ht="15.75" customHeight="1" s="236">
      <c r="A178" s="11" t="n"/>
      <c r="B178" s="11" t="n"/>
      <c r="C178" s="11" t="n"/>
      <c r="D178" s="11" t="n"/>
      <c r="E178" s="11" t="n"/>
      <c r="F178" s="119" t="n"/>
    </row>
    <row r="179" ht="15.75" customHeight="1" s="236">
      <c r="A179" s="11" t="n"/>
      <c r="B179" s="11" t="n"/>
      <c r="C179" s="11" t="n"/>
      <c r="D179" s="11" t="n"/>
      <c r="E179" s="11" t="n"/>
      <c r="F179" s="119" t="n"/>
    </row>
    <row r="180" ht="15.75" customHeight="1" s="236">
      <c r="A180" s="11" t="n"/>
      <c r="B180" s="11" t="n"/>
      <c r="C180" s="11" t="n"/>
      <c r="D180" s="11" t="n"/>
      <c r="E180" s="11" t="n"/>
      <c r="F180" s="119" t="n"/>
    </row>
    <row r="181" ht="15.75" customHeight="1" s="236">
      <c r="A181" s="11" t="n"/>
      <c r="B181" s="11" t="n"/>
      <c r="C181" s="11" t="n"/>
      <c r="D181" s="11" t="n"/>
      <c r="E181" s="11" t="n"/>
      <c r="F181" s="119" t="n"/>
    </row>
    <row r="182" ht="15.75" customHeight="1" s="236">
      <c r="A182" s="11" t="n"/>
      <c r="B182" s="11" t="n"/>
      <c r="C182" s="11" t="n"/>
      <c r="D182" s="11" t="n"/>
      <c r="E182" s="11" t="n"/>
      <c r="F182" s="119" t="n"/>
    </row>
    <row r="183" ht="15.75" customHeight="1" s="236">
      <c r="A183" s="11" t="n"/>
      <c r="B183" s="11" t="n"/>
      <c r="C183" s="11" t="n"/>
      <c r="D183" s="11" t="n"/>
      <c r="E183" s="11" t="n"/>
      <c r="F183" s="119" t="n"/>
    </row>
    <row r="184" ht="15.75" customHeight="1" s="236">
      <c r="A184" s="11" t="n"/>
      <c r="B184" s="11" t="n"/>
      <c r="C184" s="11" t="n"/>
      <c r="D184" s="11" t="n"/>
      <c r="E184" s="11" t="n"/>
      <c r="F184" s="119" t="n"/>
    </row>
    <row r="185" ht="15.75" customHeight="1" s="236">
      <c r="A185" s="11" t="n"/>
      <c r="B185" s="11" t="n"/>
      <c r="C185" s="11" t="n"/>
      <c r="D185" s="11" t="n"/>
      <c r="E185" s="11" t="n"/>
      <c r="F185" s="119" t="n"/>
    </row>
    <row r="186" ht="15.75" customHeight="1" s="236">
      <c r="A186" s="11" t="n"/>
      <c r="B186" s="11" t="n"/>
      <c r="C186" s="11" t="n"/>
      <c r="D186" s="11" t="n"/>
      <c r="E186" s="11" t="n"/>
      <c r="F186" s="119" t="n"/>
    </row>
    <row r="187" ht="15.75" customHeight="1" s="236">
      <c r="A187" s="11" t="n"/>
      <c r="B187" s="11" t="n"/>
      <c r="C187" s="11" t="n"/>
      <c r="D187" s="11" t="n"/>
      <c r="E187" s="11" t="n"/>
      <c r="F187" s="119" t="n"/>
    </row>
    <row r="188" ht="15.75" customHeight="1" s="236">
      <c r="A188" s="11" t="n"/>
      <c r="B188" s="11" t="n"/>
      <c r="C188" s="11" t="n"/>
      <c r="D188" s="11" t="n"/>
      <c r="E188" s="11" t="n"/>
      <c r="F188" s="119" t="n"/>
    </row>
    <row r="189" ht="15.75" customHeight="1" s="236">
      <c r="A189" s="11" t="n"/>
      <c r="B189" s="11" t="n"/>
      <c r="C189" s="11" t="n"/>
      <c r="D189" s="11" t="n"/>
      <c r="E189" s="11" t="n"/>
      <c r="F189" s="119" t="n"/>
    </row>
    <row r="190" ht="15.75" customHeight="1" s="236">
      <c r="A190" s="11" t="n"/>
      <c r="B190" s="11" t="n"/>
      <c r="C190" s="11" t="n"/>
      <c r="D190" s="11" t="n"/>
      <c r="E190" s="11" t="n"/>
      <c r="F190" s="119" t="n"/>
    </row>
    <row r="191" ht="15.75" customHeight="1" s="236">
      <c r="A191" s="11" t="n"/>
      <c r="B191" s="11" t="n"/>
      <c r="C191" s="11" t="n"/>
      <c r="D191" s="11" t="n"/>
      <c r="E191" s="11" t="n"/>
      <c r="F191" s="119" t="n"/>
    </row>
    <row r="192" ht="15.75" customHeight="1" s="236">
      <c r="A192" s="11" t="n"/>
      <c r="B192" s="11" t="n"/>
      <c r="C192" s="11" t="n"/>
      <c r="D192" s="11" t="n"/>
      <c r="E192" s="11" t="n"/>
      <c r="F192" s="119" t="n"/>
    </row>
    <row r="193" ht="15.75" customHeight="1" s="236">
      <c r="A193" s="11" t="n"/>
      <c r="B193" s="11" t="n"/>
      <c r="C193" s="11" t="n"/>
      <c r="D193" s="11" t="n"/>
      <c r="E193" s="11" t="n"/>
      <c r="F193" s="119" t="n"/>
    </row>
    <row r="194" ht="15.75" customHeight="1" s="236">
      <c r="A194" s="11" t="n"/>
      <c r="B194" s="11" t="n"/>
      <c r="C194" s="11" t="n"/>
      <c r="D194" s="11" t="n"/>
      <c r="E194" s="11" t="n"/>
      <c r="F194" s="119" t="n"/>
    </row>
    <row r="195" ht="15.75" customHeight="1" s="236">
      <c r="A195" s="11" t="n"/>
      <c r="B195" s="11" t="n"/>
      <c r="C195" s="11" t="n"/>
      <c r="D195" s="11" t="n"/>
      <c r="E195" s="11" t="n"/>
      <c r="F195" s="119" t="n"/>
    </row>
    <row r="196" ht="15.75" customHeight="1" s="236">
      <c r="A196" s="11" t="n"/>
      <c r="B196" s="11" t="n"/>
      <c r="C196" s="11" t="n"/>
      <c r="D196" s="11" t="n"/>
      <c r="E196" s="11" t="n"/>
      <c r="F196" s="119" t="n"/>
    </row>
    <row r="197" ht="15.75" customHeight="1" s="236">
      <c r="A197" s="11" t="n"/>
      <c r="B197" s="11" t="n"/>
      <c r="C197" s="11" t="n"/>
      <c r="D197" s="11" t="n"/>
      <c r="E197" s="11" t="n"/>
      <c r="F197" s="119" t="n"/>
    </row>
    <row r="198" ht="15.75" customHeight="1" s="236">
      <c r="A198" s="11" t="n"/>
      <c r="B198" s="11" t="n"/>
      <c r="C198" s="11" t="n"/>
      <c r="D198" s="11" t="n"/>
      <c r="E198" s="11" t="n"/>
      <c r="F198" s="119" t="n"/>
    </row>
    <row r="199" ht="15.75" customHeight="1" s="236">
      <c r="A199" s="11" t="n"/>
      <c r="B199" s="11" t="n"/>
      <c r="C199" s="11" t="n"/>
      <c r="D199" s="11" t="n"/>
      <c r="E199" s="11" t="n"/>
      <c r="F199" s="119" t="n"/>
    </row>
    <row r="200" ht="15.75" customHeight="1" s="236">
      <c r="A200" s="11" t="n"/>
      <c r="B200" s="11" t="n"/>
      <c r="C200" s="11" t="n"/>
      <c r="D200" s="11" t="n"/>
      <c r="E200" s="11" t="n"/>
      <c r="F200" s="119" t="n"/>
    </row>
    <row r="201" ht="15.75" customHeight="1" s="236">
      <c r="A201" s="11" t="n"/>
      <c r="B201" s="11" t="n"/>
      <c r="C201" s="11" t="n"/>
      <c r="D201" s="11" t="n"/>
      <c r="E201" s="11" t="n"/>
      <c r="F201" s="119" t="n"/>
    </row>
    <row r="202" ht="15.75" customHeight="1" s="236">
      <c r="A202" s="11" t="n"/>
      <c r="B202" s="11" t="n"/>
      <c r="C202" s="11" t="n"/>
      <c r="D202" s="11" t="n"/>
      <c r="E202" s="11" t="n"/>
      <c r="F202" s="119" t="n"/>
    </row>
    <row r="203" ht="15.75" customHeight="1" s="236">
      <c r="A203" s="11" t="n"/>
      <c r="B203" s="11" t="n"/>
      <c r="C203" s="11" t="n"/>
      <c r="D203" s="11" t="n"/>
      <c r="E203" s="11" t="n"/>
      <c r="F203" s="119" t="n"/>
    </row>
    <row r="204" ht="15.75" customHeight="1" s="236">
      <c r="A204" s="11" t="n"/>
      <c r="B204" s="11" t="n"/>
      <c r="C204" s="11" t="n"/>
      <c r="D204" s="11" t="n"/>
      <c r="E204" s="11" t="n"/>
      <c r="F204" s="119" t="n"/>
    </row>
    <row r="205" ht="15.75" customHeight="1" s="236">
      <c r="A205" s="11" t="n"/>
      <c r="B205" s="11" t="n"/>
      <c r="C205" s="11" t="n"/>
      <c r="D205" s="11" t="n"/>
      <c r="E205" s="11" t="n"/>
      <c r="F205" s="119" t="n"/>
    </row>
    <row r="206" ht="15.75" customHeight="1" s="236">
      <c r="A206" s="11" t="n"/>
      <c r="B206" s="11" t="n"/>
      <c r="C206" s="11" t="n"/>
      <c r="D206" s="11" t="n"/>
      <c r="E206" s="11" t="n"/>
      <c r="F206" s="119" t="n"/>
    </row>
    <row r="207" ht="15.75" customHeight="1" s="236">
      <c r="A207" s="11" t="n"/>
      <c r="B207" s="11" t="n"/>
      <c r="C207" s="11" t="n"/>
      <c r="D207" s="11" t="n"/>
      <c r="E207" s="11" t="n"/>
      <c r="F207" s="119" t="n"/>
    </row>
    <row r="208" ht="15.75" customHeight="1" s="236">
      <c r="A208" s="11" t="n"/>
      <c r="B208" s="11" t="n"/>
      <c r="C208" s="11" t="n"/>
      <c r="D208" s="11" t="n"/>
      <c r="E208" s="11" t="n"/>
      <c r="F208" s="119" t="n"/>
    </row>
    <row r="209" ht="15.75" customHeight="1" s="236">
      <c r="A209" s="11" t="n"/>
      <c r="B209" s="11" t="n"/>
      <c r="C209" s="11" t="n"/>
      <c r="D209" s="11" t="n"/>
      <c r="E209" s="11" t="n"/>
      <c r="F209" s="119" t="n"/>
    </row>
    <row r="210" ht="15.75" customHeight="1" s="236">
      <c r="A210" s="11" t="n"/>
      <c r="B210" s="11" t="n"/>
      <c r="C210" s="11" t="n"/>
      <c r="D210" s="11" t="n"/>
      <c r="E210" s="11" t="n"/>
      <c r="F210" s="119" t="n"/>
    </row>
    <row r="211" ht="15.75" customHeight="1" s="236">
      <c r="A211" s="11" t="n"/>
      <c r="B211" s="11" t="n"/>
      <c r="C211" s="11" t="n"/>
      <c r="D211" s="11" t="n"/>
      <c r="E211" s="11" t="n"/>
      <c r="F211" s="119" t="n"/>
    </row>
    <row r="212" ht="15.75" customHeight="1" s="236">
      <c r="A212" s="11" t="n"/>
      <c r="B212" s="11" t="n"/>
      <c r="C212" s="11" t="n"/>
      <c r="D212" s="11" t="n"/>
      <c r="E212" s="11" t="n"/>
      <c r="F212" s="119" t="n"/>
    </row>
    <row r="213" ht="15.75" customHeight="1" s="236">
      <c r="A213" s="11" t="n"/>
      <c r="B213" s="11" t="n"/>
      <c r="C213" s="11" t="n"/>
      <c r="D213" s="11" t="n"/>
      <c r="E213" s="11" t="n"/>
      <c r="F213" s="119" t="n"/>
    </row>
    <row r="214" ht="15.75" customHeight="1" s="236">
      <c r="A214" s="11" t="n"/>
      <c r="B214" s="11" t="n"/>
      <c r="C214" s="11" t="n"/>
      <c r="D214" s="11" t="n"/>
      <c r="E214" s="11" t="n"/>
      <c r="F214" s="119" t="n"/>
    </row>
    <row r="215" ht="15.75" customHeight="1" s="236">
      <c r="A215" s="11" t="n"/>
      <c r="B215" s="11" t="n"/>
      <c r="C215" s="11" t="n"/>
      <c r="D215" s="11" t="n"/>
      <c r="E215" s="11" t="n"/>
      <c r="F215" s="119" t="n"/>
    </row>
    <row r="216" ht="15.75" customHeight="1" s="236">
      <c r="A216" s="11" t="n"/>
      <c r="B216" s="11" t="n"/>
      <c r="C216" s="11" t="n"/>
      <c r="D216" s="11" t="n"/>
      <c r="E216" s="11" t="n"/>
      <c r="F216" s="119" t="n"/>
    </row>
    <row r="217" ht="15.75" customHeight="1" s="236">
      <c r="A217" s="11" t="n"/>
      <c r="B217" s="11" t="n"/>
      <c r="C217" s="11" t="n"/>
      <c r="D217" s="11" t="n"/>
      <c r="E217" s="11" t="n"/>
      <c r="F217" s="119" t="n"/>
    </row>
    <row r="218" ht="15.75" customHeight="1" s="236">
      <c r="A218" s="11" t="n"/>
      <c r="B218" s="11" t="n"/>
      <c r="C218" s="11" t="n"/>
      <c r="D218" s="11" t="n"/>
      <c r="E218" s="11" t="n"/>
      <c r="F218" s="119" t="n"/>
    </row>
    <row r="219" ht="15.75" customHeight="1" s="236">
      <c r="A219" s="11" t="n"/>
      <c r="B219" s="11" t="n"/>
      <c r="C219" s="11" t="n"/>
      <c r="D219" s="11" t="n"/>
      <c r="E219" s="11" t="n"/>
      <c r="F219" s="119" t="n"/>
    </row>
    <row r="220" ht="15.75" customHeight="1" s="236">
      <c r="A220" s="11" t="n"/>
      <c r="B220" s="11" t="n"/>
      <c r="C220" s="11" t="n"/>
      <c r="D220" s="11" t="n"/>
      <c r="E220" s="11" t="n"/>
      <c r="F220" s="119" t="n"/>
    </row>
    <row r="221" ht="15.75" customHeight="1" s="236">
      <c r="A221" s="54" t="n"/>
      <c r="B221" s="54" t="n"/>
      <c r="C221" s="54" t="n"/>
      <c r="D221" s="54" t="n"/>
      <c r="E221" s="54" t="n"/>
      <c r="F221" s="54" t="n"/>
    </row>
    <row r="222" ht="15.75" customHeight="1" s="236">
      <c r="A222" s="54" t="n"/>
      <c r="B222" s="54" t="n"/>
      <c r="C222" s="54" t="n"/>
      <c r="D222" s="54" t="n"/>
      <c r="E222" s="54" t="n"/>
      <c r="F222" s="54" t="n"/>
    </row>
    <row r="223" ht="15.75" customHeight="1" s="236">
      <c r="A223" s="54" t="n"/>
      <c r="B223" s="54" t="n"/>
      <c r="C223" s="54" t="n"/>
      <c r="D223" s="54" t="n"/>
      <c r="E223" s="54" t="n"/>
      <c r="F223" s="54" t="n"/>
    </row>
    <row r="224" ht="15.75" customHeight="1" s="236">
      <c r="A224" s="54" t="n"/>
      <c r="B224" s="54" t="n"/>
      <c r="C224" s="54" t="n"/>
      <c r="D224" s="54" t="n"/>
      <c r="E224" s="54" t="n"/>
      <c r="F224" s="54" t="n"/>
    </row>
    <row r="225" ht="15.75" customHeight="1" s="236">
      <c r="A225" s="54" t="n"/>
      <c r="B225" s="54" t="n"/>
      <c r="C225" s="54" t="n"/>
      <c r="D225" s="54" t="n"/>
      <c r="E225" s="54" t="n"/>
      <c r="F225" s="54" t="n"/>
    </row>
    <row r="226" ht="15.75" customHeight="1" s="236">
      <c r="A226" s="54" t="n"/>
      <c r="B226" s="54" t="n"/>
      <c r="C226" s="54" t="n"/>
      <c r="D226" s="54" t="n"/>
      <c r="E226" s="54" t="n"/>
      <c r="F226" s="54" t="n"/>
    </row>
    <row r="227" ht="15.75" customHeight="1" s="236">
      <c r="A227" s="54" t="n"/>
      <c r="B227" s="54" t="n"/>
      <c r="C227" s="54" t="n"/>
      <c r="D227" s="54" t="n"/>
      <c r="E227" s="54" t="n"/>
      <c r="F227" s="54" t="n"/>
    </row>
    <row r="228" ht="15.75" customHeight="1" s="236">
      <c r="A228" s="54" t="n"/>
      <c r="B228" s="54" t="n"/>
      <c r="C228" s="54" t="n"/>
      <c r="D228" s="54" t="n"/>
      <c r="E228" s="54" t="n"/>
      <c r="F228" s="54" t="n"/>
    </row>
    <row r="229" ht="15.75" customHeight="1" s="236">
      <c r="A229" s="54" t="n"/>
      <c r="B229" s="54" t="n"/>
      <c r="C229" s="54" t="n"/>
      <c r="D229" s="54" t="n"/>
      <c r="E229" s="54" t="n"/>
      <c r="F229" s="54" t="n"/>
    </row>
    <row r="230" ht="15.75" customHeight="1" s="236">
      <c r="A230" s="54" t="n"/>
      <c r="B230" s="54" t="n"/>
      <c r="C230" s="54" t="n"/>
      <c r="D230" s="54" t="n"/>
      <c r="E230" s="54" t="n"/>
      <c r="F230" s="54" t="n"/>
    </row>
    <row r="231" ht="15.75" customHeight="1" s="236">
      <c r="A231" s="54" t="n"/>
      <c r="B231" s="54" t="n"/>
      <c r="C231" s="54" t="n"/>
      <c r="D231" s="54" t="n"/>
      <c r="E231" s="54" t="n"/>
      <c r="F231" s="54" t="n"/>
    </row>
    <row r="232" ht="15.75" customHeight="1" s="236">
      <c r="A232" s="54" t="n"/>
      <c r="B232" s="54" t="n"/>
      <c r="C232" s="54" t="n"/>
      <c r="D232" s="54" t="n"/>
      <c r="E232" s="54" t="n"/>
      <c r="F232" s="54" t="n"/>
    </row>
    <row r="233" ht="15.75" customHeight="1" s="236">
      <c r="A233" s="54" t="n"/>
      <c r="B233" s="54" t="n"/>
      <c r="C233" s="54" t="n"/>
      <c r="D233" s="54" t="n"/>
      <c r="E233" s="54" t="n"/>
      <c r="F233" s="54" t="n"/>
    </row>
    <row r="234" ht="15.75" customHeight="1" s="236">
      <c r="A234" s="54" t="n"/>
      <c r="B234" s="54" t="n"/>
      <c r="C234" s="54" t="n"/>
      <c r="D234" s="54" t="n"/>
      <c r="E234" s="54" t="n"/>
      <c r="F234" s="54" t="n"/>
    </row>
    <row r="235" ht="15.75" customHeight="1" s="236">
      <c r="A235" s="54" t="n"/>
      <c r="B235" s="54" t="n"/>
      <c r="C235" s="54" t="n"/>
      <c r="D235" s="54" t="n"/>
      <c r="E235" s="54" t="n"/>
      <c r="F235" s="54" t="n"/>
    </row>
    <row r="236" ht="15.75" customHeight="1" s="236">
      <c r="A236" s="54" t="n"/>
      <c r="B236" s="54" t="n"/>
      <c r="C236" s="54" t="n"/>
      <c r="D236" s="54" t="n"/>
      <c r="E236" s="54" t="n"/>
      <c r="F236" s="54" t="n"/>
    </row>
    <row r="237" ht="15.75" customHeight="1" s="236">
      <c r="A237" s="54" t="n"/>
      <c r="B237" s="54" t="n"/>
      <c r="C237" s="54" t="n"/>
      <c r="D237" s="54" t="n"/>
      <c r="E237" s="54" t="n"/>
      <c r="F237" s="54" t="n"/>
    </row>
    <row r="238" ht="15.75" customHeight="1" s="236">
      <c r="A238" s="54" t="n"/>
      <c r="B238" s="54" t="n"/>
      <c r="C238" s="54" t="n"/>
      <c r="D238" s="54" t="n"/>
      <c r="E238" s="54" t="n"/>
      <c r="F238" s="54" t="n"/>
    </row>
    <row r="239" ht="15.75" customHeight="1" s="236">
      <c r="A239" s="54" t="n"/>
      <c r="B239" s="54" t="n"/>
      <c r="C239" s="54" t="n"/>
      <c r="D239" s="54" t="n"/>
      <c r="E239" s="54" t="n"/>
      <c r="F239" s="54" t="n"/>
    </row>
    <row r="240" ht="15.75" customHeight="1" s="236">
      <c r="A240" s="54" t="n"/>
      <c r="B240" s="54" t="n"/>
      <c r="C240" s="54" t="n"/>
      <c r="D240" s="54" t="n"/>
      <c r="E240" s="54" t="n"/>
      <c r="F240" s="54" t="n"/>
    </row>
    <row r="241" ht="15.75" customHeight="1" s="236">
      <c r="A241" s="54" t="n"/>
      <c r="B241" s="54" t="n"/>
      <c r="C241" s="54" t="n"/>
      <c r="D241" s="54" t="n"/>
      <c r="E241" s="54" t="n"/>
      <c r="F241" s="54" t="n"/>
    </row>
    <row r="242" ht="15.75" customHeight="1" s="236">
      <c r="A242" s="54" t="n"/>
      <c r="B242" s="54" t="n"/>
      <c r="C242" s="54" t="n"/>
      <c r="D242" s="54" t="n"/>
      <c r="E242" s="54" t="n"/>
      <c r="F242" s="54" t="n"/>
    </row>
    <row r="243" ht="15.75" customHeight="1" s="236">
      <c r="A243" s="54" t="n"/>
      <c r="B243" s="54" t="n"/>
      <c r="C243" s="54" t="n"/>
      <c r="D243" s="54" t="n"/>
      <c r="E243" s="54" t="n"/>
      <c r="F243" s="54" t="n"/>
    </row>
    <row r="244" ht="15.75" customHeight="1" s="236">
      <c r="A244" s="54" t="n"/>
      <c r="B244" s="54" t="n"/>
      <c r="C244" s="54" t="n"/>
      <c r="D244" s="54" t="n"/>
      <c r="E244" s="54" t="n"/>
      <c r="F244" s="54" t="n"/>
    </row>
    <row r="245" ht="15.75" customHeight="1" s="236">
      <c r="A245" s="54" t="n"/>
      <c r="B245" s="54" t="n"/>
      <c r="C245" s="54" t="n"/>
      <c r="D245" s="54" t="n"/>
      <c r="E245" s="54" t="n"/>
      <c r="F245" s="54" t="n"/>
    </row>
    <row r="246" ht="15.75" customHeight="1" s="236">
      <c r="A246" s="54" t="n"/>
      <c r="B246" s="54" t="n"/>
      <c r="C246" s="54" t="n"/>
      <c r="D246" s="54" t="n"/>
      <c r="E246" s="54" t="n"/>
      <c r="F246" s="54" t="n"/>
    </row>
    <row r="247" ht="15.75" customHeight="1" s="236">
      <c r="A247" s="54" t="n"/>
      <c r="B247" s="54" t="n"/>
      <c r="C247" s="54" t="n"/>
      <c r="D247" s="54" t="n"/>
      <c r="E247" s="54" t="n"/>
      <c r="F247" s="54" t="n"/>
    </row>
    <row r="248" ht="15.75" customHeight="1" s="236">
      <c r="A248" s="54" t="n"/>
      <c r="B248" s="54" t="n"/>
      <c r="C248" s="54" t="n"/>
      <c r="D248" s="54" t="n"/>
      <c r="E248" s="54" t="n"/>
      <c r="F248" s="54" t="n"/>
    </row>
    <row r="249" ht="15.75" customHeight="1" s="236">
      <c r="A249" s="54" t="n"/>
      <c r="B249" s="54" t="n"/>
      <c r="C249" s="54" t="n"/>
      <c r="D249" s="54" t="n"/>
      <c r="E249" s="54" t="n"/>
      <c r="F249" s="54" t="n"/>
    </row>
    <row r="250" ht="15.75" customHeight="1" s="236">
      <c r="A250" s="54" t="n"/>
      <c r="B250" s="54" t="n"/>
      <c r="C250" s="54" t="n"/>
      <c r="D250" s="54" t="n"/>
      <c r="E250" s="54" t="n"/>
      <c r="F250" s="54" t="n"/>
    </row>
    <row r="251" ht="15.75" customHeight="1" s="236">
      <c r="A251" s="54" t="n"/>
      <c r="B251" s="54" t="n"/>
      <c r="C251" s="54" t="n"/>
      <c r="D251" s="54" t="n"/>
      <c r="E251" s="54" t="n"/>
      <c r="F251" s="54" t="n"/>
    </row>
    <row r="252" ht="15.75" customHeight="1" s="236">
      <c r="A252" s="54" t="n"/>
      <c r="B252" s="54" t="n"/>
      <c r="C252" s="54" t="n"/>
      <c r="D252" s="54" t="n"/>
      <c r="E252" s="54" t="n"/>
      <c r="F252" s="54" t="n"/>
    </row>
    <row r="253" ht="15.75" customHeight="1" s="236">
      <c r="A253" s="54" t="n"/>
      <c r="B253" s="54" t="n"/>
      <c r="C253" s="54" t="n"/>
      <c r="D253" s="54" t="n"/>
      <c r="E253" s="54" t="n"/>
      <c r="F253" s="54" t="n"/>
    </row>
    <row r="254" ht="15.75" customHeight="1" s="236">
      <c r="A254" s="54" t="n"/>
      <c r="B254" s="54" t="n"/>
      <c r="C254" s="54" t="n"/>
      <c r="D254" s="54" t="n"/>
      <c r="E254" s="54" t="n"/>
      <c r="F254" s="54" t="n"/>
    </row>
    <row r="255" ht="15.75" customHeight="1" s="236">
      <c r="A255" s="54" t="n"/>
      <c r="B255" s="54" t="n"/>
      <c r="C255" s="54" t="n"/>
      <c r="D255" s="54" t="n"/>
      <c r="E255" s="54" t="n"/>
      <c r="F255" s="54" t="n"/>
    </row>
    <row r="256" ht="15.75" customHeight="1" s="236">
      <c r="A256" s="54" t="n"/>
      <c r="B256" s="54" t="n"/>
      <c r="C256" s="54" t="n"/>
      <c r="D256" s="54" t="n"/>
      <c r="E256" s="54" t="n"/>
      <c r="F256" s="54" t="n"/>
    </row>
    <row r="257" ht="15.75" customHeight="1" s="236">
      <c r="A257" s="54" t="n"/>
      <c r="B257" s="54" t="n"/>
      <c r="C257" s="54" t="n"/>
      <c r="D257" s="54" t="n"/>
      <c r="E257" s="54" t="n"/>
      <c r="F257" s="54" t="n"/>
    </row>
    <row r="258" ht="15.75" customHeight="1" s="236">
      <c r="A258" s="54" t="n"/>
      <c r="B258" s="54" t="n"/>
      <c r="C258" s="54" t="n"/>
      <c r="D258" s="54" t="n"/>
      <c r="E258" s="54" t="n"/>
      <c r="F258" s="54" t="n"/>
    </row>
    <row r="259" ht="15.75" customHeight="1" s="236">
      <c r="A259" s="54" t="n"/>
      <c r="B259" s="54" t="n"/>
      <c r="C259" s="54" t="n"/>
      <c r="D259" s="54" t="n"/>
      <c r="E259" s="54" t="n"/>
      <c r="F259" s="54" t="n"/>
    </row>
    <row r="260" ht="15.75" customHeight="1" s="236">
      <c r="A260" s="54" t="n"/>
      <c r="B260" s="54" t="n"/>
      <c r="C260" s="54" t="n"/>
      <c r="D260" s="54" t="n"/>
      <c r="E260" s="54" t="n"/>
      <c r="F260" s="54" t="n"/>
    </row>
    <row r="261" ht="15.75" customHeight="1" s="236">
      <c r="A261" s="54" t="n"/>
      <c r="B261" s="54" t="n"/>
      <c r="C261" s="54" t="n"/>
      <c r="D261" s="54" t="n"/>
      <c r="E261" s="54" t="n"/>
      <c r="F261" s="54" t="n"/>
    </row>
    <row r="262" ht="15.75" customHeight="1" s="236">
      <c r="A262" s="54" t="n"/>
      <c r="B262" s="54" t="n"/>
      <c r="C262" s="54" t="n"/>
      <c r="D262" s="54" t="n"/>
      <c r="E262" s="54" t="n"/>
      <c r="F262" s="54" t="n"/>
    </row>
    <row r="263" ht="15.75" customHeight="1" s="236">
      <c r="A263" s="54" t="n"/>
      <c r="B263" s="54" t="n"/>
      <c r="C263" s="54" t="n"/>
      <c r="D263" s="54" t="n"/>
      <c r="E263" s="54" t="n"/>
      <c r="F263" s="54" t="n"/>
    </row>
    <row r="264" ht="15.75" customHeight="1" s="236">
      <c r="A264" s="54" t="n"/>
      <c r="B264" s="54" t="n"/>
      <c r="C264" s="54" t="n"/>
      <c r="D264" s="54" t="n"/>
      <c r="E264" s="54" t="n"/>
      <c r="F264" s="54" t="n"/>
    </row>
    <row r="265" ht="15.75" customHeight="1" s="236">
      <c r="A265" s="54" t="n"/>
      <c r="B265" s="54" t="n"/>
      <c r="C265" s="54" t="n"/>
      <c r="D265" s="54" t="n"/>
      <c r="E265" s="54" t="n"/>
      <c r="F265" s="54" t="n"/>
    </row>
    <row r="266" ht="15.75" customHeight="1" s="236">
      <c r="A266" s="54" t="n"/>
      <c r="B266" s="54" t="n"/>
      <c r="C266" s="54" t="n"/>
      <c r="D266" s="54" t="n"/>
      <c r="E266" s="54" t="n"/>
      <c r="F266" s="54" t="n"/>
    </row>
    <row r="267" ht="15.75" customHeight="1" s="236">
      <c r="A267" s="54" t="n"/>
      <c r="B267" s="54" t="n"/>
      <c r="C267" s="54" t="n"/>
      <c r="D267" s="54" t="n"/>
      <c r="E267" s="54" t="n"/>
      <c r="F267" s="54" t="n"/>
    </row>
    <row r="268" ht="15.75" customHeight="1" s="236">
      <c r="A268" s="54" t="n"/>
      <c r="B268" s="54" t="n"/>
      <c r="C268" s="54" t="n"/>
      <c r="D268" s="54" t="n"/>
      <c r="E268" s="54" t="n"/>
      <c r="F268" s="54" t="n"/>
    </row>
    <row r="269" ht="15.75" customHeight="1" s="236">
      <c r="A269" s="54" t="n"/>
      <c r="B269" s="54" t="n"/>
      <c r="C269" s="54" t="n"/>
      <c r="D269" s="54" t="n"/>
      <c r="E269" s="54" t="n"/>
      <c r="F269" s="54" t="n"/>
    </row>
    <row r="270" ht="15.75" customHeight="1" s="236">
      <c r="A270" s="54" t="n"/>
      <c r="B270" s="54" t="n"/>
      <c r="C270" s="54" t="n"/>
      <c r="D270" s="54" t="n"/>
      <c r="E270" s="54" t="n"/>
      <c r="F270" s="54" t="n"/>
    </row>
    <row r="271" ht="15.75" customHeight="1" s="236">
      <c r="A271" s="54" t="n"/>
      <c r="B271" s="54" t="n"/>
      <c r="C271" s="54" t="n"/>
      <c r="D271" s="54" t="n"/>
      <c r="E271" s="54" t="n"/>
      <c r="F271" s="54" t="n"/>
    </row>
    <row r="272" ht="15.75" customHeight="1" s="236">
      <c r="A272" s="54" t="n"/>
      <c r="B272" s="54" t="n"/>
      <c r="C272" s="54" t="n"/>
      <c r="D272" s="54" t="n"/>
      <c r="E272" s="54" t="n"/>
      <c r="F272" s="54" t="n"/>
    </row>
    <row r="273" ht="15.75" customHeight="1" s="236">
      <c r="A273" s="54" t="n"/>
      <c r="B273" s="54" t="n"/>
      <c r="C273" s="54" t="n"/>
      <c r="D273" s="54" t="n"/>
      <c r="E273" s="54" t="n"/>
      <c r="F273" s="54" t="n"/>
    </row>
    <row r="274" ht="15.75" customHeight="1" s="236">
      <c r="A274" s="54" t="n"/>
      <c r="B274" s="54" t="n"/>
      <c r="C274" s="54" t="n"/>
      <c r="D274" s="54" t="n"/>
      <c r="E274" s="54" t="n"/>
      <c r="F274" s="54" t="n"/>
    </row>
    <row r="275" ht="15.75" customHeight="1" s="236">
      <c r="A275" s="54" t="n"/>
      <c r="B275" s="54" t="n"/>
      <c r="C275" s="54" t="n"/>
      <c r="D275" s="54" t="n"/>
      <c r="E275" s="54" t="n"/>
      <c r="F275" s="54" t="n"/>
    </row>
    <row r="276" ht="15.75" customHeight="1" s="236">
      <c r="A276" s="54" t="n"/>
      <c r="B276" s="54" t="n"/>
      <c r="C276" s="54" t="n"/>
      <c r="D276" s="54" t="n"/>
      <c r="E276" s="54" t="n"/>
      <c r="F276" s="54" t="n"/>
    </row>
    <row r="277" ht="15.75" customHeight="1" s="236">
      <c r="A277" s="54" t="n"/>
      <c r="B277" s="54" t="n"/>
      <c r="C277" s="54" t="n"/>
      <c r="D277" s="54" t="n"/>
      <c r="E277" s="54" t="n"/>
      <c r="F277" s="54" t="n"/>
    </row>
    <row r="278" ht="15.75" customHeight="1" s="236">
      <c r="A278" s="54" t="n"/>
      <c r="B278" s="54" t="n"/>
      <c r="C278" s="54" t="n"/>
      <c r="D278" s="54" t="n"/>
      <c r="E278" s="54" t="n"/>
      <c r="F278" s="54" t="n"/>
    </row>
    <row r="279" ht="15.75" customHeight="1" s="236">
      <c r="A279" s="54" t="n"/>
      <c r="B279" s="54" t="n"/>
      <c r="C279" s="54" t="n"/>
      <c r="D279" s="54" t="n"/>
      <c r="E279" s="54" t="n"/>
      <c r="F279" s="54" t="n"/>
    </row>
    <row r="280" ht="15.75" customHeight="1" s="236">
      <c r="A280" s="54" t="n"/>
      <c r="B280" s="54" t="n"/>
      <c r="C280" s="54" t="n"/>
      <c r="D280" s="54" t="n"/>
      <c r="E280" s="54" t="n"/>
      <c r="F280" s="54" t="n"/>
    </row>
    <row r="281" ht="15.75" customHeight="1" s="236">
      <c r="A281" s="54" t="n"/>
      <c r="B281" s="54" t="n"/>
      <c r="C281" s="54" t="n"/>
      <c r="D281" s="54" t="n"/>
      <c r="E281" s="54" t="n"/>
      <c r="F281" s="54" t="n"/>
    </row>
    <row r="282" ht="15.75" customHeight="1" s="236">
      <c r="A282" s="54" t="n"/>
      <c r="B282" s="54" t="n"/>
      <c r="C282" s="54" t="n"/>
      <c r="D282" s="54" t="n"/>
      <c r="E282" s="54" t="n"/>
      <c r="F282" s="54" t="n"/>
    </row>
    <row r="283" ht="15.75" customHeight="1" s="236">
      <c r="A283" s="54" t="n"/>
      <c r="B283" s="54" t="n"/>
      <c r="C283" s="54" t="n"/>
      <c r="D283" s="54" t="n"/>
      <c r="E283" s="54" t="n"/>
      <c r="F283" s="54" t="n"/>
    </row>
    <row r="284" ht="15.75" customHeight="1" s="236">
      <c r="A284" s="54" t="n"/>
      <c r="B284" s="54" t="n"/>
      <c r="C284" s="54" t="n"/>
      <c r="D284" s="54" t="n"/>
      <c r="E284" s="54" t="n"/>
      <c r="F284" s="54" t="n"/>
    </row>
    <row r="285" ht="15.75" customHeight="1" s="236">
      <c r="A285" s="54" t="n"/>
      <c r="B285" s="54" t="n"/>
      <c r="C285" s="54" t="n"/>
      <c r="D285" s="54" t="n"/>
      <c r="E285" s="54" t="n"/>
      <c r="F285" s="54" t="n"/>
    </row>
    <row r="286" ht="15.75" customHeight="1" s="236">
      <c r="A286" s="54" t="n"/>
      <c r="B286" s="54" t="n"/>
      <c r="C286" s="54" t="n"/>
      <c r="D286" s="54" t="n"/>
      <c r="E286" s="54" t="n"/>
      <c r="F286" s="54" t="n"/>
    </row>
    <row r="287" ht="15.75" customHeight="1" s="236">
      <c r="A287" s="54" t="n"/>
      <c r="B287" s="54" t="n"/>
      <c r="C287" s="54" t="n"/>
      <c r="D287" s="54" t="n"/>
      <c r="E287" s="54" t="n"/>
      <c r="F287" s="54" t="n"/>
    </row>
    <row r="288" ht="15.75" customHeight="1" s="236">
      <c r="A288" s="54" t="n"/>
      <c r="B288" s="54" t="n"/>
      <c r="C288" s="54" t="n"/>
      <c r="D288" s="54" t="n"/>
      <c r="E288" s="54" t="n"/>
      <c r="F288" s="54" t="n"/>
    </row>
    <row r="289" ht="15.75" customHeight="1" s="236">
      <c r="A289" s="54" t="n"/>
      <c r="B289" s="54" t="n"/>
      <c r="C289" s="54" t="n"/>
      <c r="D289" s="54" t="n"/>
      <c r="E289" s="54" t="n"/>
      <c r="F289" s="54" t="n"/>
    </row>
    <row r="290" ht="15.75" customHeight="1" s="236">
      <c r="A290" s="54" t="n"/>
      <c r="B290" s="54" t="n"/>
      <c r="C290" s="54" t="n"/>
      <c r="D290" s="54" t="n"/>
      <c r="E290" s="54" t="n"/>
      <c r="F290" s="54" t="n"/>
    </row>
    <row r="291" ht="15.75" customHeight="1" s="236">
      <c r="A291" s="54" t="n"/>
      <c r="B291" s="54" t="n"/>
      <c r="C291" s="54" t="n"/>
      <c r="D291" s="54" t="n"/>
      <c r="E291" s="54" t="n"/>
      <c r="F291" s="54" t="n"/>
    </row>
    <row r="292" ht="15.75" customHeight="1" s="236">
      <c r="A292" s="54" t="n"/>
      <c r="B292" s="54" t="n"/>
      <c r="C292" s="54" t="n"/>
      <c r="D292" s="54" t="n"/>
      <c r="E292" s="54" t="n"/>
      <c r="F292" s="54" t="n"/>
    </row>
    <row r="293" ht="15.75" customHeight="1" s="236">
      <c r="A293" s="54" t="n"/>
      <c r="B293" s="54" t="n"/>
      <c r="C293" s="54" t="n"/>
      <c r="D293" s="54" t="n"/>
      <c r="E293" s="54" t="n"/>
      <c r="F293" s="54" t="n"/>
    </row>
    <row r="294" ht="15.75" customHeight="1" s="236">
      <c r="A294" s="54" t="n"/>
      <c r="B294" s="54" t="n"/>
      <c r="C294" s="54" t="n"/>
      <c r="D294" s="54" t="n"/>
      <c r="E294" s="54" t="n"/>
      <c r="F294" s="54" t="n"/>
    </row>
    <row r="295" ht="15.75" customHeight="1" s="236">
      <c r="A295" s="54" t="n"/>
      <c r="B295" s="54" t="n"/>
      <c r="C295" s="54" t="n"/>
      <c r="D295" s="54" t="n"/>
      <c r="E295" s="54" t="n"/>
      <c r="F295" s="54" t="n"/>
    </row>
    <row r="296" ht="15.75" customHeight="1" s="236">
      <c r="A296" s="54" t="n"/>
      <c r="B296" s="54" t="n"/>
      <c r="C296" s="54" t="n"/>
      <c r="D296" s="54" t="n"/>
      <c r="E296" s="54" t="n"/>
      <c r="F296" s="54" t="n"/>
    </row>
    <row r="297" ht="15.75" customHeight="1" s="236">
      <c r="A297" s="54" t="n"/>
      <c r="B297" s="54" t="n"/>
      <c r="C297" s="54" t="n"/>
      <c r="D297" s="54" t="n"/>
      <c r="E297" s="54" t="n"/>
      <c r="F297" s="54" t="n"/>
    </row>
    <row r="298" ht="15.75" customHeight="1" s="236">
      <c r="A298" s="54" t="n"/>
      <c r="B298" s="54" t="n"/>
      <c r="C298" s="54" t="n"/>
      <c r="D298" s="54" t="n"/>
      <c r="E298" s="54" t="n"/>
      <c r="F298" s="54" t="n"/>
    </row>
    <row r="299" ht="15.75" customHeight="1" s="236">
      <c r="A299" s="54" t="n"/>
      <c r="B299" s="54" t="n"/>
      <c r="C299" s="54" t="n"/>
      <c r="D299" s="54" t="n"/>
      <c r="E299" s="54" t="n"/>
      <c r="F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2026-09-01T15:11:20Z</dcterms:created>
  <dcterms:modified xmlns:dcterms="http://purl.org/dc/terms/" xmlns:xsi="http://www.w3.org/2001/XMLSchema-instance" xsi:type="dcterms:W3CDTF">2026-09-01T19:37:56Z</dcterms:modified>
</cp:coreProperties>
</file>