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Master Stock" sheetId="2" state="visible" r:id="rId2"/>
    <sheet xmlns:r="http://schemas.openxmlformats.org/officeDocument/2006/relationships" name="QC Tracker" sheetId="3" state="visible" r:id="rId3"/>
    <sheet xmlns:r="http://schemas.openxmlformats.org/officeDocument/2006/relationships" name="Shed Summary" sheetId="4" state="visible" r:id="rId4"/>
    <sheet xmlns:r="http://schemas.openxmlformats.org/officeDocument/2006/relationships" name="Priority Wheat" sheetId="5" state="visible" r:id="rId5"/>
    <sheet xmlns:r="http://schemas.openxmlformats.org/officeDocument/2006/relationships" name="Priority Rice" sheetId="6" state="visible" r:id="rId6"/>
  </sheets>
  <definedNames>
    <definedName name="_xlnm._FilterDatabase" localSheetId="1" hidden="1">'Master Stock'!$A$1:$L$47</definedName>
    <definedName name="_xlnm._FilterDatabase" localSheetId="4" hidden="1">'Priority Wheat'!$A$2:$H$100</definedName>
    <definedName name="_xlnm._FilterDatabase" localSheetId="5" hidden="1">'Priority Rice'!$A$2:$H$100</definedName>
  </definedNames>
  <calcPr calcId="124519" calcMode="auto" fullCalcOnLoad="1" refMode="A1" iterate="0" iterateCount="100" iterateDelta="0.0001" calcOnSave="1" forceFullCalc="1"/>
</workbook>
</file>

<file path=xl/styles.xml><?xml version="1.0" encoding="utf-8"?>
<styleSheet xmlns="http://schemas.openxmlformats.org/spreadsheetml/2006/main">
  <numFmts count="8">
    <numFmt numFmtId="164" formatCode="dd\-mm\-yy"/>
    <numFmt numFmtId="165" formatCode="0&quot; Days&quot;"/>
    <numFmt numFmtId="166" formatCode="&quot;--&quot;ddmmyy"/>
    <numFmt numFmtId="167" formatCode="0.000"/>
    <numFmt numFmtId="168" formatCode="m/d/yyyy"/>
    <numFmt numFmtId="169" formatCode="mm\-dd\-yyyy"/>
    <numFmt numFmtId="170" formatCode="dd\-mm\-yyyy"/>
    <numFmt numFmtId="171" formatCode="dd.mm.yy"/>
  </numFmts>
  <fonts count="12">
    <font>
      <name val="Arial"/>
      <charset val="1"/>
      <family val="0"/>
      <color rgb="FF000000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20"/>
    </font>
    <font>
      <name val="Calibri"/>
      <charset val="1"/>
      <family val="0"/>
      <color theme="1"/>
      <sz val="11"/>
    </font>
    <font>
      <name val="Arial"/>
      <charset val="1"/>
      <family val="0"/>
      <b val="1"/>
      <color rgb="FFFFFFFF"/>
      <sz val="11"/>
    </font>
    <font>
      <name val="Arial"/>
      <charset val="1"/>
      <family val="0"/>
      <b val="1"/>
      <color theme="1"/>
      <sz val="20"/>
    </font>
    <font>
      <name val="Arial"/>
      <charset val="1"/>
      <family val="0"/>
      <b val="1"/>
      <color rgb="FF17365D"/>
      <sz val="13"/>
    </font>
    <font>
      <name val="Arial"/>
      <charset val="1"/>
      <family val="0"/>
      <b val="1"/>
      <color rgb="FF9C0006"/>
      <sz val="11"/>
    </font>
    <font>
      <name val="Cambria"/>
      <charset val="1"/>
      <family val="0"/>
      <b val="1"/>
      <color rgb="FFFFFFFF"/>
      <sz val="11"/>
    </font>
    <font>
      <name val="Calibri"/>
      <charset val="1"/>
      <family val="0"/>
      <color theme="1"/>
      <sz val="12"/>
    </font>
  </fonts>
  <fills count="6">
    <fill>
      <patternFill/>
    </fill>
    <fill>
      <patternFill patternType="gray125"/>
    </fill>
    <fill>
      <patternFill patternType="solid">
        <fgColor rgb="FF17365D"/>
        <bgColor rgb="FF333333"/>
      </patternFill>
    </fill>
    <fill>
      <patternFill patternType="solid">
        <fgColor rgb="FFFFC7CE"/>
        <bgColor rgb="FFCCCCFF"/>
      </patternFill>
    </fill>
    <fill>
      <patternFill patternType="solid">
        <fgColor rgb="FFF3F7FA"/>
        <bgColor rgb="FFFFFFFF"/>
      </patternFill>
    </fill>
    <fill>
      <patternFill patternType="solid">
        <fgColor rgb="FF00FF00"/>
        <bgColor rgb="FF33CCCC"/>
      </patternFill>
    </fill>
  </fills>
  <borders count="3">
    <border>
      <left/>
      <right/>
      <top/>
      <bottom/>
      <diagonal/>
    </border>
    <border>
      <left style="thin">
        <color rgb="FFB7C9D6"/>
      </left>
      <right style="thin">
        <color rgb="FFB7C9D6"/>
      </right>
      <top style="thin">
        <color rgb="FFB7C9D6"/>
      </top>
      <bottom style="thin">
        <color rgb="FFB7C9D6"/>
      </bottom>
      <diagonal/>
    </border>
    <border>
      <left style="thin"/>
      <right style="thin"/>
      <top style="thin"/>
      <bottom style="thin"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09"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general" vertical="bottom"/>
    </xf>
    <xf numFmtId="0" fontId="6" fillId="2" borderId="0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general" vertical="bottom"/>
    </xf>
    <xf numFmtId="0" fontId="6" fillId="2" borderId="0" applyAlignment="1" pivotButton="0" quotePrefix="0" xfId="0">
      <alignment horizontal="center" vertical="bottom" wrapText="1"/>
    </xf>
    <xf numFmtId="0" fontId="5" fillId="0" borderId="1" applyAlignment="1" pivotButton="0" quotePrefix="0" xfId="0">
      <alignment horizontal="center" vertical="center"/>
    </xf>
    <xf numFmtId="164" fontId="5" fillId="0" borderId="1" applyAlignment="1" pivotButton="0" quotePrefix="0" xfId="0">
      <alignment horizontal="center" vertical="center"/>
    </xf>
    <xf numFmtId="165" fontId="9" fillId="3" borderId="1" applyAlignment="1" pivotButton="0" quotePrefix="0" xfId="0">
      <alignment horizontal="center" vertical="center"/>
    </xf>
    <xf numFmtId="164" fontId="5" fillId="0" borderId="0" applyAlignment="1" pivotButton="0" quotePrefix="0" xfId="0">
      <alignment horizontal="general" vertical="bottom"/>
    </xf>
    <xf numFmtId="0" fontId="10" fillId="2" borderId="1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general" vertical="bottom"/>
    </xf>
    <xf numFmtId="0" fontId="11" fillId="4" borderId="1" applyAlignment="1" pivotButton="0" quotePrefix="0" xfId="0">
      <alignment horizontal="center" vertical="center" wrapText="1"/>
    </xf>
    <xf numFmtId="166" fontId="11" fillId="5" borderId="1" applyAlignment="1" pivotButton="0" quotePrefix="0" xfId="0">
      <alignment horizontal="center" vertical="center" wrapText="1"/>
    </xf>
    <xf numFmtId="0" fontId="11" fillId="5" borderId="1" applyAlignment="1" pivotButton="0" quotePrefix="0" xfId="0">
      <alignment horizontal="center" vertical="center" wrapText="1"/>
    </xf>
    <xf numFmtId="167" fontId="11" fillId="5" borderId="1" applyAlignment="1" pivotButton="0" quotePrefix="0" xfId="0">
      <alignment horizontal="center" vertical="center" wrapText="1"/>
    </xf>
    <xf numFmtId="165" fontId="11" fillId="4" borderId="1" applyAlignment="1" pivotButton="0" quotePrefix="0" xfId="0">
      <alignment horizontal="center" vertical="center" wrapText="1"/>
    </xf>
    <xf numFmtId="164" fontId="11" fillId="5" borderId="1" applyAlignment="1" pivotButton="0" quotePrefix="0" xfId="0">
      <alignment horizontal="center" vertical="center" wrapText="1"/>
    </xf>
    <xf numFmtId="168" fontId="11" fillId="5" borderId="1" applyAlignment="1" pivotButton="0" quotePrefix="0" xfId="0">
      <alignment horizontal="center" vertical="center" wrapText="1"/>
    </xf>
    <xf numFmtId="164" fontId="5" fillId="0" borderId="0" applyAlignment="1" pivotButton="0" quotePrefix="0" xfId="0">
      <alignment horizontal="general" vertical="bottom"/>
    </xf>
    <xf numFmtId="0" fontId="11" fillId="0" borderId="1" applyAlignment="1" pivotButton="0" quotePrefix="0" xfId="0">
      <alignment horizontal="center" vertical="center" wrapText="1"/>
    </xf>
    <xf numFmtId="169" fontId="11" fillId="5" borderId="1" applyAlignment="1" pivotButton="0" quotePrefix="0" xfId="0">
      <alignment horizontal="center" vertical="center" wrapText="1"/>
    </xf>
    <xf numFmtId="165" fontId="11" fillId="0" borderId="1" applyAlignment="1" pivotButton="0" quotePrefix="0" xfId="0">
      <alignment horizontal="center" vertical="center" wrapText="1"/>
    </xf>
    <xf numFmtId="0" fontId="6" fillId="2" borderId="2" applyAlignment="1" pivotButton="0" quotePrefix="0" xfId="0">
      <alignment horizontal="center" vertical="bottom" wrapText="1"/>
    </xf>
    <xf numFmtId="0" fontId="10" fillId="2" borderId="2" applyAlignment="1" pivotButton="0" quotePrefix="0" xfId="0">
      <alignment horizontal="center" vertical="center" wrapText="1"/>
    </xf>
    <xf numFmtId="0" fontId="11" fillId="0" borderId="2" applyAlignment="1" pivotButton="0" quotePrefix="0" xfId="0">
      <alignment horizontal="center" vertical="bottom"/>
    </xf>
    <xf numFmtId="164" fontId="11" fillId="0" borderId="2" applyAlignment="1" pivotButton="0" quotePrefix="0" xfId="0">
      <alignment horizontal="center" vertical="bottom"/>
    </xf>
    <xf numFmtId="165" fontId="11" fillId="0" borderId="2" applyAlignment="1" pivotButton="0" quotePrefix="0" xfId="0">
      <alignment horizontal="center" vertical="center" wrapText="1"/>
    </xf>
    <xf numFmtId="164" fontId="11" fillId="5" borderId="2" applyAlignment="1" pivotButton="0" quotePrefix="0" xfId="0">
      <alignment horizontal="center" vertical="bottom"/>
    </xf>
    <xf numFmtId="0" fontId="11" fillId="5" borderId="2" applyAlignment="1" pivotButton="0" quotePrefix="0" xfId="0">
      <alignment horizontal="center" vertical="bottom"/>
    </xf>
    <xf numFmtId="168" fontId="11" fillId="5" borderId="2" applyAlignment="1" pivotButton="0" quotePrefix="0" xfId="0">
      <alignment horizontal="center" vertical="bottom"/>
    </xf>
    <xf numFmtId="0" fontId="10" fillId="2" borderId="0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67" fontId="5" fillId="0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170" fontId="0" fillId="0" borderId="0" applyAlignment="1" pivotButton="0" quotePrefix="0" xfId="0">
      <alignment horizontal="general" vertical="bottom"/>
    </xf>
    <xf numFmtId="167" fontId="0" fillId="0" borderId="0" applyAlignment="1" pivotButton="0" quotePrefix="0" xfId="0">
      <alignment horizontal="general" vertical="bottom"/>
    </xf>
    <xf numFmtId="0" fontId="10" fillId="2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general" vertical="bottom"/>
    </xf>
    <xf numFmtId="0" fontId="6" fillId="2" borderId="0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general" vertical="bottom"/>
    </xf>
    <xf numFmtId="0" fontId="6" fillId="2" borderId="0" applyAlignment="1" pivotButton="0" quotePrefix="0" xfId="0">
      <alignment horizontal="center" vertical="bottom" wrapText="1"/>
    </xf>
    <xf numFmtId="0" fontId="5" fillId="0" borderId="1" applyAlignment="1" pivotButton="0" quotePrefix="0" xfId="0">
      <alignment horizontal="center" vertical="center"/>
    </xf>
    <xf numFmtId="164" fontId="5" fillId="0" borderId="1" applyAlignment="1" pivotButton="0" quotePrefix="0" xfId="0">
      <alignment horizontal="center" vertical="center"/>
    </xf>
    <xf numFmtId="165" fontId="9" fillId="3" borderId="1" applyAlignment="1" pivotButton="0" quotePrefix="0" xfId="0">
      <alignment horizontal="center" vertical="center"/>
    </xf>
    <xf numFmtId="171" fontId="5" fillId="0" borderId="1" applyAlignment="1" pivotButton="0" quotePrefix="0" xfId="0">
      <alignment horizontal="center" vertical="center"/>
    </xf>
    <xf numFmtId="171" fontId="5" fillId="0" borderId="0" applyAlignment="1" pivotButton="0" quotePrefix="0" xfId="0">
      <alignment horizontal="general" vertical="bottom"/>
    </xf>
    <xf numFmtId="0" fontId="10" fillId="2" borderId="1" applyAlignment="1" pivotButton="0" quotePrefix="0" xfId="0">
      <alignment horizontal="center" vertical="center" wrapText="1"/>
    </xf>
    <xf numFmtId="0" fontId="11" fillId="4" borderId="1" applyAlignment="1" pivotButton="0" quotePrefix="0" xfId="0">
      <alignment horizontal="center" vertical="center" wrapText="1"/>
    </xf>
    <xf numFmtId="171" fontId="11" fillId="5" borderId="1" applyAlignment="1" pivotButton="0" quotePrefix="0" xfId="0">
      <alignment horizontal="center" vertical="center" wrapText="1"/>
    </xf>
    <xf numFmtId="0" fontId="11" fillId="5" borderId="1" applyAlignment="1" pivotButton="0" quotePrefix="0" xfId="0">
      <alignment horizontal="center" vertical="center" wrapText="1"/>
    </xf>
    <xf numFmtId="167" fontId="11" fillId="5" borderId="1" applyAlignment="1" pivotButton="0" quotePrefix="0" xfId="0">
      <alignment horizontal="center" vertical="center" wrapText="1"/>
    </xf>
    <xf numFmtId="165" fontId="11" fillId="4" borderId="1" applyAlignment="1" pivotButton="0" quotePrefix="0" xfId="0">
      <alignment horizontal="center" vertical="center" wrapText="1"/>
    </xf>
    <xf numFmtId="164" fontId="5" fillId="0" borderId="0" applyAlignment="1" pivotButton="0" quotePrefix="0" xfId="0">
      <alignment horizontal="general" vertical="bottom"/>
    </xf>
    <xf numFmtId="0" fontId="11" fillId="0" borderId="1" applyAlignment="1" pivotButton="0" quotePrefix="0" xfId="0">
      <alignment horizontal="center" vertical="center" wrapText="1"/>
    </xf>
    <xf numFmtId="165" fontId="11" fillId="0" borderId="1" applyAlignment="1" pivotButton="0" quotePrefix="0" xfId="0">
      <alignment horizontal="center" vertical="center" wrapText="1"/>
    </xf>
    <xf numFmtId="0" fontId="6" fillId="2" borderId="2" applyAlignment="1" pivotButton="0" quotePrefix="0" xfId="0">
      <alignment horizontal="center" vertical="bottom" wrapText="1"/>
    </xf>
    <xf numFmtId="0" fontId="10" fillId="2" borderId="2" applyAlignment="1" pivotButton="0" quotePrefix="0" xfId="0">
      <alignment horizontal="center" vertical="center" wrapText="1"/>
    </xf>
    <xf numFmtId="0" fontId="11" fillId="0" borderId="2" applyAlignment="1" pivotButton="0" quotePrefix="0" xfId="0">
      <alignment horizontal="center" vertical="bottom"/>
    </xf>
    <xf numFmtId="164" fontId="11" fillId="0" borderId="2" applyAlignment="1" pivotButton="0" quotePrefix="0" xfId="0">
      <alignment horizontal="center" vertical="bottom"/>
    </xf>
    <xf numFmtId="165" fontId="11" fillId="0" borderId="2" applyAlignment="1" pivotButton="0" quotePrefix="0" xfId="0">
      <alignment horizontal="center" vertical="center" wrapText="1"/>
    </xf>
    <xf numFmtId="171" fontId="11" fillId="5" borderId="2" applyAlignment="1" pivotButton="0" quotePrefix="0" xfId="0">
      <alignment horizontal="center" vertical="bottom"/>
    </xf>
    <xf numFmtId="0" fontId="11" fillId="5" borderId="2" applyAlignment="1" pivotButton="0" quotePrefix="0" xfId="0">
      <alignment horizontal="center" vertical="bottom"/>
    </xf>
    <xf numFmtId="168" fontId="11" fillId="5" borderId="2" applyAlignment="1" pivotButton="0" quotePrefix="0" xfId="0">
      <alignment horizontal="center" vertical="bottom"/>
    </xf>
    <xf numFmtId="0" fontId="10" fillId="2" borderId="0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67" fontId="5" fillId="0" borderId="1" applyAlignment="1" pivotButton="0" quotePrefix="0" xfId="0">
      <alignment horizontal="center" vertical="center" wrapText="1"/>
    </xf>
    <xf numFmtId="170" fontId="0" fillId="0" borderId="0" applyAlignment="1" pivotButton="0" quotePrefix="0" xfId="0">
      <alignment horizontal="general" vertical="bottom"/>
    </xf>
    <xf numFmtId="167" fontId="0" fillId="0" borderId="0" applyAlignment="1" pivotButton="0" quotePrefix="0" xfId="0">
      <alignment horizontal="general" vertical="bottom"/>
    </xf>
    <xf numFmtId="0" fontId="10" fillId="2" borderId="0" applyAlignment="1" pivotButton="0" quotePrefix="0" xfId="0">
      <alignment horizontal="general" vertical="bottom"/>
    </xf>
    <xf numFmtId="171" fontId="0" fillId="0" borderId="0" applyAlignment="1" pivotButton="0" quotePrefix="0" xfId="0">
      <alignment horizontal="general" vertical="bottom"/>
    </xf>
    <xf numFmtId="171" fontId="11" fillId="0" borderId="2" applyAlignment="1" pivotButton="0" quotePrefix="0" xfId="0">
      <alignment horizontal="center" vertical="bottom"/>
    </xf>
    <xf numFmtId="171" fontId="11" fillId="5" borderId="1" applyAlignment="1" applyProtection="1" pivotButton="0" quotePrefix="0" xfId="0">
      <alignment horizontal="center" vertical="center" wrapText="1"/>
      <protection locked="0" hidden="0"/>
    </xf>
    <xf numFmtId="0" fontId="11" fillId="5" borderId="1" applyAlignment="1" applyProtection="1" pivotButton="0" quotePrefix="0" xfId="0">
      <alignment horizontal="center" vertical="center" wrapText="1"/>
      <protection locked="0" hidden="0"/>
    </xf>
    <xf numFmtId="167" fontId="11" fillId="5" borderId="1" applyAlignment="1" applyProtection="1" pivotButton="0" quotePrefix="0" xfId="0">
      <alignment horizontal="center" vertical="center" wrapText="1"/>
      <protection locked="0" hidden="0"/>
    </xf>
    <xf numFmtId="171" fontId="5" fillId="0" borderId="0" applyAlignment="1" applyProtection="1" pivotButton="0" quotePrefix="0" xfId="0">
      <alignment horizontal="general" vertical="bottom"/>
      <protection locked="0" hidden="0"/>
    </xf>
    <xf numFmtId="0" fontId="5" fillId="0" borderId="0" applyAlignment="1" applyProtection="1" pivotButton="0" quotePrefix="0" xfId="0">
      <alignment horizontal="general" vertical="bottom"/>
      <protection locked="0" hidden="0"/>
    </xf>
    <xf numFmtId="171" fontId="11" fillId="5" borderId="2" applyAlignment="1" applyProtection="1" pivotButton="0" quotePrefix="0" xfId="0">
      <alignment horizontal="center" vertical="bottom"/>
      <protection locked="0" hidden="0"/>
    </xf>
    <xf numFmtId="0" fontId="11" fillId="5" borderId="2" applyAlignment="1" applyProtection="1" pivotButton="0" quotePrefix="0" xfId="0">
      <alignment horizontal="center" vertical="bottom"/>
      <protection locked="0" hidden="0"/>
    </xf>
    <xf numFmtId="165" fontId="5" fillId="0" borderId="0" applyAlignment="1" pivotButton="0" quotePrefix="0" xfId="0">
      <alignment horizontal="general" vertical="bottom"/>
    </xf>
    <xf numFmtId="0" fontId="5" fillId="0" borderId="1" applyAlignment="1" applyProtection="1" pivotButton="0" quotePrefix="0" xfId="0">
      <alignment horizontal="center" vertical="center" wrapText="1"/>
      <protection locked="0" hidden="0"/>
    </xf>
    <xf numFmtId="171" fontId="0" fillId="0" borderId="0" pivotButton="0" quotePrefix="0" xfId="0"/>
    <xf numFmtId="0" fontId="11" fillId="4" borderId="1" applyAlignment="1" applyProtection="1" pivotButton="0" quotePrefix="0" xfId="0">
      <alignment horizontal="center" vertical="center" wrapText="1"/>
      <protection locked="0" hidden="0"/>
    </xf>
    <xf numFmtId="0" fontId="11" fillId="0" borderId="1" applyAlignment="1" applyProtection="1" pivotButton="0" quotePrefix="0" xfId="0">
      <alignment horizontal="center" vertical="center" wrapText="1"/>
      <protection locked="0" hidden="0"/>
    </xf>
    <xf numFmtId="0" fontId="4" fillId="2" borderId="0" applyAlignment="1" applyProtection="1" pivotButton="0" quotePrefix="0" xfId="0">
      <alignment horizontal="center" vertical="center"/>
      <protection locked="0" hidden="0"/>
    </xf>
    <xf numFmtId="0" fontId="0" fillId="0" borderId="0" applyProtection="1" pivotButton="0" quotePrefix="0" xfId="0">
      <protection locked="0" hidden="0"/>
    </xf>
    <xf numFmtId="171" fontId="0" fillId="0" borderId="0" applyProtection="1" pivotButton="0" quotePrefix="0" xfId="0">
      <protection locked="0" hidden="0"/>
    </xf>
    <xf numFmtId="0" fontId="6" fillId="2" borderId="0" applyAlignment="1" applyProtection="1" pivotButton="0" quotePrefix="0" xfId="0">
      <alignment horizontal="center" vertical="center" wrapText="1"/>
      <protection locked="0" hidden="0"/>
    </xf>
    <xf numFmtId="171" fontId="6" fillId="2" borderId="0" applyAlignment="1" applyProtection="1" pivotButton="0" quotePrefix="0" xfId="0">
      <alignment horizontal="center" vertical="center" wrapText="1"/>
      <protection locked="0" hidden="0"/>
    </xf>
    <xf numFmtId="171" fontId="7" fillId="0" borderId="0" applyAlignment="1" pivotButton="0" quotePrefix="0" xfId="0">
      <alignment horizontal="center" vertical="center"/>
    </xf>
    <xf numFmtId="0" fontId="8" fillId="0" borderId="0" applyAlignment="1" applyProtection="1" pivotButton="0" quotePrefix="0" xfId="0">
      <alignment horizontal="general" vertical="bottom"/>
      <protection locked="0" hidden="0"/>
    </xf>
    <xf numFmtId="0" fontId="6" fillId="2" borderId="0" applyAlignment="1" applyProtection="1" pivotButton="0" quotePrefix="0" xfId="0">
      <alignment horizontal="center" vertical="bottom" wrapText="1"/>
      <protection locked="0" hidden="0"/>
    </xf>
    <xf numFmtId="171" fontId="6" fillId="2" borderId="0" applyAlignment="1" applyProtection="1" pivotButton="0" quotePrefix="0" xfId="0">
      <alignment horizontal="center" vertical="bottom" wrapText="1"/>
      <protection locked="0" hidden="0"/>
    </xf>
    <xf numFmtId="0" fontId="10" fillId="2" borderId="1" applyAlignment="1" applyProtection="1" pivotButton="0" quotePrefix="0" xfId="0">
      <alignment horizontal="center" vertical="center" wrapText="1"/>
      <protection locked="0" hidden="0"/>
    </xf>
    <xf numFmtId="171" fontId="10" fillId="2" borderId="1" applyAlignment="1" applyProtection="1" pivotButton="0" quotePrefix="0" xfId="0">
      <alignment horizontal="center" vertical="center" wrapText="1"/>
      <protection locked="0" hidden="0"/>
    </xf>
    <xf numFmtId="0" fontId="6" fillId="2" borderId="2" applyAlignment="1" applyProtection="1" pivotButton="0" quotePrefix="0" xfId="0">
      <alignment horizontal="center" vertical="bottom" wrapText="1"/>
      <protection locked="0" hidden="0"/>
    </xf>
    <xf numFmtId="0" fontId="10" fillId="2" borderId="2" applyAlignment="1" applyProtection="1" pivotButton="0" quotePrefix="0" xfId="0">
      <alignment horizontal="center" vertical="center" wrapText="1"/>
      <protection locked="0" hidden="0"/>
    </xf>
    <xf numFmtId="0" fontId="10" fillId="2" borderId="0" applyAlignment="1" applyProtection="1" pivotButton="0" quotePrefix="0" xfId="0">
      <alignment horizontal="center" vertical="center" wrapText="1"/>
      <protection locked="0" hidden="0"/>
    </xf>
    <xf numFmtId="171" fontId="0" fillId="0" borderId="0" applyAlignment="1" applyProtection="1" pivotButton="0" quotePrefix="0" xfId="0">
      <alignment horizontal="general" vertical="bottom"/>
      <protection locked="0" hidden="0"/>
    </xf>
    <xf numFmtId="0" fontId="0" fillId="0" borderId="0" applyAlignment="1" applyProtection="1" pivotButton="0" quotePrefix="0" xfId="0">
      <alignment horizontal="general" vertical="bottom"/>
      <protection locked="0" hidden="0"/>
    </xf>
    <xf numFmtId="171" fontId="10" fillId="2" borderId="0" applyAlignment="1" applyProtection="1" pivotButton="0" quotePrefix="0" xfId="0">
      <alignment horizontal="general" vertical="bottom"/>
      <protection locked="0" hidden="0"/>
    </xf>
    <xf numFmtId="0" fontId="10" fillId="2" borderId="0" applyAlignment="1" applyProtection="1" pivotButton="0" quotePrefix="0" xfId="0">
      <alignment horizontal="general" vertical="bottom"/>
      <protection locked="0" hidden="0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6">
    <dxf>
      <fill>
        <patternFill patternType="solid">
          <fgColor rgb="FF17365D"/>
          <bgColor rgb="FF000000"/>
        </patternFill>
      </fill>
    </dxf>
    <dxf>
      <fill>
        <patternFill patternType="solid">
          <fgColor rgb="FFF3F7FA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FF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B7C9D6"/>
      <rgbColor rgb="FF808080"/>
      <rgbColor rgb="FF9999FF"/>
      <rgbColor rgb="FF993366"/>
      <rgbColor rgb="FFF3F7FA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7365D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tabColor rgb="FF00FF00"/>
    <outlinePr summaryBelow="1" summaryRight="1"/>
    <pageSetUpPr fitToPage="0"/>
  </sheetPr>
  <dimension ref="A1:O108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B8" activeCellId="0" sqref="B8"/>
    </sheetView>
  </sheetViews>
  <sheetFormatPr baseColWidth="8" defaultColWidth="12.6328125" defaultRowHeight="15" customHeight="1" zeroHeight="0" outlineLevelRow="0"/>
  <cols>
    <col width="9.630000000000001" customWidth="1" style="41" min="1" max="1"/>
    <col width="12.25" customWidth="1" style="41" min="2" max="2"/>
    <col width="14" customWidth="1" style="41" min="3" max="3"/>
    <col width="15.75" customWidth="1" style="41" min="4" max="4"/>
    <col width="17.5" customWidth="1" style="41" min="5" max="5"/>
    <col width="2.63" customWidth="1" style="41" min="6" max="6"/>
    <col width="9.630000000000001" customWidth="1" style="41" min="7" max="7"/>
    <col width="12.25" customWidth="1" style="41" min="8" max="8"/>
    <col width="15.75" customWidth="1" style="41" min="9" max="9"/>
    <col width="18.38" customWidth="1" style="41" min="10" max="10"/>
    <col width="13" customWidth="1" style="42" min="12" max="12"/>
    <col width="15" customWidth="1" style="42" min="13" max="13"/>
    <col width="18" customWidth="1" style="42" min="14" max="14"/>
    <col width="20" customWidth="1" style="42" min="15" max="15"/>
  </cols>
  <sheetData>
    <row r="1" ht="39.75" customHeight="1" s="42">
      <c r="A1" s="91" t="inlineStr">
        <is>
          <t>GODOWN STOCK &amp; TREATMENT DASHBOARD</t>
        </is>
      </c>
      <c r="B1" s="92" t="n"/>
      <c r="C1" s="93" t="n"/>
      <c r="D1" s="93" t="n"/>
      <c r="E1" s="92" t="n"/>
      <c r="F1" s="92" t="n"/>
      <c r="G1" s="92" t="n"/>
      <c r="H1" s="92" t="n"/>
      <c r="I1" s="93" t="n"/>
      <c r="J1" s="92" t="n"/>
      <c r="K1" s="92" t="n"/>
      <c r="L1" s="92" t="n"/>
      <c r="M1" s="92" t="n"/>
      <c r="N1" s="93" t="n"/>
      <c r="O1" s="92" t="n"/>
    </row>
    <row r="2" ht="15" customHeight="1" s="42">
      <c r="A2" s="83" t="n"/>
      <c r="B2" s="83" t="n"/>
      <c r="C2" s="82" t="n"/>
      <c r="D2" s="82" t="n"/>
      <c r="E2" s="83" t="n"/>
      <c r="F2" s="83" t="n"/>
      <c r="G2" s="83" t="n"/>
      <c r="H2" s="83" t="n"/>
      <c r="I2" s="82" t="n"/>
      <c r="J2" s="83" t="n"/>
      <c r="K2" s="92" t="n"/>
      <c r="L2" s="92" t="n"/>
      <c r="M2" s="92" t="n"/>
      <c r="N2" s="93" t="n"/>
      <c r="O2" s="92" t="n"/>
    </row>
    <row r="3" ht="26.85" customHeight="1" s="42">
      <c r="A3" s="94" t="inlineStr">
        <is>
          <t>TOTAL STACKS</t>
        </is>
      </c>
      <c r="B3" s="92" t="n"/>
      <c r="C3" s="95" t="inlineStr">
        <is>
          <t>OCCUPIED STACKS</t>
        </is>
      </c>
      <c r="D3" s="93" t="n"/>
      <c r="E3" s="94" t="inlineStr">
        <is>
          <t>CURRENTLY UNDER COVER</t>
        </is>
      </c>
      <c r="F3" s="92" t="n"/>
      <c r="G3" s="94" t="inlineStr">
        <is>
          <t>DEGASSING  DUE &gt;5 DAYS</t>
        </is>
      </c>
      <c r="H3" s="92" t="n"/>
      <c r="I3" s="82" t="n"/>
      <c r="J3" s="83" t="n"/>
      <c r="K3" s="92" t="n"/>
      <c r="L3" s="94" t="inlineStr">
        <is>
          <t>FUMIGATION DUE &gt;30 DAYS</t>
        </is>
      </c>
      <c r="M3" s="41">
        <f>COUNTIFS('Master Stock'!$H$2:$H$100,"OCCUPIED",'Master Stock'!$J$2:$J$100,"&lt;&gt;",'Master Stock'!$K$2:$K$100,"",'Master Stock'!$J$2:$J$100,"&lt;"&amp;TODAY()-30)</f>
        <v/>
      </c>
      <c r="N3" s="93" t="n"/>
      <c r="O3" s="92" t="n"/>
    </row>
    <row r="4" ht="24.45" customHeight="1" s="42">
      <c r="A4" s="46">
        <f>COUNTA('Master Stock'!$C$2:$C$100)</f>
        <v/>
      </c>
      <c r="B4" s="92" t="n"/>
      <c r="C4" s="96">
        <f>COUNTIF('Master Stock'!$H$2:$H$100,"OCCUPIED")</f>
        <v/>
      </c>
      <c r="D4" s="93" t="n"/>
      <c r="E4" s="46">
        <f>COUNTIFS('Master Stock'!$H$2:$H$100,"OCCUPIED",'Master Stock'!$J$2:$J$100,"&lt;&gt;",'Master Stock'!$K$2:$K$100,"")</f>
        <v/>
      </c>
      <c r="F4" s="92" t="n"/>
      <c r="G4" s="46">
        <f>COUNTIFS('Master Stock'!$J$2:$J$100,"&lt;&gt;",'Master Stock'!$K$2:$K$100,"",'Master Stock'!$J$2:$J$100,"&lt;"&amp;TODAY()-5)</f>
        <v/>
      </c>
      <c r="H4" s="92" t="n"/>
      <c r="I4" s="82" t="n"/>
      <c r="J4" s="83" t="n"/>
      <c r="K4" s="92" t="n"/>
      <c r="L4" s="92" t="n"/>
      <c r="M4" s="92" t="n"/>
      <c r="N4" s="93" t="n"/>
      <c r="O4" s="92" t="n"/>
    </row>
    <row r="5" ht="15" customHeight="1" s="42">
      <c r="A5" s="83" t="n"/>
      <c r="B5" s="83" t="n"/>
      <c r="C5" s="82" t="n"/>
      <c r="D5" s="82" t="n"/>
      <c r="E5" s="83" t="n"/>
      <c r="F5" s="83" t="n"/>
      <c r="G5" s="83" t="n"/>
      <c r="H5" s="83" t="n"/>
      <c r="I5" s="82" t="n"/>
      <c r="J5" s="83" t="n"/>
      <c r="K5" s="92" t="n"/>
      <c r="L5" s="92" t="n"/>
      <c r="M5" s="92" t="n"/>
      <c r="N5" s="93" t="n"/>
      <c r="O5" s="92" t="n"/>
    </row>
    <row r="6" ht="15" customHeight="1" s="42">
      <c r="A6" s="83" t="n"/>
      <c r="B6" s="83" t="n"/>
      <c r="C6" s="82" t="n"/>
      <c r="D6" s="82" t="n"/>
      <c r="E6" s="83" t="n"/>
      <c r="F6" s="83" t="n"/>
      <c r="G6" s="83" t="n"/>
      <c r="H6" s="83" t="n"/>
      <c r="I6" s="82" t="n"/>
      <c r="J6" s="83" t="n"/>
      <c r="K6" s="92" t="n"/>
      <c r="L6" s="92" t="n"/>
      <c r="M6" s="92" t="n"/>
      <c r="N6" s="93" t="n"/>
      <c r="O6" s="92" t="n"/>
    </row>
    <row r="7" ht="16.15" customHeight="1" s="42">
      <c r="A7" s="97" t="inlineStr">
        <is>
          <t>CURRENTLY UNDER COVER – STACK DETAILS</t>
        </is>
      </c>
      <c r="B7" s="83" t="n"/>
      <c r="C7" s="82" t="n"/>
      <c r="D7" s="82" t="n"/>
      <c r="E7" s="83" t="n"/>
      <c r="F7" s="83" t="n"/>
      <c r="G7" s="97" t="inlineStr">
        <is>
          <t>FUMIGATION MORE THAN 5 DAYS – DEGASSING DUE</t>
        </is>
      </c>
      <c r="H7" s="83" t="n"/>
      <c r="I7" s="82" t="n"/>
      <c r="J7" s="83" t="n"/>
      <c r="K7" s="92" t="n"/>
      <c r="L7" s="97" t="inlineStr">
        <is>
          <t>FUMIGATION MORE THAN 30 DAYS – FUMIGATION DUE</t>
        </is>
      </c>
      <c r="M7" s="92" t="n"/>
      <c r="N7" s="93" t="n"/>
      <c r="O7" s="92" t="n"/>
    </row>
    <row r="8" ht="26.85" customHeight="1" s="42">
      <c r="A8" s="98" t="inlineStr">
        <is>
          <t>Shed</t>
        </is>
      </c>
      <c r="B8" s="98" t="inlineStr">
        <is>
          <t>Stack No.</t>
        </is>
      </c>
      <c r="C8" s="99" t="inlineStr">
        <is>
          <t>Receipt Date</t>
        </is>
      </c>
      <c r="D8" s="99" t="inlineStr">
        <is>
          <t>Fumigation Date</t>
        </is>
      </c>
      <c r="E8" s="98" t="inlineStr">
        <is>
          <t>Days Since Fumigation</t>
        </is>
      </c>
      <c r="F8" s="83" t="n"/>
      <c r="G8" s="98" t="inlineStr">
        <is>
          <t>Shed</t>
        </is>
      </c>
      <c r="H8" s="98" t="inlineStr">
        <is>
          <t>Stack No.</t>
        </is>
      </c>
      <c r="I8" s="99" t="inlineStr">
        <is>
          <t>Fumigation Date</t>
        </is>
      </c>
      <c r="J8" s="98" t="inlineStr">
        <is>
          <t>Days Since Fumigation</t>
        </is>
      </c>
      <c r="K8" s="92" t="n"/>
      <c r="L8" s="98" t="inlineStr">
        <is>
          <t>Shed</t>
        </is>
      </c>
      <c r="M8" s="98" t="inlineStr">
        <is>
          <t>Stack No.</t>
        </is>
      </c>
      <c r="N8" s="99" t="inlineStr">
        <is>
          <t>Fumigation Date</t>
        </is>
      </c>
      <c r="O8" s="98" t="inlineStr">
        <is>
          <t>Days Since Fumigation</t>
        </is>
      </c>
    </row>
    <row r="9" ht="15" customHeight="1" s="42">
      <c r="A9" s="49">
        <f>IFERROR(INDEX('Master Stock'!$C$2:$C$100,MATCH(ROWS($A$9:A9),'Master Stock'!$N$2:$N$100,0)),"")</f>
        <v/>
      </c>
      <c r="B9" s="49">
        <f>IFERROR(INDEX('Master Stock'!$D$2:$D$100,MATCH(ROWS($A$9:A9),'Master Stock'!$N$2:$N$100,0)),"")</f>
        <v/>
      </c>
      <c r="C9" s="52">
        <f>IFERROR(INDEX('Master Stock'!$B$2:$B$100,MATCH(ROWS($A$9:A9),'Master Stock'!$N$2:$N$100,0)),"")</f>
        <v/>
      </c>
      <c r="D9" s="52">
        <f>IFERROR(INDEX('Master Stock'!$J$2:$J$100,MATCH(ROWS($A$9:A9),'Master Stock'!$N$2:$N$100,0)),"")</f>
        <v/>
      </c>
      <c r="E9" s="51">
        <f>IF(D9="","",MAX(0,TODAY()-(IF(ISNUMBER(D9),D9,IFERROR(DATE(2000+VALUE(RIGHT(D9,2)),VALUE(MID(D9,4,2)),VALUE(LEFT(D9,2))),"")))))</f>
        <v/>
      </c>
      <c r="F9" s="83" t="n"/>
      <c r="G9" s="49">
        <f>IFERROR(INDEX('Master Stock'!$C$2:$C$100,MATCH(ROWS($G$9:G9),'Master Stock'!$P$2:$P$100,0)),"")</f>
        <v/>
      </c>
      <c r="H9" s="49">
        <f>IFERROR(INDEX('Master Stock'!$D$2:$D$100,MATCH(ROWS($G$9:G9),'Master Stock'!$P$2:$P$100,0)),"")</f>
        <v/>
      </c>
      <c r="I9" s="52">
        <f>IFERROR(INDEX('Master Stock'!$J$2:$J$100,MATCH(ROWS($G$9:G9),'Master Stock'!$P$2:$P$100,0)),"")</f>
        <v/>
      </c>
      <c r="J9" s="51">
        <f>IF(I9="","",MAX(0,TODAY()-(IF(ISNUMBER(I9),I9,IFERROR(DATE(2000+VALUE(RIGHT(I9,2)),VALUE(MID(I9,4,2)),VALUE(LEFT(I9,2))),"")))))</f>
        <v/>
      </c>
      <c r="K9" s="92" t="n"/>
      <c r="L9" s="49">
        <f>IFERROR(INDEX('Master Stock'!$C$2:$C$100,AGGREGATE(15,6,(ROW('Master Stock'!$C$2:$C$100)-ROW('Master Stock'!$C$2)+1)/(('Master Stock'!$H$2:$H$100="OCCUPIED")*('Master Stock'!$J$2:$J$100&lt;&gt;"")*('Master Stock'!$K$2:$K$100="")*('Master Stock'!$J$2:$J$100&lt;TODAY()-30)),1)),"")</f>
        <v/>
      </c>
      <c r="M9" s="49">
        <f>IFERROR(INDEX('Master Stock'!$D$2:$D$100,AGGREGATE(15,6,(ROW('Master Stock'!$C$2:$C$100)-ROW('Master Stock'!$C$2)+1)/(('Master Stock'!$H$2:$H$100="OCCUPIED")*('Master Stock'!$J$2:$J$100&lt;&gt;"")*('Master Stock'!$K$2:$K$100="")*('Master Stock'!$J$2:$J$100&lt;TODAY()-30)),1)),"")</f>
        <v/>
      </c>
      <c r="N9" s="52">
        <f>IFERROR(INDEX('Master Stock'!$J$2:$J$100,AGGREGATE(15,6,(ROW('Master Stock'!$C$2:$C$100)-ROW('Master Stock'!$C$2)+1)/(('Master Stock'!$H$2:$H$100="OCCUPIED")*('Master Stock'!$J$2:$J$100&lt;&gt;"")*('Master Stock'!$K$2:$K$100="")*('Master Stock'!$J$2:$J$100&lt;TODAY()-30)),1)),"")</f>
        <v/>
      </c>
      <c r="O9" s="51">
        <f>IF(N9="","",MAX(0,TODAY()-(IF(ISNUMBER(N9),N9,IFERROR(DATE(2000+VALUE(RIGHT(N9,2)),VALUE(MID(N9,4,2)),VALUE(LEFT(N9,2))),"")))))</f>
        <v/>
      </c>
    </row>
    <row r="10" ht="15" customHeight="1" s="42">
      <c r="A10" s="49">
        <f>IFERROR(INDEX('Master Stock'!$C$2:$C$100,MATCH(ROWS($A$9:A10),'Master Stock'!$N$2:$N$100,0)),"")</f>
        <v/>
      </c>
      <c r="B10" s="49">
        <f>IFERROR(INDEX('Master Stock'!$D$2:$D$100,MATCH(ROWS($A$9:A10),'Master Stock'!$N$2:$N$100,0)),"")</f>
        <v/>
      </c>
      <c r="C10" s="52">
        <f>IFERROR(INDEX('Master Stock'!$B$2:$B$100,MATCH(ROWS($A$9:A10),'Master Stock'!$N$2:$N$100,0)),"")</f>
        <v/>
      </c>
      <c r="D10" s="52">
        <f>IFERROR(INDEX('Master Stock'!$J$2:$J$100,MATCH(ROWS($A$9:A10),'Master Stock'!$N$2:$N$100,0)),"")</f>
        <v/>
      </c>
      <c r="E10" s="51">
        <f>IF(D10="","",MAX(0,TODAY()-(IF(ISNUMBER(D10),D10,IFERROR(DATE(2000+VALUE(RIGHT(D10,2)),VALUE(MID(D10,4,2)),VALUE(LEFT(D10,2))),"")))))</f>
        <v/>
      </c>
      <c r="F10" s="83" t="n"/>
      <c r="G10" s="49">
        <f>IFERROR(INDEX('Master Stock'!$C$2:$C$100,MATCH(ROWS($G$9:G10),'Master Stock'!$P$2:$P$100,0)),"")</f>
        <v/>
      </c>
      <c r="H10" s="49">
        <f>IFERROR(INDEX('Master Stock'!$D$2:$D$100,MATCH(ROWS($G$9:G10),'Master Stock'!$P$2:$P$100,0)),"")</f>
        <v/>
      </c>
      <c r="I10" s="52">
        <f>IFERROR(INDEX('Master Stock'!$J$2:$J$100,MATCH(ROWS($G$9:G10),'Master Stock'!$P$2:$P$100,0)),"")</f>
        <v/>
      </c>
      <c r="J10" s="51">
        <f>IF(I10="","",MAX(0,TODAY()-(IF(ISNUMBER(I10),I10,IFERROR(DATE(2000+VALUE(RIGHT(I10,2)),VALUE(MID(I10,4,2)),VALUE(LEFT(I10,2))),"")))))</f>
        <v/>
      </c>
      <c r="K10" s="92" t="n"/>
      <c r="L10" s="49">
        <f>IFERROR(INDEX('Master Stock'!$C$2:$C$100,AGGREGATE(15,6,(ROW('Master Stock'!$C$2:$C$100)-ROW('Master Stock'!$C$2)+1)/(('Master Stock'!$H$2:$H$100="OCCUPIED")*('Master Stock'!$J$2:$J$100&lt;&gt;"")*('Master Stock'!$K$2:$K$100="")*('Master Stock'!$J$2:$J$100&lt;TODAY()-30)),2)),"")</f>
        <v/>
      </c>
      <c r="M10" s="49">
        <f>IFERROR(INDEX('Master Stock'!$D$2:$D$100,AGGREGATE(15,6,(ROW('Master Stock'!$C$2:$C$100)-ROW('Master Stock'!$C$2)+1)/(('Master Stock'!$H$2:$H$100="OCCUPIED")*('Master Stock'!$J$2:$J$100&lt;&gt;"")*('Master Stock'!$K$2:$K$100="")*('Master Stock'!$J$2:$J$100&lt;TODAY()-30)),2)),"")</f>
        <v/>
      </c>
      <c r="N10" s="52">
        <f>IFERROR(INDEX('Master Stock'!$J$2:$J$100,AGGREGATE(15,6,(ROW('Master Stock'!$C$2:$C$100)-ROW('Master Stock'!$C$2)+1)/(('Master Stock'!$H$2:$H$100="OCCUPIED")*('Master Stock'!$J$2:$J$100&lt;&gt;"")*('Master Stock'!$K$2:$K$100="")*('Master Stock'!$J$2:$J$100&lt;TODAY()-30)),2)),"")</f>
        <v/>
      </c>
      <c r="O10" s="51">
        <f>IF(N10="","",MAX(0,TODAY()-(IF(ISNUMBER(N10),N10,IFERROR(DATE(2000+VALUE(RIGHT(N10,2)),VALUE(MID(N10,4,2)),VALUE(LEFT(N10,2))),"")))))</f>
        <v/>
      </c>
    </row>
    <row r="11" ht="15" customHeight="1" s="42">
      <c r="A11" s="49">
        <f>IFERROR(INDEX('Master Stock'!$C$2:$C$100,MATCH(ROWS($A$9:A11),'Master Stock'!$N$2:$N$100,0)),"")</f>
        <v/>
      </c>
      <c r="B11" s="49">
        <f>IFERROR(INDEX('Master Stock'!$D$2:$D$100,MATCH(ROWS($A$9:A11),'Master Stock'!$N$2:$N$100,0)),"")</f>
        <v/>
      </c>
      <c r="C11" s="52">
        <f>IFERROR(INDEX('Master Stock'!$B$2:$B$100,MATCH(ROWS($A$9:A11),'Master Stock'!$N$2:$N$100,0)),"")</f>
        <v/>
      </c>
      <c r="D11" s="52">
        <f>IFERROR(INDEX('Master Stock'!$J$2:$J$100,MATCH(ROWS($A$9:A11),'Master Stock'!$N$2:$N$100,0)),"")</f>
        <v/>
      </c>
      <c r="E11" s="51">
        <f>IF(D11="","",MAX(0,TODAY()-(IF(ISNUMBER(D11),D11,IFERROR(DATE(2000+VALUE(RIGHT(D11,2)),VALUE(MID(D11,4,2)),VALUE(LEFT(D11,2))),"")))))</f>
        <v/>
      </c>
      <c r="F11" s="83" t="n"/>
      <c r="G11" s="49">
        <f>IFERROR(INDEX('Master Stock'!$C$2:$C$100,MATCH(ROWS($G$9:G11),'Master Stock'!$P$2:$P$100,0)),"")</f>
        <v/>
      </c>
      <c r="H11" s="49">
        <f>IFERROR(INDEX('Master Stock'!$D$2:$D$100,MATCH(ROWS($G$9:G11),'Master Stock'!$P$2:$P$100,0)),"")</f>
        <v/>
      </c>
      <c r="I11" s="52">
        <f>IFERROR(INDEX('Master Stock'!$J$2:$J$100,MATCH(ROWS($G$9:G11),'Master Stock'!$P$2:$P$100,0)),"")</f>
        <v/>
      </c>
      <c r="J11" s="51">
        <f>IF(I11="","",MAX(0,TODAY()-(IF(ISNUMBER(I11),I11,IFERROR(DATE(2000+VALUE(RIGHT(I11,2)),VALUE(MID(I11,4,2)),VALUE(LEFT(I11,2))),"")))))</f>
        <v/>
      </c>
      <c r="K11" s="92" t="n"/>
      <c r="L11" s="49">
        <f>IFERROR(INDEX('Master Stock'!$C$2:$C$100,AGGREGATE(15,6,(ROW('Master Stock'!$C$2:$C$100)-ROW('Master Stock'!$C$2)+1)/(('Master Stock'!$H$2:$H$100="OCCUPIED")*('Master Stock'!$J$2:$J$100&lt;&gt;"")*('Master Stock'!$K$2:$K$100="")*('Master Stock'!$J$2:$J$100&lt;TODAY()-30)),3)),"")</f>
        <v/>
      </c>
      <c r="M11" s="49">
        <f>IFERROR(INDEX('Master Stock'!$D$2:$D$100,AGGREGATE(15,6,(ROW('Master Stock'!$C$2:$C$100)-ROW('Master Stock'!$C$2)+1)/(('Master Stock'!$H$2:$H$100="OCCUPIED")*('Master Stock'!$J$2:$J$100&lt;&gt;"")*('Master Stock'!$K$2:$K$100="")*('Master Stock'!$J$2:$J$100&lt;TODAY()-30)),3)),"")</f>
        <v/>
      </c>
      <c r="N11" s="52">
        <f>IFERROR(INDEX('Master Stock'!$J$2:$J$100,AGGREGATE(15,6,(ROW('Master Stock'!$C$2:$C$100)-ROW('Master Stock'!$C$2)+1)/(('Master Stock'!$H$2:$H$100="OCCUPIED")*('Master Stock'!$J$2:$J$100&lt;&gt;"")*('Master Stock'!$K$2:$K$100="")*('Master Stock'!$J$2:$J$100&lt;TODAY()-30)),3)),"")</f>
        <v/>
      </c>
      <c r="O11" s="51">
        <f>IF(N11="","",MAX(0,TODAY()-(IF(ISNUMBER(N11),N11,IFERROR(DATE(2000+VALUE(RIGHT(N11,2)),VALUE(MID(N11,4,2)),VALUE(LEFT(N11,2))),"")))))</f>
        <v/>
      </c>
    </row>
    <row r="12" ht="15" customHeight="1" s="42">
      <c r="A12" s="49">
        <f>IFERROR(INDEX('Master Stock'!$C$2:$C$100,MATCH(ROWS($A$9:A12),'Master Stock'!$N$2:$N$100,0)),"")</f>
        <v/>
      </c>
      <c r="B12" s="49">
        <f>IFERROR(INDEX('Master Stock'!$D$2:$D$100,MATCH(ROWS($A$9:A12),'Master Stock'!$N$2:$N$100,0)),"")</f>
        <v/>
      </c>
      <c r="C12" s="52">
        <f>IFERROR(INDEX('Master Stock'!$B$2:$B$100,MATCH(ROWS($A$9:A12),'Master Stock'!$N$2:$N$100,0)),"")</f>
        <v/>
      </c>
      <c r="D12" s="52">
        <f>IFERROR(INDEX('Master Stock'!$J$2:$J$100,MATCH(ROWS($A$9:A12),'Master Stock'!$N$2:$N$100,0)),"")</f>
        <v/>
      </c>
      <c r="E12" s="51">
        <f>IF(D12="","",MAX(0,TODAY()-(IF(ISNUMBER(D12),D12,IFERROR(DATE(2000+VALUE(RIGHT(D12,2)),VALUE(MID(D12,4,2)),VALUE(LEFT(D12,2))),"")))))</f>
        <v/>
      </c>
      <c r="F12" s="83" t="n"/>
      <c r="G12" s="49">
        <f>IFERROR(INDEX('Master Stock'!$C$2:$C$100,MATCH(ROWS($G$9:G12),'Master Stock'!$P$2:$P$100,0)),"")</f>
        <v/>
      </c>
      <c r="H12" s="49">
        <f>IFERROR(INDEX('Master Stock'!$D$2:$D$100,MATCH(ROWS($G$9:G12),'Master Stock'!$P$2:$P$100,0)),"")</f>
        <v/>
      </c>
      <c r="I12" s="52">
        <f>IFERROR(INDEX('Master Stock'!$J$2:$J$100,MATCH(ROWS($G$9:G12),'Master Stock'!$P$2:$P$100,0)),"")</f>
        <v/>
      </c>
      <c r="J12" s="51">
        <f>IF(I12="","",MAX(0,TODAY()-(IF(ISNUMBER(I12),I12,IFERROR(DATE(2000+VALUE(RIGHT(I12,2)),VALUE(MID(I12,4,2)),VALUE(LEFT(I12,2))),"")))))</f>
        <v/>
      </c>
      <c r="K12" s="92" t="n"/>
      <c r="L12" s="49">
        <f>IFERROR(INDEX('Master Stock'!$C$2:$C$100,AGGREGATE(15,6,(ROW('Master Stock'!$C$2:$C$100)-ROW('Master Stock'!$C$2)+1)/(('Master Stock'!$H$2:$H$100="OCCUPIED")*('Master Stock'!$J$2:$J$100&lt;&gt;"")*('Master Stock'!$K$2:$K$100="")*('Master Stock'!$J$2:$J$100&lt;TODAY()-30)),4)),"")</f>
        <v/>
      </c>
      <c r="M12" s="49">
        <f>IFERROR(INDEX('Master Stock'!$D$2:$D$100,AGGREGATE(15,6,(ROW('Master Stock'!$C$2:$C$100)-ROW('Master Stock'!$C$2)+1)/(('Master Stock'!$H$2:$H$100="OCCUPIED")*('Master Stock'!$J$2:$J$100&lt;&gt;"")*('Master Stock'!$K$2:$K$100="")*('Master Stock'!$J$2:$J$100&lt;TODAY()-30)),4)),"")</f>
        <v/>
      </c>
      <c r="N12" s="52">
        <f>IFERROR(INDEX('Master Stock'!$J$2:$J$100,AGGREGATE(15,6,(ROW('Master Stock'!$C$2:$C$100)-ROW('Master Stock'!$C$2)+1)/(('Master Stock'!$H$2:$H$100="OCCUPIED")*('Master Stock'!$J$2:$J$100&lt;&gt;"")*('Master Stock'!$K$2:$K$100="")*('Master Stock'!$J$2:$J$100&lt;TODAY()-30)),4)),"")</f>
        <v/>
      </c>
      <c r="O12" s="51">
        <f>IF(N12="","",MAX(0,TODAY()-(IF(ISNUMBER(N12),N12,IFERROR(DATE(2000+VALUE(RIGHT(N12,2)),VALUE(MID(N12,4,2)),VALUE(LEFT(N12,2))),"")))))</f>
        <v/>
      </c>
    </row>
    <row r="13" ht="15" customHeight="1" s="42">
      <c r="A13" s="49">
        <f>IFERROR(INDEX('Master Stock'!$C$2:$C$100,MATCH(ROWS($A$9:A13),'Master Stock'!$N$2:$N$100,0)),"")</f>
        <v/>
      </c>
      <c r="B13" s="49">
        <f>IFERROR(INDEX('Master Stock'!$D$2:$D$100,MATCH(ROWS($A$9:A13),'Master Stock'!$N$2:$N$100,0)),"")</f>
        <v/>
      </c>
      <c r="C13" s="52">
        <f>IFERROR(INDEX('Master Stock'!$B$2:$B$100,MATCH(ROWS($A$9:A13),'Master Stock'!$N$2:$N$100,0)),"")</f>
        <v/>
      </c>
      <c r="D13" s="52">
        <f>IFERROR(INDEX('Master Stock'!$J$2:$J$100,MATCH(ROWS($A$9:A13),'Master Stock'!$N$2:$N$100,0)),"")</f>
        <v/>
      </c>
      <c r="E13" s="51">
        <f>IF(D13="","",MAX(0,TODAY()-(IF(ISNUMBER(D13),D13,IFERROR(DATE(2000+VALUE(RIGHT(D13,2)),VALUE(MID(D13,4,2)),VALUE(LEFT(D13,2))),"")))))</f>
        <v/>
      </c>
      <c r="F13" s="83" t="n"/>
      <c r="G13" s="49">
        <f>IFERROR(INDEX('Master Stock'!$C$2:$C$100,MATCH(ROWS($G$9:G13),'Master Stock'!$P$2:$P$100,0)),"")</f>
        <v/>
      </c>
      <c r="H13" s="49">
        <f>IFERROR(INDEX('Master Stock'!$D$2:$D$100,MATCH(ROWS($G$9:G13),'Master Stock'!$P$2:$P$100,0)),"")</f>
        <v/>
      </c>
      <c r="I13" s="52">
        <f>IFERROR(INDEX('Master Stock'!$J$2:$J$100,MATCH(ROWS($G$9:G13),'Master Stock'!$P$2:$P$100,0)),"")</f>
        <v/>
      </c>
      <c r="J13" s="51">
        <f>IF(I13="","",MAX(0,TODAY()-(IF(ISNUMBER(I13),I13,IFERROR(DATE(2000+VALUE(RIGHT(I13,2)),VALUE(MID(I13,4,2)),VALUE(LEFT(I13,2))),"")))))</f>
        <v/>
      </c>
      <c r="K13" s="92" t="n"/>
      <c r="L13" s="49">
        <f>IFERROR(INDEX('Master Stock'!$C$2:$C$100,AGGREGATE(15,6,(ROW('Master Stock'!$C$2:$C$100)-ROW('Master Stock'!$C$2)+1)/(('Master Stock'!$H$2:$H$100="OCCUPIED")*('Master Stock'!$J$2:$J$100&lt;&gt;"")*('Master Stock'!$K$2:$K$100="")*('Master Stock'!$J$2:$J$100&lt;TODAY()-30)),5)),"")</f>
        <v/>
      </c>
      <c r="M13" s="49">
        <f>IFERROR(INDEX('Master Stock'!$D$2:$D$100,AGGREGATE(15,6,(ROW('Master Stock'!$C$2:$C$100)-ROW('Master Stock'!$C$2)+1)/(('Master Stock'!$H$2:$H$100="OCCUPIED")*('Master Stock'!$J$2:$J$100&lt;&gt;"")*('Master Stock'!$K$2:$K$100="")*('Master Stock'!$J$2:$J$100&lt;TODAY()-30)),5)),"")</f>
        <v/>
      </c>
      <c r="N13" s="52">
        <f>IFERROR(INDEX('Master Stock'!$J$2:$J$100,AGGREGATE(15,6,(ROW('Master Stock'!$C$2:$C$100)-ROW('Master Stock'!$C$2)+1)/(('Master Stock'!$H$2:$H$100="OCCUPIED")*('Master Stock'!$J$2:$J$100&lt;&gt;"")*('Master Stock'!$K$2:$K$100="")*('Master Stock'!$J$2:$J$100&lt;TODAY()-30)),5)),"")</f>
        <v/>
      </c>
      <c r="O13" s="51">
        <f>IF(N13="","",MAX(0,TODAY()-(IF(ISNUMBER(N13),N13,IFERROR(DATE(2000+VALUE(RIGHT(N13,2)),VALUE(MID(N13,4,2)),VALUE(LEFT(N13,2))),"")))))</f>
        <v/>
      </c>
    </row>
    <row r="14" ht="15" customHeight="1" s="42">
      <c r="A14" s="49">
        <f>IFERROR(INDEX('Master Stock'!$C$2:$C$100,MATCH(ROWS($A$9:A14),'Master Stock'!$N$2:$N$100,0)),"")</f>
        <v/>
      </c>
      <c r="B14" s="49">
        <f>IFERROR(INDEX('Master Stock'!$D$2:$D$100,MATCH(ROWS($A$9:A14),'Master Stock'!$N$2:$N$100,0)),"")</f>
        <v/>
      </c>
      <c r="C14" s="52">
        <f>IFERROR(INDEX('Master Stock'!$B$2:$B$100,MATCH(ROWS($A$9:A14),'Master Stock'!$N$2:$N$100,0)),"")</f>
        <v/>
      </c>
      <c r="D14" s="52">
        <f>IFERROR(INDEX('Master Stock'!$J$2:$J$100,MATCH(ROWS($A$9:A14),'Master Stock'!$N$2:$N$100,0)),"")</f>
        <v/>
      </c>
      <c r="E14" s="51">
        <f>IF(D14="","",MAX(0,TODAY()-(IF(ISNUMBER(D14),D14,IFERROR(DATE(2000+VALUE(RIGHT(D14,2)),VALUE(MID(D14,4,2)),VALUE(LEFT(D14,2))),"")))))</f>
        <v/>
      </c>
      <c r="F14" s="83" t="n"/>
      <c r="G14" s="49">
        <f>IFERROR(INDEX('Master Stock'!$C$2:$C$100,MATCH(ROWS($G$9:G14),'Master Stock'!$P$2:$P$100,0)),"")</f>
        <v/>
      </c>
      <c r="H14" s="49">
        <f>IFERROR(INDEX('Master Stock'!$D$2:$D$100,MATCH(ROWS($G$9:G14),'Master Stock'!$P$2:$P$100,0)),"")</f>
        <v/>
      </c>
      <c r="I14" s="52">
        <f>IFERROR(INDEX('Master Stock'!$J$2:$J$100,MATCH(ROWS($G$9:G14),'Master Stock'!$P$2:$P$100,0)),"")</f>
        <v/>
      </c>
      <c r="J14" s="51">
        <f>IF(I14="","",MAX(0,TODAY()-(IF(ISNUMBER(I14),I14,IFERROR(DATE(2000+VALUE(RIGHT(I14,2)),VALUE(MID(I14,4,2)),VALUE(LEFT(I14,2))),"")))))</f>
        <v/>
      </c>
      <c r="K14" s="92" t="n"/>
      <c r="L14" s="49">
        <f>IFERROR(INDEX('Master Stock'!$C$2:$C$100,AGGREGATE(15,6,(ROW('Master Stock'!$C$2:$C$100)-ROW('Master Stock'!$C$2)+1)/(('Master Stock'!$H$2:$H$100="OCCUPIED")*('Master Stock'!$J$2:$J$100&lt;&gt;"")*('Master Stock'!$K$2:$K$100="")*('Master Stock'!$J$2:$J$100&lt;TODAY()-30)),6)),"")</f>
        <v/>
      </c>
      <c r="M14" s="49">
        <f>IFERROR(INDEX('Master Stock'!$D$2:$D$100,AGGREGATE(15,6,(ROW('Master Stock'!$C$2:$C$100)-ROW('Master Stock'!$C$2)+1)/(('Master Stock'!$H$2:$H$100="OCCUPIED")*('Master Stock'!$J$2:$J$100&lt;&gt;"")*('Master Stock'!$K$2:$K$100="")*('Master Stock'!$J$2:$J$100&lt;TODAY()-30)),6)),"")</f>
        <v/>
      </c>
      <c r="N14" s="52">
        <f>IFERROR(INDEX('Master Stock'!$J$2:$J$100,AGGREGATE(15,6,(ROW('Master Stock'!$C$2:$C$100)-ROW('Master Stock'!$C$2)+1)/(('Master Stock'!$H$2:$H$100="OCCUPIED")*('Master Stock'!$J$2:$J$100&lt;&gt;"")*('Master Stock'!$K$2:$K$100="")*('Master Stock'!$J$2:$J$100&lt;TODAY()-30)),6)),"")</f>
        <v/>
      </c>
      <c r="O14" s="51">
        <f>IF(N14="","",MAX(0,TODAY()-(IF(ISNUMBER(N14),N14,IFERROR(DATE(2000+VALUE(RIGHT(N14,2)),VALUE(MID(N14,4,2)),VALUE(LEFT(N14,2))),"")))))</f>
        <v/>
      </c>
    </row>
    <row r="15" ht="15" customHeight="1" s="42">
      <c r="A15" s="49">
        <f>IFERROR(INDEX('Master Stock'!$C$2:$C$100,MATCH(ROWS($A$9:A15),'Master Stock'!$N$2:$N$100,0)),"")</f>
        <v/>
      </c>
      <c r="B15" s="49">
        <f>IFERROR(INDEX('Master Stock'!$D$2:$D$100,MATCH(ROWS($A$9:A15),'Master Stock'!$N$2:$N$100,0)),"")</f>
        <v/>
      </c>
      <c r="C15" s="52">
        <f>IFERROR(INDEX('Master Stock'!$B$2:$B$100,MATCH(ROWS($A$9:A15),'Master Stock'!$N$2:$N$100,0)),"")</f>
        <v/>
      </c>
      <c r="D15" s="52">
        <f>IFERROR(INDEX('Master Stock'!$J$2:$J$100,MATCH(ROWS($A$9:A15),'Master Stock'!$N$2:$N$100,0)),"")</f>
        <v/>
      </c>
      <c r="E15" s="51">
        <f>IF(D15="","",MAX(0,TODAY()-(IF(ISNUMBER(D15),D15,IFERROR(DATE(2000+VALUE(RIGHT(D15,2)),VALUE(MID(D15,4,2)),VALUE(LEFT(D15,2))),"")))))</f>
        <v/>
      </c>
      <c r="F15" s="83" t="n"/>
      <c r="G15" s="49">
        <f>IFERROR(INDEX('Master Stock'!$C$2:$C$100,MATCH(ROWS($G$9:G15),'Master Stock'!$P$2:$P$100,0)),"")</f>
        <v/>
      </c>
      <c r="H15" s="49">
        <f>IFERROR(INDEX('Master Stock'!$D$2:$D$100,MATCH(ROWS($G$9:G15),'Master Stock'!$P$2:$P$100,0)),"")</f>
        <v/>
      </c>
      <c r="I15" s="52">
        <f>IFERROR(INDEX('Master Stock'!$J$2:$J$100,MATCH(ROWS($G$9:G15),'Master Stock'!$P$2:$P$100,0)),"")</f>
        <v/>
      </c>
      <c r="J15" s="51">
        <f>IF(I15="","",MAX(0,TODAY()-(IF(ISNUMBER(I15),I15,IFERROR(DATE(2000+VALUE(RIGHT(I15,2)),VALUE(MID(I15,4,2)),VALUE(LEFT(I15,2))),"")))))</f>
        <v/>
      </c>
      <c r="K15" s="92" t="n"/>
      <c r="L15" s="49">
        <f>IFERROR(INDEX('Master Stock'!$C$2:$C$100,AGGREGATE(15,6,(ROW('Master Stock'!$C$2:$C$100)-ROW('Master Stock'!$C$2)+1)/(('Master Stock'!$H$2:$H$100="OCCUPIED")*('Master Stock'!$J$2:$J$100&lt;&gt;"")*('Master Stock'!$K$2:$K$100="")*('Master Stock'!$J$2:$J$100&lt;TODAY()-30)),7)),"")</f>
        <v/>
      </c>
      <c r="M15" s="49">
        <f>IFERROR(INDEX('Master Stock'!$D$2:$D$100,AGGREGATE(15,6,(ROW('Master Stock'!$C$2:$C$100)-ROW('Master Stock'!$C$2)+1)/(('Master Stock'!$H$2:$H$100="OCCUPIED")*('Master Stock'!$J$2:$J$100&lt;&gt;"")*('Master Stock'!$K$2:$K$100="")*('Master Stock'!$J$2:$J$100&lt;TODAY()-30)),7)),"")</f>
        <v/>
      </c>
      <c r="N15" s="52">
        <f>IFERROR(INDEX('Master Stock'!$J$2:$J$100,AGGREGATE(15,6,(ROW('Master Stock'!$C$2:$C$100)-ROW('Master Stock'!$C$2)+1)/(('Master Stock'!$H$2:$H$100="OCCUPIED")*('Master Stock'!$J$2:$J$100&lt;&gt;"")*('Master Stock'!$K$2:$K$100="")*('Master Stock'!$J$2:$J$100&lt;TODAY()-30)),7)),"")</f>
        <v/>
      </c>
      <c r="O15" s="51">
        <f>IF(N15="","",MAX(0,TODAY()-(IF(ISNUMBER(N15),N15,IFERROR(DATE(2000+VALUE(RIGHT(N15,2)),VALUE(MID(N15,4,2)),VALUE(LEFT(N15,2))),"")))))</f>
        <v/>
      </c>
    </row>
    <row r="16" ht="15" customHeight="1" s="42">
      <c r="A16" s="49">
        <f>IFERROR(INDEX('Master Stock'!$C$2:$C$100,MATCH(ROWS($A$9:A16),'Master Stock'!$N$2:$N$100,0)),"")</f>
        <v/>
      </c>
      <c r="B16" s="49">
        <f>IFERROR(INDEX('Master Stock'!$D$2:$D$100,MATCH(ROWS($A$9:A16),'Master Stock'!$N$2:$N$100,0)),"")</f>
        <v/>
      </c>
      <c r="C16" s="52">
        <f>IFERROR(INDEX('Master Stock'!$B$2:$B$100,MATCH(ROWS($A$9:A16),'Master Stock'!$N$2:$N$100,0)),"")</f>
        <v/>
      </c>
      <c r="D16" s="52">
        <f>IFERROR(INDEX('Master Stock'!$J$2:$J$100,MATCH(ROWS($A$9:A16),'Master Stock'!$N$2:$N$100,0)),"")</f>
        <v/>
      </c>
      <c r="E16" s="51">
        <f>IF(D16="","",MAX(0,TODAY()-(IF(ISNUMBER(D16),D16,IFERROR(DATE(2000+VALUE(RIGHT(D16,2)),VALUE(MID(D16,4,2)),VALUE(LEFT(D16,2))),"")))))</f>
        <v/>
      </c>
      <c r="F16" s="83" t="n"/>
      <c r="G16" s="49">
        <f>IFERROR(INDEX('Master Stock'!$C$2:$C$100,MATCH(ROWS($G$9:G16),'Master Stock'!$P$2:$P$100,0)),"")</f>
        <v/>
      </c>
      <c r="H16" s="49">
        <f>IFERROR(INDEX('Master Stock'!$D$2:$D$100,MATCH(ROWS($G$9:G16),'Master Stock'!$P$2:$P$100,0)),"")</f>
        <v/>
      </c>
      <c r="I16" s="52">
        <f>IFERROR(INDEX('Master Stock'!$J$2:$J$100,MATCH(ROWS($G$9:G16),'Master Stock'!$P$2:$P$100,0)),"")</f>
        <v/>
      </c>
      <c r="J16" s="51">
        <f>IF(I16="","",MAX(0,TODAY()-(IF(ISNUMBER(I16),I16,IFERROR(DATE(2000+VALUE(RIGHT(I16,2)),VALUE(MID(I16,4,2)),VALUE(LEFT(I16,2))),"")))))</f>
        <v/>
      </c>
      <c r="K16" s="92" t="n"/>
      <c r="L16" s="49">
        <f>IFERROR(INDEX('Master Stock'!$C$2:$C$100,AGGREGATE(15,6,(ROW('Master Stock'!$C$2:$C$100)-ROW('Master Stock'!$C$2)+1)/(('Master Stock'!$H$2:$H$100="OCCUPIED")*('Master Stock'!$J$2:$J$100&lt;&gt;"")*('Master Stock'!$K$2:$K$100="")*('Master Stock'!$J$2:$J$100&lt;TODAY()-30)),8)),"")</f>
        <v/>
      </c>
      <c r="M16" s="49">
        <f>IFERROR(INDEX('Master Stock'!$D$2:$D$100,AGGREGATE(15,6,(ROW('Master Stock'!$C$2:$C$100)-ROW('Master Stock'!$C$2)+1)/(('Master Stock'!$H$2:$H$100="OCCUPIED")*('Master Stock'!$J$2:$J$100&lt;&gt;"")*('Master Stock'!$K$2:$K$100="")*('Master Stock'!$J$2:$J$100&lt;TODAY()-30)),8)),"")</f>
        <v/>
      </c>
      <c r="N16" s="52">
        <f>IFERROR(INDEX('Master Stock'!$J$2:$J$100,AGGREGATE(15,6,(ROW('Master Stock'!$C$2:$C$100)-ROW('Master Stock'!$C$2)+1)/(('Master Stock'!$H$2:$H$100="OCCUPIED")*('Master Stock'!$J$2:$J$100&lt;&gt;"")*('Master Stock'!$K$2:$K$100="")*('Master Stock'!$J$2:$J$100&lt;TODAY()-30)),8)),"")</f>
        <v/>
      </c>
      <c r="O16" s="51">
        <f>IF(N16="","",MAX(0,TODAY()-(IF(ISNUMBER(N16),N16,IFERROR(DATE(2000+VALUE(RIGHT(N16,2)),VALUE(MID(N16,4,2)),VALUE(LEFT(N16,2))),"")))))</f>
        <v/>
      </c>
    </row>
    <row r="17" ht="15" customHeight="1" s="42">
      <c r="A17" s="49">
        <f>IFERROR(INDEX('Master Stock'!$C$2:$C$100,MATCH(ROWS($A$9:A17),'Master Stock'!$N$2:$N$100,0)),"")</f>
        <v/>
      </c>
      <c r="B17" s="49">
        <f>IFERROR(INDEX('Master Stock'!$D$2:$D$100,MATCH(ROWS($A$9:A17),'Master Stock'!$N$2:$N$100,0)),"")</f>
        <v/>
      </c>
      <c r="C17" s="52">
        <f>IFERROR(INDEX('Master Stock'!$B$2:$B$100,MATCH(ROWS($A$9:A17),'Master Stock'!$N$2:$N$100,0)),"")</f>
        <v/>
      </c>
      <c r="D17" s="52">
        <f>IFERROR(INDEX('Master Stock'!$J$2:$J$100,MATCH(ROWS($A$9:A17),'Master Stock'!$N$2:$N$100,0)),"")</f>
        <v/>
      </c>
      <c r="E17" s="51">
        <f>IF(D17="","",MAX(0,TODAY()-(IF(ISNUMBER(D17),D17,IFERROR(DATE(2000+VALUE(RIGHT(D17,2)),VALUE(MID(D17,4,2)),VALUE(LEFT(D17,2))),"")))))</f>
        <v/>
      </c>
      <c r="F17" s="83" t="n"/>
      <c r="G17" s="49">
        <f>IFERROR(INDEX('Master Stock'!$C$2:$C$100,MATCH(ROWS($G$9:G17),'Master Stock'!$P$2:$P$100,0)),"")</f>
        <v/>
      </c>
      <c r="H17" s="49">
        <f>IFERROR(INDEX('Master Stock'!$D$2:$D$100,MATCH(ROWS($G$9:G17),'Master Stock'!$P$2:$P$100,0)),"")</f>
        <v/>
      </c>
      <c r="I17" s="52">
        <f>IFERROR(INDEX('Master Stock'!$J$2:$J$100,MATCH(ROWS($G$9:G17),'Master Stock'!$P$2:$P$100,0)),"")</f>
        <v/>
      </c>
      <c r="J17" s="51">
        <f>IF(I17="","",MAX(0,TODAY()-(IF(ISNUMBER(I17),I17,IFERROR(DATE(2000+VALUE(RIGHT(I17,2)),VALUE(MID(I17,4,2)),VALUE(LEFT(I17,2))),"")))))</f>
        <v/>
      </c>
      <c r="K17" s="92" t="n"/>
      <c r="L17" s="49">
        <f>IFERROR(INDEX('Master Stock'!$C$2:$C$100,AGGREGATE(15,6,(ROW('Master Stock'!$C$2:$C$100)-ROW('Master Stock'!$C$2)+1)/(('Master Stock'!$H$2:$H$100="OCCUPIED")*('Master Stock'!$J$2:$J$100&lt;&gt;"")*('Master Stock'!$K$2:$K$100="")*('Master Stock'!$J$2:$J$100&lt;TODAY()-30)),9)),"")</f>
        <v/>
      </c>
      <c r="M17" s="49">
        <f>IFERROR(INDEX('Master Stock'!$D$2:$D$100,AGGREGATE(15,6,(ROW('Master Stock'!$C$2:$C$100)-ROW('Master Stock'!$C$2)+1)/(('Master Stock'!$H$2:$H$100="OCCUPIED")*('Master Stock'!$J$2:$J$100&lt;&gt;"")*('Master Stock'!$K$2:$K$100="")*('Master Stock'!$J$2:$J$100&lt;TODAY()-30)),9)),"")</f>
        <v/>
      </c>
      <c r="N17" s="52">
        <f>IFERROR(INDEX('Master Stock'!$J$2:$J$100,AGGREGATE(15,6,(ROW('Master Stock'!$C$2:$C$100)-ROW('Master Stock'!$C$2)+1)/(('Master Stock'!$H$2:$H$100="OCCUPIED")*('Master Stock'!$J$2:$J$100&lt;&gt;"")*('Master Stock'!$K$2:$K$100="")*('Master Stock'!$J$2:$J$100&lt;TODAY()-30)),9)),"")</f>
        <v/>
      </c>
      <c r="O17" s="51">
        <f>IF(N17="","",MAX(0,TODAY()-(IF(ISNUMBER(N17),N17,IFERROR(DATE(2000+VALUE(RIGHT(N17,2)),VALUE(MID(N17,4,2)),VALUE(LEFT(N17,2))),"")))))</f>
        <v/>
      </c>
    </row>
    <row r="18" ht="15" customHeight="1" s="42">
      <c r="A18" s="49">
        <f>IFERROR(INDEX('Master Stock'!$C$2:$C$100,MATCH(ROWS($A$9:A18),'Master Stock'!$N$2:$N$100,0)),"")</f>
        <v/>
      </c>
      <c r="B18" s="49">
        <f>IFERROR(INDEX('Master Stock'!$D$2:$D$100,MATCH(ROWS($A$9:A18),'Master Stock'!$N$2:$N$100,0)),"")</f>
        <v/>
      </c>
      <c r="C18" s="52">
        <f>IFERROR(INDEX('Master Stock'!$B$2:$B$100,MATCH(ROWS($A$9:A18),'Master Stock'!$N$2:$N$100,0)),"")</f>
        <v/>
      </c>
      <c r="D18" s="52">
        <f>IFERROR(INDEX('Master Stock'!$J$2:$J$100,MATCH(ROWS($A$9:A18),'Master Stock'!$N$2:$N$100,0)),"")</f>
        <v/>
      </c>
      <c r="E18" s="51">
        <f>IF(D18="","",MAX(0,TODAY()-(IF(ISNUMBER(D18),D18,IFERROR(DATE(2000+VALUE(RIGHT(D18,2)),VALUE(MID(D18,4,2)),VALUE(LEFT(D18,2))),"")))))</f>
        <v/>
      </c>
      <c r="F18" s="83" t="n"/>
      <c r="G18" s="49">
        <f>IFERROR(INDEX('Master Stock'!$C$2:$C$100,MATCH(ROWS($G$9:G18),'Master Stock'!$P$2:$P$100,0)),"")</f>
        <v/>
      </c>
      <c r="H18" s="49">
        <f>IFERROR(INDEX('Master Stock'!$D$2:$D$100,MATCH(ROWS($G$9:G18),'Master Stock'!$P$2:$P$100,0)),"")</f>
        <v/>
      </c>
      <c r="I18" s="52">
        <f>IFERROR(INDEX('Master Stock'!$J$2:$J$100,MATCH(ROWS($G$9:G18),'Master Stock'!$P$2:$P$100,0)),"")</f>
        <v/>
      </c>
      <c r="J18" s="51">
        <f>IF(I18="","",MAX(0,TODAY()-(IF(ISNUMBER(I18),I18,IFERROR(DATE(2000+VALUE(RIGHT(I18,2)),VALUE(MID(I18,4,2)),VALUE(LEFT(I18,2))),"")))))</f>
        <v/>
      </c>
      <c r="K18" s="92" t="n"/>
      <c r="L18" s="49">
        <f>IFERROR(INDEX('Master Stock'!$C$2:$C$100,AGGREGATE(15,6,(ROW('Master Stock'!$C$2:$C$100)-ROW('Master Stock'!$C$2)+1)/(('Master Stock'!$H$2:$H$100="OCCUPIED")*('Master Stock'!$J$2:$J$100&lt;&gt;"")*('Master Stock'!$K$2:$K$100="")*('Master Stock'!$J$2:$J$100&lt;TODAY()-30)),10)),"")</f>
        <v/>
      </c>
      <c r="M18" s="49">
        <f>IFERROR(INDEX('Master Stock'!$D$2:$D$100,AGGREGATE(15,6,(ROW('Master Stock'!$C$2:$C$100)-ROW('Master Stock'!$C$2)+1)/(('Master Stock'!$H$2:$H$100="OCCUPIED")*('Master Stock'!$J$2:$J$100&lt;&gt;"")*('Master Stock'!$K$2:$K$100="")*('Master Stock'!$J$2:$J$100&lt;TODAY()-30)),10)),"")</f>
        <v/>
      </c>
      <c r="N18" s="52">
        <f>IFERROR(INDEX('Master Stock'!$J$2:$J$100,AGGREGATE(15,6,(ROW('Master Stock'!$C$2:$C$100)-ROW('Master Stock'!$C$2)+1)/(('Master Stock'!$H$2:$H$100="OCCUPIED")*('Master Stock'!$J$2:$J$100&lt;&gt;"")*('Master Stock'!$K$2:$K$100="")*('Master Stock'!$J$2:$J$100&lt;TODAY()-30)),10)),"")</f>
        <v/>
      </c>
      <c r="O18" s="51">
        <f>IF(N18="","",MAX(0,TODAY()-(IF(ISNUMBER(N18),N18,IFERROR(DATE(2000+VALUE(RIGHT(N18,2)),VALUE(MID(N18,4,2)),VALUE(LEFT(N18,2))),"")))))</f>
        <v/>
      </c>
    </row>
    <row r="19" ht="15" customHeight="1" s="42">
      <c r="A19" s="49">
        <f>IFERROR(INDEX('Master Stock'!$C$2:$C$100,MATCH(ROWS($A$9:A19),'Master Stock'!$N$2:$N$100,0)),"")</f>
        <v/>
      </c>
      <c r="B19" s="49">
        <f>IFERROR(INDEX('Master Stock'!$D$2:$D$100,MATCH(ROWS($A$9:A19),'Master Stock'!$N$2:$N$100,0)),"")</f>
        <v/>
      </c>
      <c r="C19" s="52">
        <f>IFERROR(INDEX('Master Stock'!$B$2:$B$100,MATCH(ROWS($A$9:A19),'Master Stock'!$N$2:$N$100,0)),"")</f>
        <v/>
      </c>
      <c r="D19" s="52">
        <f>IFERROR(INDEX('Master Stock'!$J$2:$J$100,MATCH(ROWS($A$9:A19),'Master Stock'!$N$2:$N$100,0)),"")</f>
        <v/>
      </c>
      <c r="E19" s="51">
        <f>IF(D19="","",MAX(0,TODAY()-(IF(ISNUMBER(D19),D19,IFERROR(DATE(2000+VALUE(RIGHT(D19,2)),VALUE(MID(D19,4,2)),VALUE(LEFT(D19,2))),"")))))</f>
        <v/>
      </c>
      <c r="F19" s="83" t="n"/>
      <c r="G19" s="49">
        <f>IFERROR(INDEX('Master Stock'!$C$2:$C$100,MATCH(ROWS($G$9:G19),'Master Stock'!$P$2:$P$100,0)),"")</f>
        <v/>
      </c>
      <c r="H19" s="49">
        <f>IFERROR(INDEX('Master Stock'!$D$2:$D$100,MATCH(ROWS($G$9:G19),'Master Stock'!$P$2:$P$100,0)),"")</f>
        <v/>
      </c>
      <c r="I19" s="52">
        <f>IFERROR(INDEX('Master Stock'!$J$2:$J$100,MATCH(ROWS($G$9:G19),'Master Stock'!$P$2:$P$100,0)),"")</f>
        <v/>
      </c>
      <c r="J19" s="51">
        <f>IF(I19="","",MAX(0,TODAY()-(IF(ISNUMBER(I19),I19,IFERROR(DATE(2000+VALUE(RIGHT(I19,2)),VALUE(MID(I19,4,2)),VALUE(LEFT(I19,2))),"")))))</f>
        <v/>
      </c>
      <c r="K19" s="92" t="n"/>
      <c r="L19" s="49">
        <f>IFERROR(INDEX('Master Stock'!$C$2:$C$100,AGGREGATE(15,6,(ROW('Master Stock'!$C$2:$C$100)-ROW('Master Stock'!$C$2)+1)/(('Master Stock'!$H$2:$H$100="OCCUPIED")*('Master Stock'!$J$2:$J$100&lt;&gt;"")*('Master Stock'!$K$2:$K$100="")*('Master Stock'!$J$2:$J$100&lt;TODAY()-30)),11)),"")</f>
        <v/>
      </c>
      <c r="M19" s="49">
        <f>IFERROR(INDEX('Master Stock'!$D$2:$D$100,AGGREGATE(15,6,(ROW('Master Stock'!$C$2:$C$100)-ROW('Master Stock'!$C$2)+1)/(('Master Stock'!$H$2:$H$100="OCCUPIED")*('Master Stock'!$J$2:$J$100&lt;&gt;"")*('Master Stock'!$K$2:$K$100="")*('Master Stock'!$J$2:$J$100&lt;TODAY()-30)),11)),"")</f>
        <v/>
      </c>
      <c r="N19" s="52">
        <f>IFERROR(INDEX('Master Stock'!$J$2:$J$100,AGGREGATE(15,6,(ROW('Master Stock'!$C$2:$C$100)-ROW('Master Stock'!$C$2)+1)/(('Master Stock'!$H$2:$H$100="OCCUPIED")*('Master Stock'!$J$2:$J$100&lt;&gt;"")*('Master Stock'!$K$2:$K$100="")*('Master Stock'!$J$2:$J$100&lt;TODAY()-30)),11)),"")</f>
        <v/>
      </c>
      <c r="O19" s="51">
        <f>IF(N19="","",MAX(0,TODAY()-(IF(ISNUMBER(N19),N19,IFERROR(DATE(2000+VALUE(RIGHT(N19,2)),VALUE(MID(N19,4,2)),VALUE(LEFT(N19,2))),"")))))</f>
        <v/>
      </c>
    </row>
    <row r="20" ht="15" customHeight="1" s="42">
      <c r="A20" s="49">
        <f>IFERROR(INDEX('Master Stock'!$C$2:$C$100,MATCH(ROWS($A$9:A20),'Master Stock'!$N$2:$N$100,0)),"")</f>
        <v/>
      </c>
      <c r="B20" s="49">
        <f>IFERROR(INDEX('Master Stock'!$D$2:$D$100,MATCH(ROWS($A$9:A20),'Master Stock'!$N$2:$N$100,0)),"")</f>
        <v/>
      </c>
      <c r="C20" s="52">
        <f>IFERROR(INDEX('Master Stock'!$B$2:$B$100,MATCH(ROWS($A$9:A20),'Master Stock'!$N$2:$N$100,0)),"")</f>
        <v/>
      </c>
      <c r="D20" s="52">
        <f>IFERROR(INDEX('Master Stock'!$J$2:$J$100,MATCH(ROWS($A$9:A20),'Master Stock'!$N$2:$N$100,0)),"")</f>
        <v/>
      </c>
      <c r="E20" s="51">
        <f>IF(D20="","",MAX(0,TODAY()-(IF(ISNUMBER(D20),D20,IFERROR(DATE(2000+VALUE(RIGHT(D20,2)),VALUE(MID(D20,4,2)),VALUE(LEFT(D20,2))),"")))))</f>
        <v/>
      </c>
      <c r="F20" s="83" t="n"/>
      <c r="G20" s="49">
        <f>IFERROR(INDEX('Master Stock'!$C$2:$C$100,MATCH(ROWS($G$9:G20),'Master Stock'!$P$2:$P$100,0)),"")</f>
        <v/>
      </c>
      <c r="H20" s="49">
        <f>IFERROR(INDEX('Master Stock'!$D$2:$D$100,MATCH(ROWS($G$9:G20),'Master Stock'!$P$2:$P$100,0)),"")</f>
        <v/>
      </c>
      <c r="I20" s="52">
        <f>IFERROR(INDEX('Master Stock'!$J$2:$J$100,MATCH(ROWS($G$9:G20),'Master Stock'!$P$2:$P$100,0)),"")</f>
        <v/>
      </c>
      <c r="J20" s="51">
        <f>IF(I20="","",MAX(0,TODAY()-(IF(ISNUMBER(I20),I20,IFERROR(DATE(2000+VALUE(RIGHT(I20,2)),VALUE(MID(I20,4,2)),VALUE(LEFT(I20,2))),"")))))</f>
        <v/>
      </c>
      <c r="K20" s="92" t="n"/>
      <c r="L20" s="49">
        <f>IFERROR(INDEX('Master Stock'!$C$2:$C$100,AGGREGATE(15,6,(ROW('Master Stock'!$C$2:$C$100)-ROW('Master Stock'!$C$2)+1)/(('Master Stock'!$H$2:$H$100="OCCUPIED")*('Master Stock'!$J$2:$J$100&lt;&gt;"")*('Master Stock'!$K$2:$K$100="")*('Master Stock'!$J$2:$J$100&lt;TODAY()-30)),12)),"")</f>
        <v/>
      </c>
      <c r="M20" s="49">
        <f>IFERROR(INDEX('Master Stock'!$D$2:$D$100,AGGREGATE(15,6,(ROW('Master Stock'!$C$2:$C$100)-ROW('Master Stock'!$C$2)+1)/(('Master Stock'!$H$2:$H$100="OCCUPIED")*('Master Stock'!$J$2:$J$100&lt;&gt;"")*('Master Stock'!$K$2:$K$100="")*('Master Stock'!$J$2:$J$100&lt;TODAY()-30)),12)),"")</f>
        <v/>
      </c>
      <c r="N20" s="52">
        <f>IFERROR(INDEX('Master Stock'!$J$2:$J$100,AGGREGATE(15,6,(ROW('Master Stock'!$C$2:$C$100)-ROW('Master Stock'!$C$2)+1)/(('Master Stock'!$H$2:$H$100="OCCUPIED")*('Master Stock'!$J$2:$J$100&lt;&gt;"")*('Master Stock'!$K$2:$K$100="")*('Master Stock'!$J$2:$J$100&lt;TODAY()-30)),12)),"")</f>
        <v/>
      </c>
      <c r="O20" s="51">
        <f>IF(N20="","",MAX(0,TODAY()-(IF(ISNUMBER(N20),N20,IFERROR(DATE(2000+VALUE(RIGHT(N20,2)),VALUE(MID(N20,4,2)),VALUE(LEFT(N20,2))),"")))))</f>
        <v/>
      </c>
    </row>
    <row r="21" ht="15.75" customHeight="1" s="42">
      <c r="A21" s="49">
        <f>IFERROR(INDEX('Master Stock'!$C$2:$C$100,MATCH(ROWS($A$9:A21),'Master Stock'!$N$2:$N$100,0)),"")</f>
        <v/>
      </c>
      <c r="B21" s="49">
        <f>IFERROR(INDEX('Master Stock'!$D$2:$D$100,MATCH(ROWS($A$9:A21),'Master Stock'!$N$2:$N$100,0)),"")</f>
        <v/>
      </c>
      <c r="C21" s="52">
        <f>IFERROR(INDEX('Master Stock'!$B$2:$B$100,MATCH(ROWS($A$9:A21),'Master Stock'!$N$2:$N$100,0)),"")</f>
        <v/>
      </c>
      <c r="D21" s="52">
        <f>IFERROR(INDEX('Master Stock'!$J$2:$J$100,MATCH(ROWS($A$9:A21),'Master Stock'!$N$2:$N$100,0)),"")</f>
        <v/>
      </c>
      <c r="E21" s="51">
        <f>IF(D21="","",MAX(0,TODAY()-(IF(ISNUMBER(D21),D21,IFERROR(DATE(2000+VALUE(RIGHT(D21,2)),VALUE(MID(D21,4,2)),VALUE(LEFT(D21,2))),"")))))</f>
        <v/>
      </c>
      <c r="F21" s="83" t="n"/>
      <c r="G21" s="49">
        <f>IFERROR(INDEX('Master Stock'!$C$2:$C$100,MATCH(ROWS($G$9:G21),'Master Stock'!$P$2:$P$100,0)),"")</f>
        <v/>
      </c>
      <c r="H21" s="49">
        <f>IFERROR(INDEX('Master Stock'!$D$2:$D$100,MATCH(ROWS($G$9:G21),'Master Stock'!$P$2:$P$100,0)),"")</f>
        <v/>
      </c>
      <c r="I21" s="52">
        <f>IFERROR(INDEX('Master Stock'!$J$2:$J$100,MATCH(ROWS($G$9:G21),'Master Stock'!$P$2:$P$100,0)),"")</f>
        <v/>
      </c>
      <c r="J21" s="51">
        <f>IF(I21="","",MAX(0,TODAY()-(IF(ISNUMBER(I21),I21,IFERROR(DATE(2000+VALUE(RIGHT(I21,2)),VALUE(MID(I21,4,2)),VALUE(LEFT(I21,2))),"")))))</f>
        <v/>
      </c>
      <c r="K21" s="92" t="n"/>
      <c r="L21" s="49">
        <f>IFERROR(INDEX('Master Stock'!$C$2:$C$100,AGGREGATE(15,6,(ROW('Master Stock'!$C$2:$C$100)-ROW('Master Stock'!$C$2)+1)/(('Master Stock'!$H$2:$H$100="OCCUPIED")*('Master Stock'!$J$2:$J$100&lt;&gt;"")*('Master Stock'!$K$2:$K$100="")*('Master Stock'!$J$2:$J$100&lt;TODAY()-30)),13)),"")</f>
        <v/>
      </c>
      <c r="M21" s="49">
        <f>IFERROR(INDEX('Master Stock'!$D$2:$D$100,AGGREGATE(15,6,(ROW('Master Stock'!$C$2:$C$100)-ROW('Master Stock'!$C$2)+1)/(('Master Stock'!$H$2:$H$100="OCCUPIED")*('Master Stock'!$J$2:$J$100&lt;&gt;"")*('Master Stock'!$K$2:$K$100="")*('Master Stock'!$J$2:$J$100&lt;TODAY()-30)),13)),"")</f>
        <v/>
      </c>
      <c r="N21" s="52">
        <f>IFERROR(INDEX('Master Stock'!$J$2:$J$100,AGGREGATE(15,6,(ROW('Master Stock'!$C$2:$C$100)-ROW('Master Stock'!$C$2)+1)/(('Master Stock'!$H$2:$H$100="OCCUPIED")*('Master Stock'!$J$2:$J$100&lt;&gt;"")*('Master Stock'!$K$2:$K$100="")*('Master Stock'!$J$2:$J$100&lt;TODAY()-30)),13)),"")</f>
        <v/>
      </c>
      <c r="O21" s="51">
        <f>IF(N21="","",MAX(0,TODAY()-(IF(ISNUMBER(N21),N21,IFERROR(DATE(2000+VALUE(RIGHT(N21,2)),VALUE(MID(N21,4,2)),VALUE(LEFT(N21,2))),"")))))</f>
        <v/>
      </c>
    </row>
    <row r="22" ht="15.75" customHeight="1" s="42">
      <c r="A22" s="49">
        <f>IFERROR(INDEX('Master Stock'!$C$2:$C$100,MATCH(ROWS($A$9:A22),'Master Stock'!$N$2:$N$100,0)),"")</f>
        <v/>
      </c>
      <c r="B22" s="49">
        <f>IFERROR(INDEX('Master Stock'!$D$2:$D$100,MATCH(ROWS($A$9:A22),'Master Stock'!$N$2:$N$100,0)),"")</f>
        <v/>
      </c>
      <c r="C22" s="52">
        <f>IFERROR(INDEX('Master Stock'!$B$2:$B$100,MATCH(ROWS($A$9:A22),'Master Stock'!$N$2:$N$100,0)),"")</f>
        <v/>
      </c>
      <c r="D22" s="52">
        <f>IFERROR(INDEX('Master Stock'!$J$2:$J$100,MATCH(ROWS($A$9:A22),'Master Stock'!$N$2:$N$100,0)),"")</f>
        <v/>
      </c>
      <c r="E22" s="51">
        <f>IF(D22="","",MAX(0,TODAY()-(IF(ISNUMBER(D22),D22,IFERROR(DATE(2000+VALUE(RIGHT(D22,2)),VALUE(MID(D22,4,2)),VALUE(LEFT(D22,2))),"")))))</f>
        <v/>
      </c>
      <c r="F22" s="83" t="n"/>
      <c r="G22" s="49">
        <f>IFERROR(INDEX('Master Stock'!$C$2:$C$100,MATCH(ROWS($G$9:G22),'Master Stock'!$P$2:$P$100,0)),"")</f>
        <v/>
      </c>
      <c r="H22" s="49">
        <f>IFERROR(INDEX('Master Stock'!$D$2:$D$100,MATCH(ROWS($G$9:G22),'Master Stock'!$P$2:$P$100,0)),"")</f>
        <v/>
      </c>
      <c r="I22" s="52">
        <f>IFERROR(INDEX('Master Stock'!$J$2:$J$100,MATCH(ROWS($G$9:G22),'Master Stock'!$P$2:$P$100,0)),"")</f>
        <v/>
      </c>
      <c r="J22" s="51">
        <f>IF(I22="","",MAX(0,TODAY()-(IF(ISNUMBER(I22),I22,IFERROR(DATE(2000+VALUE(RIGHT(I22,2)),VALUE(MID(I22,4,2)),VALUE(LEFT(I22,2))),"")))))</f>
        <v/>
      </c>
      <c r="K22" s="92" t="n"/>
      <c r="L22" s="49">
        <f>IFERROR(INDEX('Master Stock'!$C$2:$C$100,AGGREGATE(15,6,(ROW('Master Stock'!$C$2:$C$100)-ROW('Master Stock'!$C$2)+1)/(('Master Stock'!$H$2:$H$100="OCCUPIED")*('Master Stock'!$J$2:$J$100&lt;&gt;"")*('Master Stock'!$K$2:$K$100="")*('Master Stock'!$J$2:$J$100&lt;TODAY()-30)),14)),"")</f>
        <v/>
      </c>
      <c r="M22" s="49">
        <f>IFERROR(INDEX('Master Stock'!$D$2:$D$100,AGGREGATE(15,6,(ROW('Master Stock'!$C$2:$C$100)-ROW('Master Stock'!$C$2)+1)/(('Master Stock'!$H$2:$H$100="OCCUPIED")*('Master Stock'!$J$2:$J$100&lt;&gt;"")*('Master Stock'!$K$2:$K$100="")*('Master Stock'!$J$2:$J$100&lt;TODAY()-30)),14)),"")</f>
        <v/>
      </c>
      <c r="N22" s="52">
        <f>IFERROR(INDEX('Master Stock'!$J$2:$J$100,AGGREGATE(15,6,(ROW('Master Stock'!$C$2:$C$100)-ROW('Master Stock'!$C$2)+1)/(('Master Stock'!$H$2:$H$100="OCCUPIED")*('Master Stock'!$J$2:$J$100&lt;&gt;"")*('Master Stock'!$K$2:$K$100="")*('Master Stock'!$J$2:$J$100&lt;TODAY()-30)),14)),"")</f>
        <v/>
      </c>
      <c r="O22" s="51">
        <f>IF(N22="","",MAX(0,TODAY()-(IF(ISNUMBER(N22),N22,IFERROR(DATE(2000+VALUE(RIGHT(N22,2)),VALUE(MID(N22,4,2)),VALUE(LEFT(N22,2))),"")))))</f>
        <v/>
      </c>
    </row>
    <row r="23" ht="15.75" customHeight="1" s="42">
      <c r="A23" s="49">
        <f>IFERROR(INDEX('Master Stock'!$C$2:$C$100,MATCH(ROWS($A$9:A23),'Master Stock'!$N$2:$N$100,0)),"")</f>
        <v/>
      </c>
      <c r="B23" s="49">
        <f>IFERROR(INDEX('Master Stock'!$D$2:$D$100,MATCH(ROWS($A$9:A23),'Master Stock'!$N$2:$N$100,0)),"")</f>
        <v/>
      </c>
      <c r="C23" s="52">
        <f>IFERROR(INDEX('Master Stock'!$B$2:$B$100,MATCH(ROWS($A$9:A23),'Master Stock'!$N$2:$N$100,0)),"")</f>
        <v/>
      </c>
      <c r="D23" s="52">
        <f>IFERROR(INDEX('Master Stock'!$J$2:$J$100,MATCH(ROWS($A$9:A23),'Master Stock'!$N$2:$N$100,0)),"")</f>
        <v/>
      </c>
      <c r="E23" s="51">
        <f>IF(D23="","",MAX(0,TODAY()-(IF(ISNUMBER(D23),D23,IFERROR(DATE(2000+VALUE(RIGHT(D23,2)),VALUE(MID(D23,4,2)),VALUE(LEFT(D23,2))),"")))))</f>
        <v/>
      </c>
      <c r="F23" s="83" t="n"/>
      <c r="G23" s="49">
        <f>IFERROR(INDEX('Master Stock'!$C$2:$C$100,MATCH(ROWS($G$9:G23),'Master Stock'!$P$2:$P$100,0)),"")</f>
        <v/>
      </c>
      <c r="H23" s="49">
        <f>IFERROR(INDEX('Master Stock'!$D$2:$D$100,MATCH(ROWS($G$9:G23),'Master Stock'!$P$2:$P$100,0)),"")</f>
        <v/>
      </c>
      <c r="I23" s="52">
        <f>IFERROR(INDEX('Master Stock'!$J$2:$J$100,MATCH(ROWS($G$9:G23),'Master Stock'!$P$2:$P$100,0)),"")</f>
        <v/>
      </c>
      <c r="J23" s="51">
        <f>IF(I23="","",MAX(0,TODAY()-(IF(ISNUMBER(I23),I23,IFERROR(DATE(2000+VALUE(RIGHT(I23,2)),VALUE(MID(I23,4,2)),VALUE(LEFT(I23,2))),"")))))</f>
        <v/>
      </c>
      <c r="K23" s="92" t="n"/>
      <c r="L23" s="49">
        <f>IFERROR(INDEX('Master Stock'!$C$2:$C$100,AGGREGATE(15,6,(ROW('Master Stock'!$C$2:$C$100)-ROW('Master Stock'!$C$2)+1)/(('Master Stock'!$H$2:$H$100="OCCUPIED")*('Master Stock'!$J$2:$J$100&lt;&gt;"")*('Master Stock'!$K$2:$K$100="")*('Master Stock'!$J$2:$J$100&lt;TODAY()-30)),15)),"")</f>
        <v/>
      </c>
      <c r="M23" s="49">
        <f>IFERROR(INDEX('Master Stock'!$D$2:$D$100,AGGREGATE(15,6,(ROW('Master Stock'!$C$2:$C$100)-ROW('Master Stock'!$C$2)+1)/(('Master Stock'!$H$2:$H$100="OCCUPIED")*('Master Stock'!$J$2:$J$100&lt;&gt;"")*('Master Stock'!$K$2:$K$100="")*('Master Stock'!$J$2:$J$100&lt;TODAY()-30)),15)),"")</f>
        <v/>
      </c>
      <c r="N23" s="52">
        <f>IFERROR(INDEX('Master Stock'!$J$2:$J$100,AGGREGATE(15,6,(ROW('Master Stock'!$C$2:$C$100)-ROW('Master Stock'!$C$2)+1)/(('Master Stock'!$H$2:$H$100="OCCUPIED")*('Master Stock'!$J$2:$J$100&lt;&gt;"")*('Master Stock'!$K$2:$K$100="")*('Master Stock'!$J$2:$J$100&lt;TODAY()-30)),15)),"")</f>
        <v/>
      </c>
      <c r="O23" s="51">
        <f>IF(N23="","",MAX(0,TODAY()-(IF(ISNUMBER(N23),N23,IFERROR(DATE(2000+VALUE(RIGHT(N23,2)),VALUE(MID(N23,4,2)),VALUE(LEFT(N23,2))),"")))))</f>
        <v/>
      </c>
    </row>
    <row r="24" ht="15.75" customHeight="1" s="42">
      <c r="A24" s="49">
        <f>IFERROR(INDEX('Master Stock'!$C$2:$C$100,MATCH(ROWS($A$9:A24),'Master Stock'!$N$2:$N$100,0)),"")</f>
        <v/>
      </c>
      <c r="B24" s="49">
        <f>IFERROR(INDEX('Master Stock'!$D$2:$D$100,MATCH(ROWS($A$9:A24),'Master Stock'!$N$2:$N$100,0)),"")</f>
        <v/>
      </c>
      <c r="C24" s="52">
        <f>IFERROR(INDEX('Master Stock'!$B$2:$B$100,MATCH(ROWS($A$9:A24),'Master Stock'!$N$2:$N$100,0)),"")</f>
        <v/>
      </c>
      <c r="D24" s="52">
        <f>IFERROR(INDEX('Master Stock'!$J$2:$J$100,MATCH(ROWS($A$9:A24),'Master Stock'!$N$2:$N$100,0)),"")</f>
        <v/>
      </c>
      <c r="E24" s="51">
        <f>IF(D24="","",MAX(0,TODAY()-(IF(ISNUMBER(D24),D24,IFERROR(DATE(2000+VALUE(RIGHT(D24,2)),VALUE(MID(D24,4,2)),VALUE(LEFT(D24,2))),"")))))</f>
        <v/>
      </c>
      <c r="F24" s="83" t="n"/>
      <c r="G24" s="49">
        <f>IFERROR(INDEX('Master Stock'!$C$2:$C$100,MATCH(ROWS($G$9:G24),'Master Stock'!$P$2:$P$100,0)),"")</f>
        <v/>
      </c>
      <c r="H24" s="49">
        <f>IFERROR(INDEX('Master Stock'!$D$2:$D$100,MATCH(ROWS($G$9:G24),'Master Stock'!$P$2:$P$100,0)),"")</f>
        <v/>
      </c>
      <c r="I24" s="52">
        <f>IFERROR(INDEX('Master Stock'!$J$2:$J$100,MATCH(ROWS($G$9:G24),'Master Stock'!$P$2:$P$100,0)),"")</f>
        <v/>
      </c>
      <c r="J24" s="51">
        <f>IF(I24="","",MAX(0,TODAY()-(IF(ISNUMBER(I24),I24,IFERROR(DATE(2000+VALUE(RIGHT(I24,2)),VALUE(MID(I24,4,2)),VALUE(LEFT(I24,2))),"")))))</f>
        <v/>
      </c>
      <c r="K24" s="92" t="n"/>
      <c r="L24" s="49">
        <f>IFERROR(INDEX('Master Stock'!$C$2:$C$100,AGGREGATE(15,6,(ROW('Master Stock'!$C$2:$C$100)-ROW('Master Stock'!$C$2)+1)/(('Master Stock'!$H$2:$H$100="OCCUPIED")*('Master Stock'!$J$2:$J$100&lt;&gt;"")*('Master Stock'!$K$2:$K$100="")*('Master Stock'!$J$2:$J$100&lt;TODAY()-30)),16)),"")</f>
        <v/>
      </c>
      <c r="M24" s="49">
        <f>IFERROR(INDEX('Master Stock'!$D$2:$D$100,AGGREGATE(15,6,(ROW('Master Stock'!$C$2:$C$100)-ROW('Master Stock'!$C$2)+1)/(('Master Stock'!$H$2:$H$100="OCCUPIED")*('Master Stock'!$J$2:$J$100&lt;&gt;"")*('Master Stock'!$K$2:$K$100="")*('Master Stock'!$J$2:$J$100&lt;TODAY()-30)),16)),"")</f>
        <v/>
      </c>
      <c r="N24" s="52">
        <f>IFERROR(INDEX('Master Stock'!$J$2:$J$100,AGGREGATE(15,6,(ROW('Master Stock'!$C$2:$C$100)-ROW('Master Stock'!$C$2)+1)/(('Master Stock'!$H$2:$H$100="OCCUPIED")*('Master Stock'!$J$2:$J$100&lt;&gt;"")*('Master Stock'!$K$2:$K$100="")*('Master Stock'!$J$2:$J$100&lt;TODAY()-30)),16)),"")</f>
        <v/>
      </c>
      <c r="O24" s="51">
        <f>IF(N24="","",MAX(0,TODAY()-(IF(ISNUMBER(N24),N24,IFERROR(DATE(2000+VALUE(RIGHT(N24,2)),VALUE(MID(N24,4,2)),VALUE(LEFT(N24,2))),"")))))</f>
        <v/>
      </c>
    </row>
    <row r="25" ht="15.75" customHeight="1" s="42">
      <c r="A25" s="49">
        <f>IFERROR(INDEX('Master Stock'!$C$2:$C$100,MATCH(ROWS($A$9:A25),'Master Stock'!$N$2:$N$100,0)),"")</f>
        <v/>
      </c>
      <c r="B25" s="49">
        <f>IFERROR(INDEX('Master Stock'!$D$2:$D$100,MATCH(ROWS($A$9:A25),'Master Stock'!$N$2:$N$100,0)),"")</f>
        <v/>
      </c>
      <c r="C25" s="52">
        <f>IFERROR(INDEX('Master Stock'!$B$2:$B$100,MATCH(ROWS($A$9:A25),'Master Stock'!$N$2:$N$100,0)),"")</f>
        <v/>
      </c>
      <c r="D25" s="52">
        <f>IFERROR(INDEX('Master Stock'!$J$2:$J$100,MATCH(ROWS($A$9:A25),'Master Stock'!$N$2:$N$100,0)),"")</f>
        <v/>
      </c>
      <c r="E25" s="51">
        <f>IF(D25="","",MAX(0,TODAY()-(IF(ISNUMBER(D25),D25,IFERROR(DATE(2000+VALUE(RIGHT(D25,2)),VALUE(MID(D25,4,2)),VALUE(LEFT(D25,2))),"")))))</f>
        <v/>
      </c>
      <c r="F25" s="83" t="n"/>
      <c r="G25" s="49">
        <f>IFERROR(INDEX('Master Stock'!$C$2:$C$100,MATCH(ROWS($G$9:G25),'Master Stock'!$P$2:$P$100,0)),"")</f>
        <v/>
      </c>
      <c r="H25" s="49">
        <f>IFERROR(INDEX('Master Stock'!$D$2:$D$100,MATCH(ROWS($G$9:G25),'Master Stock'!$P$2:$P$100,0)),"")</f>
        <v/>
      </c>
      <c r="I25" s="52">
        <f>IFERROR(INDEX('Master Stock'!$J$2:$J$100,MATCH(ROWS($G$9:G25),'Master Stock'!$P$2:$P$100,0)),"")</f>
        <v/>
      </c>
      <c r="J25" s="51">
        <f>IF(I25="","",MAX(0,TODAY()-(IF(ISNUMBER(I25),I25,IFERROR(DATE(2000+VALUE(RIGHT(I25,2)),VALUE(MID(I25,4,2)),VALUE(LEFT(I25,2))),"")))))</f>
        <v/>
      </c>
      <c r="K25" s="92" t="n"/>
      <c r="L25" s="49">
        <f>IFERROR(INDEX('Master Stock'!$C$2:$C$100,AGGREGATE(15,6,(ROW('Master Stock'!$C$2:$C$100)-ROW('Master Stock'!$C$2)+1)/(('Master Stock'!$H$2:$H$100="OCCUPIED")*('Master Stock'!$J$2:$J$100&lt;&gt;"")*('Master Stock'!$K$2:$K$100="")*('Master Stock'!$J$2:$J$100&lt;TODAY()-30)),17)),"")</f>
        <v/>
      </c>
      <c r="M25" s="49">
        <f>IFERROR(INDEX('Master Stock'!$D$2:$D$100,AGGREGATE(15,6,(ROW('Master Stock'!$C$2:$C$100)-ROW('Master Stock'!$C$2)+1)/(('Master Stock'!$H$2:$H$100="OCCUPIED")*('Master Stock'!$J$2:$J$100&lt;&gt;"")*('Master Stock'!$K$2:$K$100="")*('Master Stock'!$J$2:$J$100&lt;TODAY()-30)),17)),"")</f>
        <v/>
      </c>
      <c r="N25" s="52">
        <f>IFERROR(INDEX('Master Stock'!$J$2:$J$100,AGGREGATE(15,6,(ROW('Master Stock'!$C$2:$C$100)-ROW('Master Stock'!$C$2)+1)/(('Master Stock'!$H$2:$H$100="OCCUPIED")*('Master Stock'!$J$2:$J$100&lt;&gt;"")*('Master Stock'!$K$2:$K$100="")*('Master Stock'!$J$2:$J$100&lt;TODAY()-30)),17)),"")</f>
        <v/>
      </c>
      <c r="O25" s="51">
        <f>IF(N25="","",MAX(0,TODAY()-(IF(ISNUMBER(N25),N25,IFERROR(DATE(2000+VALUE(RIGHT(N25,2)),VALUE(MID(N25,4,2)),VALUE(LEFT(N25,2))),"")))))</f>
        <v/>
      </c>
    </row>
    <row r="26" ht="15.75" customHeight="1" s="42">
      <c r="A26" s="49">
        <f>IFERROR(INDEX('Master Stock'!$C$2:$C$100,MATCH(ROWS($A$9:A26),'Master Stock'!$N$2:$N$100,0)),"")</f>
        <v/>
      </c>
      <c r="B26" s="49">
        <f>IFERROR(INDEX('Master Stock'!$D$2:$D$100,MATCH(ROWS($A$9:A26),'Master Stock'!$N$2:$N$100,0)),"")</f>
        <v/>
      </c>
      <c r="C26" s="52">
        <f>IFERROR(INDEX('Master Stock'!$B$2:$B$100,MATCH(ROWS($A$9:A26),'Master Stock'!$N$2:$N$100,0)),"")</f>
        <v/>
      </c>
      <c r="D26" s="52">
        <f>IFERROR(INDEX('Master Stock'!$J$2:$J$100,MATCH(ROWS($A$9:A26),'Master Stock'!$N$2:$N$100,0)),"")</f>
        <v/>
      </c>
      <c r="E26" s="51">
        <f>IF(D26="","",MAX(0,TODAY()-(IF(ISNUMBER(D26),D26,IFERROR(DATE(2000+VALUE(RIGHT(D26,2)),VALUE(MID(D26,4,2)),VALUE(LEFT(D26,2))),"")))))</f>
        <v/>
      </c>
      <c r="F26" s="83" t="n"/>
      <c r="G26" s="49">
        <f>IFERROR(INDEX('Master Stock'!$C$2:$C$100,MATCH(ROWS($G$9:G26),'Master Stock'!$P$2:$P$100,0)),"")</f>
        <v/>
      </c>
      <c r="H26" s="49">
        <f>IFERROR(INDEX('Master Stock'!$D$2:$D$100,MATCH(ROWS($G$9:G26),'Master Stock'!$P$2:$P$100,0)),"")</f>
        <v/>
      </c>
      <c r="I26" s="52">
        <f>IFERROR(INDEX('Master Stock'!$J$2:$J$100,MATCH(ROWS($G$9:G26),'Master Stock'!$P$2:$P$100,0)),"")</f>
        <v/>
      </c>
      <c r="J26" s="51">
        <f>IF(I26="","",MAX(0,TODAY()-(IF(ISNUMBER(I26),I26,IFERROR(DATE(2000+VALUE(RIGHT(I26,2)),VALUE(MID(I26,4,2)),VALUE(LEFT(I26,2))),"")))))</f>
        <v/>
      </c>
      <c r="K26" s="92" t="n"/>
      <c r="L26" s="49">
        <f>IFERROR(INDEX('Master Stock'!$C$2:$C$100,AGGREGATE(15,6,(ROW('Master Stock'!$C$2:$C$100)-ROW('Master Stock'!$C$2)+1)/(('Master Stock'!$H$2:$H$100="OCCUPIED")*('Master Stock'!$J$2:$J$100&lt;&gt;"")*('Master Stock'!$K$2:$K$100="")*('Master Stock'!$J$2:$J$100&lt;TODAY()-30)),18)),"")</f>
        <v/>
      </c>
      <c r="M26" s="49">
        <f>IFERROR(INDEX('Master Stock'!$D$2:$D$100,AGGREGATE(15,6,(ROW('Master Stock'!$C$2:$C$100)-ROW('Master Stock'!$C$2)+1)/(('Master Stock'!$H$2:$H$100="OCCUPIED")*('Master Stock'!$J$2:$J$100&lt;&gt;"")*('Master Stock'!$K$2:$K$100="")*('Master Stock'!$J$2:$J$100&lt;TODAY()-30)),18)),"")</f>
        <v/>
      </c>
      <c r="N26" s="52">
        <f>IFERROR(INDEX('Master Stock'!$J$2:$J$100,AGGREGATE(15,6,(ROW('Master Stock'!$C$2:$C$100)-ROW('Master Stock'!$C$2)+1)/(('Master Stock'!$H$2:$H$100="OCCUPIED")*('Master Stock'!$J$2:$J$100&lt;&gt;"")*('Master Stock'!$K$2:$K$100="")*('Master Stock'!$J$2:$J$100&lt;TODAY()-30)),18)),"")</f>
        <v/>
      </c>
      <c r="O26" s="51">
        <f>IF(N26="","",MAX(0,TODAY()-(IF(ISNUMBER(N26),N26,IFERROR(DATE(2000+VALUE(RIGHT(N26,2)),VALUE(MID(N26,4,2)),VALUE(LEFT(N26,2))),"")))))</f>
        <v/>
      </c>
    </row>
    <row r="27" ht="15.75" customHeight="1" s="42">
      <c r="A27" s="49">
        <f>IFERROR(INDEX('Master Stock'!$C$2:$C$100,MATCH(ROWS($A$9:A27),'Master Stock'!$N$2:$N$100,0)),"")</f>
        <v/>
      </c>
      <c r="B27" s="49">
        <f>IFERROR(INDEX('Master Stock'!$D$2:$D$100,MATCH(ROWS($A$9:A27),'Master Stock'!$N$2:$N$100,0)),"")</f>
        <v/>
      </c>
      <c r="C27" s="52">
        <f>IFERROR(INDEX('Master Stock'!$B$2:$B$100,MATCH(ROWS($A$9:A27),'Master Stock'!$N$2:$N$100,0)),"")</f>
        <v/>
      </c>
      <c r="D27" s="52">
        <f>IFERROR(INDEX('Master Stock'!$J$2:$J$100,MATCH(ROWS($A$9:A27),'Master Stock'!$N$2:$N$100,0)),"")</f>
        <v/>
      </c>
      <c r="E27" s="51">
        <f>IF(D27="","",MAX(0,TODAY()-(IF(ISNUMBER(D27),D27,IFERROR(DATE(2000+VALUE(RIGHT(D27,2)),VALUE(MID(D27,4,2)),VALUE(LEFT(D27,2))),"")))))</f>
        <v/>
      </c>
      <c r="F27" s="83" t="n"/>
      <c r="G27" s="49">
        <f>IFERROR(INDEX('Master Stock'!$C$2:$C$100,MATCH(ROWS($G$9:G27),'Master Stock'!$P$2:$P$100,0)),"")</f>
        <v/>
      </c>
      <c r="H27" s="49">
        <f>IFERROR(INDEX('Master Stock'!$D$2:$D$100,MATCH(ROWS($G$9:G27),'Master Stock'!$P$2:$P$100,0)),"")</f>
        <v/>
      </c>
      <c r="I27" s="52">
        <f>IFERROR(INDEX('Master Stock'!$J$2:$J$100,MATCH(ROWS($G$9:G27),'Master Stock'!$P$2:$P$100,0)),"")</f>
        <v/>
      </c>
      <c r="J27" s="51">
        <f>IF(I27="","",MAX(0,TODAY()-(IF(ISNUMBER(I27),I27,IFERROR(DATE(2000+VALUE(RIGHT(I27,2)),VALUE(MID(I27,4,2)),VALUE(LEFT(I27,2))),"")))))</f>
        <v/>
      </c>
      <c r="K27" s="92" t="n"/>
      <c r="L27" s="49">
        <f>IFERROR(INDEX('Master Stock'!$C$2:$C$100,AGGREGATE(15,6,(ROW('Master Stock'!$C$2:$C$100)-ROW('Master Stock'!$C$2)+1)/(('Master Stock'!$H$2:$H$100="OCCUPIED")*('Master Stock'!$J$2:$J$100&lt;&gt;"")*('Master Stock'!$K$2:$K$100="")*('Master Stock'!$J$2:$J$100&lt;TODAY()-30)),19)),"")</f>
        <v/>
      </c>
      <c r="M27" s="49">
        <f>IFERROR(INDEX('Master Stock'!$D$2:$D$100,AGGREGATE(15,6,(ROW('Master Stock'!$C$2:$C$100)-ROW('Master Stock'!$C$2)+1)/(('Master Stock'!$H$2:$H$100="OCCUPIED")*('Master Stock'!$J$2:$J$100&lt;&gt;"")*('Master Stock'!$K$2:$K$100="")*('Master Stock'!$J$2:$J$100&lt;TODAY()-30)),19)),"")</f>
        <v/>
      </c>
      <c r="N27" s="52">
        <f>IFERROR(INDEX('Master Stock'!$J$2:$J$100,AGGREGATE(15,6,(ROW('Master Stock'!$C$2:$C$100)-ROW('Master Stock'!$C$2)+1)/(('Master Stock'!$H$2:$H$100="OCCUPIED")*('Master Stock'!$J$2:$J$100&lt;&gt;"")*('Master Stock'!$K$2:$K$100="")*('Master Stock'!$J$2:$J$100&lt;TODAY()-30)),19)),"")</f>
        <v/>
      </c>
      <c r="O27" s="51">
        <f>IF(N27="","",MAX(0,TODAY()-(IF(ISNUMBER(N27),N27,IFERROR(DATE(2000+VALUE(RIGHT(N27,2)),VALUE(MID(N27,4,2)),VALUE(LEFT(N27,2))),"")))))</f>
        <v/>
      </c>
    </row>
    <row r="28" ht="15.75" customHeight="1" s="42">
      <c r="A28" s="49">
        <f>IFERROR(INDEX('Master Stock'!$C$2:$C$100,MATCH(ROWS($A$9:A28),'Master Stock'!$N$2:$N$100,0)),"")</f>
        <v/>
      </c>
      <c r="B28" s="49">
        <f>IFERROR(INDEX('Master Stock'!$D$2:$D$100,MATCH(ROWS($A$9:A28),'Master Stock'!$N$2:$N$100,0)),"")</f>
        <v/>
      </c>
      <c r="C28" s="52">
        <f>IFERROR(INDEX('Master Stock'!$B$2:$B$100,MATCH(ROWS($A$9:A28),'Master Stock'!$N$2:$N$100,0)),"")</f>
        <v/>
      </c>
      <c r="D28" s="52">
        <f>IFERROR(INDEX('Master Stock'!$J$2:$J$100,MATCH(ROWS($A$9:A28),'Master Stock'!$N$2:$N$100,0)),"")</f>
        <v/>
      </c>
      <c r="E28" s="51">
        <f>IF(D28="","",MAX(0,TODAY()-(IF(ISNUMBER(D28),D28,IFERROR(DATE(2000+VALUE(RIGHT(D28,2)),VALUE(MID(D28,4,2)),VALUE(LEFT(D28,2))),"")))))</f>
        <v/>
      </c>
      <c r="F28" s="83" t="n"/>
      <c r="G28" s="49">
        <f>IFERROR(INDEX('Master Stock'!$C$2:$C$100,MATCH(ROWS($G$9:G28),'Master Stock'!$P$2:$P$100,0)),"")</f>
        <v/>
      </c>
      <c r="H28" s="49">
        <f>IFERROR(INDEX('Master Stock'!$D$2:$D$100,MATCH(ROWS($G$9:G28),'Master Stock'!$P$2:$P$100,0)),"")</f>
        <v/>
      </c>
      <c r="I28" s="52">
        <f>IFERROR(INDEX('Master Stock'!$J$2:$J$100,MATCH(ROWS($G$9:G28),'Master Stock'!$P$2:$P$100,0)),"")</f>
        <v/>
      </c>
      <c r="J28" s="51">
        <f>IF(I28="","",MAX(0,TODAY()-(IF(ISNUMBER(I28),I28,IFERROR(DATE(2000+VALUE(RIGHT(I28,2)),VALUE(MID(I28,4,2)),VALUE(LEFT(I28,2))),"")))))</f>
        <v/>
      </c>
      <c r="K28" s="92" t="n"/>
      <c r="L28" s="49">
        <f>IFERROR(INDEX('Master Stock'!$C$2:$C$100,AGGREGATE(15,6,(ROW('Master Stock'!$C$2:$C$100)-ROW('Master Stock'!$C$2)+1)/(('Master Stock'!$H$2:$H$100="OCCUPIED")*('Master Stock'!$J$2:$J$100&lt;&gt;"")*('Master Stock'!$K$2:$K$100="")*('Master Stock'!$J$2:$J$100&lt;TODAY()-30)),20)),"")</f>
        <v/>
      </c>
      <c r="M28" s="49">
        <f>IFERROR(INDEX('Master Stock'!$D$2:$D$100,AGGREGATE(15,6,(ROW('Master Stock'!$C$2:$C$100)-ROW('Master Stock'!$C$2)+1)/(('Master Stock'!$H$2:$H$100="OCCUPIED")*('Master Stock'!$J$2:$J$100&lt;&gt;"")*('Master Stock'!$K$2:$K$100="")*('Master Stock'!$J$2:$J$100&lt;TODAY()-30)),20)),"")</f>
        <v/>
      </c>
      <c r="N28" s="52">
        <f>IFERROR(INDEX('Master Stock'!$J$2:$J$100,AGGREGATE(15,6,(ROW('Master Stock'!$C$2:$C$100)-ROW('Master Stock'!$C$2)+1)/(('Master Stock'!$H$2:$H$100="OCCUPIED")*('Master Stock'!$J$2:$J$100&lt;&gt;"")*('Master Stock'!$K$2:$K$100="")*('Master Stock'!$J$2:$J$100&lt;TODAY()-30)),20)),"")</f>
        <v/>
      </c>
      <c r="O28" s="51">
        <f>IF(N28="","",MAX(0,TODAY()-(IF(ISNUMBER(N28),N28,IFERROR(DATE(2000+VALUE(RIGHT(N28,2)),VALUE(MID(N28,4,2)),VALUE(LEFT(N28,2))),"")))))</f>
        <v/>
      </c>
    </row>
    <row r="29" ht="15.75" customHeight="1" s="42">
      <c r="A29" s="49">
        <f>IFERROR(INDEX('Master Stock'!$C$2:$C$100,MATCH(ROWS($A$9:A29),'Master Stock'!$N$2:$N$100,0)),"")</f>
        <v/>
      </c>
      <c r="B29" s="49">
        <f>IFERROR(INDEX('Master Stock'!$D$2:$D$100,MATCH(ROWS($A$9:A29),'Master Stock'!$N$2:$N$100,0)),"")</f>
        <v/>
      </c>
      <c r="C29" s="52">
        <f>IFERROR(INDEX('Master Stock'!$B$2:$B$100,MATCH(ROWS($A$9:A29),'Master Stock'!$N$2:$N$100,0)),"")</f>
        <v/>
      </c>
      <c r="D29" s="52">
        <f>IFERROR(INDEX('Master Stock'!$J$2:$J$100,MATCH(ROWS($A$9:A29),'Master Stock'!$N$2:$N$100,0)),"")</f>
        <v/>
      </c>
      <c r="E29" s="51">
        <f>IF(D29="","",MAX(0,TODAY()-(IF(ISNUMBER(D29),D29,IFERROR(DATE(2000+VALUE(RIGHT(D29,2)),VALUE(MID(D29,4,2)),VALUE(LEFT(D29,2))),"")))))</f>
        <v/>
      </c>
      <c r="F29" s="83" t="n"/>
      <c r="G29" s="49">
        <f>IFERROR(INDEX('Master Stock'!$C$2:$C$100,MATCH(ROWS($G$9:G29),'Master Stock'!$P$2:$P$100,0)),"")</f>
        <v/>
      </c>
      <c r="H29" s="49">
        <f>IFERROR(INDEX('Master Stock'!$D$2:$D$100,MATCH(ROWS($G$9:G29),'Master Stock'!$P$2:$P$100,0)),"")</f>
        <v/>
      </c>
      <c r="I29" s="52">
        <f>IFERROR(INDEX('Master Stock'!$J$2:$J$100,MATCH(ROWS($G$9:G29),'Master Stock'!$P$2:$P$100,0)),"")</f>
        <v/>
      </c>
      <c r="J29" s="51">
        <f>IF(I29="","",MAX(0,TODAY()-(IF(ISNUMBER(I29),I29,IFERROR(DATE(2000+VALUE(RIGHT(I29,2)),VALUE(MID(I29,4,2)),VALUE(LEFT(I29,2))),"")))))</f>
        <v/>
      </c>
      <c r="K29" s="92" t="n"/>
      <c r="L29" s="49">
        <f>IFERROR(INDEX('Master Stock'!$C$2:$C$100,AGGREGATE(15,6,(ROW('Master Stock'!$C$2:$C$100)-ROW('Master Stock'!$C$2)+1)/(('Master Stock'!$H$2:$H$100="OCCUPIED")*('Master Stock'!$J$2:$J$100&lt;&gt;"")*('Master Stock'!$K$2:$K$100="")*('Master Stock'!$J$2:$J$100&lt;TODAY()-30)),21)),"")</f>
        <v/>
      </c>
      <c r="M29" s="49">
        <f>IFERROR(INDEX('Master Stock'!$D$2:$D$100,AGGREGATE(15,6,(ROW('Master Stock'!$C$2:$C$100)-ROW('Master Stock'!$C$2)+1)/(('Master Stock'!$H$2:$H$100="OCCUPIED")*('Master Stock'!$J$2:$J$100&lt;&gt;"")*('Master Stock'!$K$2:$K$100="")*('Master Stock'!$J$2:$J$100&lt;TODAY()-30)),21)),"")</f>
        <v/>
      </c>
      <c r="N29" s="52">
        <f>IFERROR(INDEX('Master Stock'!$J$2:$J$100,AGGREGATE(15,6,(ROW('Master Stock'!$C$2:$C$100)-ROW('Master Stock'!$C$2)+1)/(('Master Stock'!$H$2:$H$100="OCCUPIED")*('Master Stock'!$J$2:$J$100&lt;&gt;"")*('Master Stock'!$K$2:$K$100="")*('Master Stock'!$J$2:$J$100&lt;TODAY()-30)),21)),"")</f>
        <v/>
      </c>
      <c r="O29" s="51">
        <f>IF(N29="","",MAX(0,TODAY()-(IF(ISNUMBER(N29),N29,IFERROR(DATE(2000+VALUE(RIGHT(N29,2)),VALUE(MID(N29,4,2)),VALUE(LEFT(N29,2))),"")))))</f>
        <v/>
      </c>
    </row>
    <row r="30" ht="15.75" customHeight="1" s="42">
      <c r="A30" s="49">
        <f>IFERROR(INDEX('Master Stock'!$C$2:$C$100,MATCH(ROWS($A$9:A30),'Master Stock'!$N$2:$N$100,0)),"")</f>
        <v/>
      </c>
      <c r="B30" s="49">
        <f>IFERROR(INDEX('Master Stock'!$D$2:$D$100,MATCH(ROWS($A$9:A30),'Master Stock'!$N$2:$N$100,0)),"")</f>
        <v/>
      </c>
      <c r="C30" s="52">
        <f>IFERROR(INDEX('Master Stock'!$B$2:$B$100,MATCH(ROWS($A$9:A30),'Master Stock'!$N$2:$N$100,0)),"")</f>
        <v/>
      </c>
      <c r="D30" s="52">
        <f>IFERROR(INDEX('Master Stock'!$J$2:$J$100,MATCH(ROWS($A$9:A30),'Master Stock'!$N$2:$N$100,0)),"")</f>
        <v/>
      </c>
      <c r="E30" s="51">
        <f>IF(D30="","",MAX(0,TODAY()-(IF(ISNUMBER(D30),D30,IFERROR(DATE(2000+VALUE(RIGHT(D30,2)),VALUE(MID(D30,4,2)),VALUE(LEFT(D30,2))),"")))))</f>
        <v/>
      </c>
      <c r="F30" s="83" t="n"/>
      <c r="G30" s="49">
        <f>IFERROR(INDEX('Master Stock'!$C$2:$C$100,MATCH(ROWS($G$9:G30),'Master Stock'!$P$2:$P$100,0)),"")</f>
        <v/>
      </c>
      <c r="H30" s="49">
        <f>IFERROR(INDEX('Master Stock'!$D$2:$D$100,MATCH(ROWS($G$9:G30),'Master Stock'!$P$2:$P$100,0)),"")</f>
        <v/>
      </c>
      <c r="I30" s="52">
        <f>IFERROR(INDEX('Master Stock'!$J$2:$J$100,MATCH(ROWS($G$9:G30),'Master Stock'!$P$2:$P$100,0)),"")</f>
        <v/>
      </c>
      <c r="J30" s="51">
        <f>IF(I30="","",MAX(0,TODAY()-(IF(ISNUMBER(I30),I30,IFERROR(DATE(2000+VALUE(RIGHT(I30,2)),VALUE(MID(I30,4,2)),VALUE(LEFT(I30,2))),"")))))</f>
        <v/>
      </c>
      <c r="K30" s="92" t="n"/>
      <c r="L30" s="49">
        <f>IFERROR(INDEX('Master Stock'!$C$2:$C$100,AGGREGATE(15,6,(ROW('Master Stock'!$C$2:$C$100)-ROW('Master Stock'!$C$2)+1)/(('Master Stock'!$H$2:$H$100="OCCUPIED")*('Master Stock'!$J$2:$J$100&lt;&gt;"")*('Master Stock'!$K$2:$K$100="")*('Master Stock'!$J$2:$J$100&lt;TODAY()-30)),22)),"")</f>
        <v/>
      </c>
      <c r="M30" s="49">
        <f>IFERROR(INDEX('Master Stock'!$D$2:$D$100,AGGREGATE(15,6,(ROW('Master Stock'!$C$2:$C$100)-ROW('Master Stock'!$C$2)+1)/(('Master Stock'!$H$2:$H$100="OCCUPIED")*('Master Stock'!$J$2:$J$100&lt;&gt;"")*('Master Stock'!$K$2:$K$100="")*('Master Stock'!$J$2:$J$100&lt;TODAY()-30)),22)),"")</f>
        <v/>
      </c>
      <c r="N30" s="52">
        <f>IFERROR(INDEX('Master Stock'!$J$2:$J$100,AGGREGATE(15,6,(ROW('Master Stock'!$C$2:$C$100)-ROW('Master Stock'!$C$2)+1)/(('Master Stock'!$H$2:$H$100="OCCUPIED")*('Master Stock'!$J$2:$J$100&lt;&gt;"")*('Master Stock'!$K$2:$K$100="")*('Master Stock'!$J$2:$J$100&lt;TODAY()-30)),22)),"")</f>
        <v/>
      </c>
      <c r="O30" s="51">
        <f>IF(N30="","",MAX(0,TODAY()-(IF(ISNUMBER(N30),N30,IFERROR(DATE(2000+VALUE(RIGHT(N30,2)),VALUE(MID(N30,4,2)),VALUE(LEFT(N30,2))),"")))))</f>
        <v/>
      </c>
    </row>
    <row r="31" ht="15.75" customHeight="1" s="42">
      <c r="A31" s="49">
        <f>IFERROR(INDEX('Master Stock'!$C$2:$C$100,MATCH(ROWS($A$9:A31),'Master Stock'!$N$2:$N$100,0)),"")</f>
        <v/>
      </c>
      <c r="B31" s="49">
        <f>IFERROR(INDEX('Master Stock'!$D$2:$D$100,MATCH(ROWS($A$9:A31),'Master Stock'!$N$2:$N$100,0)),"")</f>
        <v/>
      </c>
      <c r="C31" s="52">
        <f>IFERROR(INDEX('Master Stock'!$B$2:$B$100,MATCH(ROWS($A$9:A31),'Master Stock'!$N$2:$N$100,0)),"")</f>
        <v/>
      </c>
      <c r="D31" s="52">
        <f>IFERROR(INDEX('Master Stock'!$J$2:$J$100,MATCH(ROWS($A$9:A31),'Master Stock'!$N$2:$N$100,0)),"")</f>
        <v/>
      </c>
      <c r="E31" s="51">
        <f>IF(D31="","",MAX(0,TODAY()-(IF(ISNUMBER(D31),D31,IFERROR(DATE(2000+VALUE(RIGHT(D31,2)),VALUE(MID(D31,4,2)),VALUE(LEFT(D31,2))),"")))))</f>
        <v/>
      </c>
      <c r="F31" s="83" t="n"/>
      <c r="G31" s="49">
        <f>IFERROR(INDEX('Master Stock'!$C$2:$C$100,MATCH(ROWS($G$9:G31),'Master Stock'!$P$2:$P$100,0)),"")</f>
        <v/>
      </c>
      <c r="H31" s="49">
        <f>IFERROR(INDEX('Master Stock'!$D$2:$D$100,MATCH(ROWS($G$9:G31),'Master Stock'!$P$2:$P$100,0)),"")</f>
        <v/>
      </c>
      <c r="I31" s="52">
        <f>IFERROR(INDEX('Master Stock'!$J$2:$J$100,MATCH(ROWS($G$9:G31),'Master Stock'!$P$2:$P$100,0)),"")</f>
        <v/>
      </c>
      <c r="J31" s="51">
        <f>IF(I31="","",MAX(0,TODAY()-(IF(ISNUMBER(I31),I31,IFERROR(DATE(2000+VALUE(RIGHT(I31,2)),VALUE(MID(I31,4,2)),VALUE(LEFT(I31,2))),"")))))</f>
        <v/>
      </c>
      <c r="K31" s="92" t="n"/>
      <c r="L31" s="49">
        <f>IFERROR(INDEX('Master Stock'!$C$2:$C$100,AGGREGATE(15,6,(ROW('Master Stock'!$C$2:$C$100)-ROW('Master Stock'!$C$2)+1)/(('Master Stock'!$H$2:$H$100="OCCUPIED")*('Master Stock'!$J$2:$J$100&lt;&gt;"")*('Master Stock'!$K$2:$K$100="")*('Master Stock'!$J$2:$J$100&lt;TODAY()-30)),23)),"")</f>
        <v/>
      </c>
      <c r="M31" s="49">
        <f>IFERROR(INDEX('Master Stock'!$D$2:$D$100,AGGREGATE(15,6,(ROW('Master Stock'!$C$2:$C$100)-ROW('Master Stock'!$C$2)+1)/(('Master Stock'!$H$2:$H$100="OCCUPIED")*('Master Stock'!$J$2:$J$100&lt;&gt;"")*('Master Stock'!$K$2:$K$100="")*('Master Stock'!$J$2:$J$100&lt;TODAY()-30)),23)),"")</f>
        <v/>
      </c>
      <c r="N31" s="52">
        <f>IFERROR(INDEX('Master Stock'!$J$2:$J$100,AGGREGATE(15,6,(ROW('Master Stock'!$C$2:$C$100)-ROW('Master Stock'!$C$2)+1)/(('Master Stock'!$H$2:$H$100="OCCUPIED")*('Master Stock'!$J$2:$J$100&lt;&gt;"")*('Master Stock'!$K$2:$K$100="")*('Master Stock'!$J$2:$J$100&lt;TODAY()-30)),23)),"")</f>
        <v/>
      </c>
      <c r="O31" s="51">
        <f>IF(N31="","",MAX(0,TODAY()-(IF(ISNUMBER(N31),N31,IFERROR(DATE(2000+VALUE(RIGHT(N31,2)),VALUE(MID(N31,4,2)),VALUE(LEFT(N31,2))),"")))))</f>
        <v/>
      </c>
    </row>
    <row r="32" ht="15.75" customHeight="1" s="42">
      <c r="A32" s="49">
        <f>IFERROR(INDEX('Master Stock'!$C$2:$C$100,MATCH(ROWS($A$9:A32),'Master Stock'!$N$2:$N$100,0)),"")</f>
        <v/>
      </c>
      <c r="B32" s="49">
        <f>IFERROR(INDEX('Master Stock'!$D$2:$D$100,MATCH(ROWS($A$9:A32),'Master Stock'!$N$2:$N$100,0)),"")</f>
        <v/>
      </c>
      <c r="C32" s="52">
        <f>IFERROR(INDEX('Master Stock'!$B$2:$B$100,MATCH(ROWS($A$9:A32),'Master Stock'!$N$2:$N$100,0)),"")</f>
        <v/>
      </c>
      <c r="D32" s="52">
        <f>IFERROR(INDEX('Master Stock'!$J$2:$J$100,MATCH(ROWS($A$9:A32),'Master Stock'!$N$2:$N$100,0)),"")</f>
        <v/>
      </c>
      <c r="E32" s="51">
        <f>IF(D32="","",MAX(0,TODAY()-(IF(ISNUMBER(D32),D32,IFERROR(DATE(2000+VALUE(RIGHT(D32,2)),VALUE(MID(D32,4,2)),VALUE(LEFT(D32,2))),"")))))</f>
        <v/>
      </c>
      <c r="F32" s="83" t="n"/>
      <c r="G32" s="49">
        <f>IFERROR(INDEX('Master Stock'!$C$2:$C$100,MATCH(ROWS($G$9:G32),'Master Stock'!$P$2:$P$100,0)),"")</f>
        <v/>
      </c>
      <c r="H32" s="49">
        <f>IFERROR(INDEX('Master Stock'!$D$2:$D$100,MATCH(ROWS($G$9:G32),'Master Stock'!$P$2:$P$100,0)),"")</f>
        <v/>
      </c>
      <c r="I32" s="52">
        <f>IFERROR(INDEX('Master Stock'!$J$2:$J$100,MATCH(ROWS($G$9:G32),'Master Stock'!$P$2:$P$100,0)),"")</f>
        <v/>
      </c>
      <c r="J32" s="51">
        <f>IF(I32="","",MAX(0,TODAY()-(IF(ISNUMBER(I32),I32,IFERROR(DATE(2000+VALUE(RIGHT(I32,2)),VALUE(MID(I32,4,2)),VALUE(LEFT(I32,2))),"")))))</f>
        <v/>
      </c>
      <c r="K32" s="92" t="n"/>
      <c r="L32" s="49">
        <f>IFERROR(INDEX('Master Stock'!$C$2:$C$100,AGGREGATE(15,6,(ROW('Master Stock'!$C$2:$C$100)-ROW('Master Stock'!$C$2)+1)/(('Master Stock'!$H$2:$H$100="OCCUPIED")*('Master Stock'!$J$2:$J$100&lt;&gt;"")*('Master Stock'!$K$2:$K$100="")*('Master Stock'!$J$2:$J$100&lt;TODAY()-30)),24)),"")</f>
        <v/>
      </c>
      <c r="M32" s="49">
        <f>IFERROR(INDEX('Master Stock'!$D$2:$D$100,AGGREGATE(15,6,(ROW('Master Stock'!$C$2:$C$100)-ROW('Master Stock'!$C$2)+1)/(('Master Stock'!$H$2:$H$100="OCCUPIED")*('Master Stock'!$J$2:$J$100&lt;&gt;"")*('Master Stock'!$K$2:$K$100="")*('Master Stock'!$J$2:$J$100&lt;TODAY()-30)),24)),"")</f>
        <v/>
      </c>
      <c r="N32" s="52">
        <f>IFERROR(INDEX('Master Stock'!$J$2:$J$100,AGGREGATE(15,6,(ROW('Master Stock'!$C$2:$C$100)-ROW('Master Stock'!$C$2)+1)/(('Master Stock'!$H$2:$H$100="OCCUPIED")*('Master Stock'!$J$2:$J$100&lt;&gt;"")*('Master Stock'!$K$2:$K$100="")*('Master Stock'!$J$2:$J$100&lt;TODAY()-30)),24)),"")</f>
        <v/>
      </c>
      <c r="O32" s="51">
        <f>IF(N32="","",MAX(0,TODAY()-(IF(ISNUMBER(N32),N32,IFERROR(DATE(2000+VALUE(RIGHT(N32,2)),VALUE(MID(N32,4,2)),VALUE(LEFT(N32,2))),"")))))</f>
        <v/>
      </c>
    </row>
    <row r="33" ht="15.75" customHeight="1" s="42">
      <c r="A33" s="49">
        <f>IFERROR(INDEX('Master Stock'!$C$2:$C$100,MATCH(ROWS($A$9:A33),'Master Stock'!$N$2:$N$100,0)),"")</f>
        <v/>
      </c>
      <c r="B33" s="49">
        <f>IFERROR(INDEX('Master Stock'!$D$2:$D$100,MATCH(ROWS($A$9:A33),'Master Stock'!$N$2:$N$100,0)),"")</f>
        <v/>
      </c>
      <c r="C33" s="52">
        <f>IFERROR(INDEX('Master Stock'!$B$2:$B$100,MATCH(ROWS($A$9:A33),'Master Stock'!$N$2:$N$100,0)),"")</f>
        <v/>
      </c>
      <c r="D33" s="52">
        <f>IFERROR(INDEX('Master Stock'!$J$2:$J$100,MATCH(ROWS($A$9:A33),'Master Stock'!$N$2:$N$100,0)),"")</f>
        <v/>
      </c>
      <c r="E33" s="51">
        <f>IF(D33="","",MAX(0,TODAY()-(IF(ISNUMBER(D33),D33,IFERROR(DATE(2000+VALUE(RIGHT(D33,2)),VALUE(MID(D33,4,2)),VALUE(LEFT(D33,2))),"")))))</f>
        <v/>
      </c>
      <c r="F33" s="83" t="n"/>
      <c r="G33" s="49">
        <f>IFERROR(INDEX('Master Stock'!$C$2:$C$100,MATCH(ROWS($G$9:G33),'Master Stock'!$P$2:$P$100,0)),"")</f>
        <v/>
      </c>
      <c r="H33" s="49">
        <f>IFERROR(INDEX('Master Stock'!$D$2:$D$100,MATCH(ROWS($G$9:G33),'Master Stock'!$P$2:$P$100,0)),"")</f>
        <v/>
      </c>
      <c r="I33" s="52">
        <f>IFERROR(INDEX('Master Stock'!$J$2:$J$100,MATCH(ROWS($G$9:G33),'Master Stock'!$P$2:$P$100,0)),"")</f>
        <v/>
      </c>
      <c r="J33" s="51">
        <f>IF(I33="","",MAX(0,TODAY()-(IF(ISNUMBER(I33),I33,IFERROR(DATE(2000+VALUE(RIGHT(I33,2)),VALUE(MID(I33,4,2)),VALUE(LEFT(I33,2))),"")))))</f>
        <v/>
      </c>
      <c r="K33" s="92" t="n"/>
      <c r="L33" s="49">
        <f>IFERROR(INDEX('Master Stock'!$C$2:$C$100,AGGREGATE(15,6,(ROW('Master Stock'!$C$2:$C$100)-ROW('Master Stock'!$C$2)+1)/(('Master Stock'!$H$2:$H$100="OCCUPIED")*('Master Stock'!$J$2:$J$100&lt;&gt;"")*('Master Stock'!$K$2:$K$100="")*('Master Stock'!$J$2:$J$100&lt;TODAY()-30)),25)),"")</f>
        <v/>
      </c>
      <c r="M33" s="49">
        <f>IFERROR(INDEX('Master Stock'!$D$2:$D$100,AGGREGATE(15,6,(ROW('Master Stock'!$C$2:$C$100)-ROW('Master Stock'!$C$2)+1)/(('Master Stock'!$H$2:$H$100="OCCUPIED")*('Master Stock'!$J$2:$J$100&lt;&gt;"")*('Master Stock'!$K$2:$K$100="")*('Master Stock'!$J$2:$J$100&lt;TODAY()-30)),25)),"")</f>
        <v/>
      </c>
      <c r="N33" s="52">
        <f>IFERROR(INDEX('Master Stock'!$J$2:$J$100,AGGREGATE(15,6,(ROW('Master Stock'!$C$2:$C$100)-ROW('Master Stock'!$C$2)+1)/(('Master Stock'!$H$2:$H$100="OCCUPIED")*('Master Stock'!$J$2:$J$100&lt;&gt;"")*('Master Stock'!$K$2:$K$100="")*('Master Stock'!$J$2:$J$100&lt;TODAY()-30)),25)),"")</f>
        <v/>
      </c>
      <c r="O33" s="51">
        <f>IF(N33="","",MAX(0,TODAY()-(IF(ISNUMBER(N33),N33,IFERROR(DATE(2000+VALUE(RIGHT(N33,2)),VALUE(MID(N33,4,2)),VALUE(LEFT(N33,2))),"")))))</f>
        <v/>
      </c>
    </row>
    <row r="34" ht="15.75" customHeight="1" s="42">
      <c r="A34" s="49">
        <f>IFERROR(INDEX('Master Stock'!$C$2:$C$100,MATCH(ROWS($A$9:A34),'Master Stock'!$N$2:$N$100,0)),"")</f>
        <v/>
      </c>
      <c r="B34" s="49">
        <f>IFERROR(INDEX('Master Stock'!$D$2:$D$100,MATCH(ROWS($A$9:A34),'Master Stock'!$N$2:$N$100,0)),"")</f>
        <v/>
      </c>
      <c r="C34" s="52">
        <f>IFERROR(INDEX('Master Stock'!$B$2:$B$100,MATCH(ROWS($A$9:A34),'Master Stock'!$N$2:$N$100,0)),"")</f>
        <v/>
      </c>
      <c r="D34" s="52">
        <f>IFERROR(INDEX('Master Stock'!$J$2:$J$100,MATCH(ROWS($A$9:A34),'Master Stock'!$N$2:$N$100,0)),"")</f>
        <v/>
      </c>
      <c r="E34" s="51">
        <f>IF(D34="","",MAX(0,TODAY()-(IF(ISNUMBER(D34),D34,IFERROR(DATE(2000+VALUE(RIGHT(D34,2)),VALUE(MID(D34,4,2)),VALUE(LEFT(D34,2))),"")))))</f>
        <v/>
      </c>
      <c r="F34" s="83" t="n"/>
      <c r="G34" s="49">
        <f>IFERROR(INDEX('Master Stock'!$C$2:$C$100,MATCH(ROWS($G$9:G34),'Master Stock'!$P$2:$P$100,0)),"")</f>
        <v/>
      </c>
      <c r="H34" s="49">
        <f>IFERROR(INDEX('Master Stock'!$D$2:$D$100,MATCH(ROWS($G$9:G34),'Master Stock'!$P$2:$P$100,0)),"")</f>
        <v/>
      </c>
      <c r="I34" s="52">
        <f>IFERROR(INDEX('Master Stock'!$J$2:$J$100,MATCH(ROWS($G$9:G34),'Master Stock'!$P$2:$P$100,0)),"")</f>
        <v/>
      </c>
      <c r="J34" s="51">
        <f>IF(I34="","",MAX(0,TODAY()-(IF(ISNUMBER(I34),I34,IFERROR(DATE(2000+VALUE(RIGHT(I34,2)),VALUE(MID(I34,4,2)),VALUE(LEFT(I34,2))),"")))))</f>
        <v/>
      </c>
      <c r="K34" s="92" t="n"/>
      <c r="L34" s="49">
        <f>IFERROR(INDEX('Master Stock'!$C$2:$C$100,AGGREGATE(15,6,(ROW('Master Stock'!$C$2:$C$100)-ROW('Master Stock'!$C$2)+1)/(('Master Stock'!$H$2:$H$100="OCCUPIED")*('Master Stock'!$J$2:$J$100&lt;&gt;"")*('Master Stock'!$K$2:$K$100="")*('Master Stock'!$J$2:$J$100&lt;TODAY()-30)),26)),"")</f>
        <v/>
      </c>
      <c r="M34" s="49">
        <f>IFERROR(INDEX('Master Stock'!$D$2:$D$100,AGGREGATE(15,6,(ROW('Master Stock'!$C$2:$C$100)-ROW('Master Stock'!$C$2)+1)/(('Master Stock'!$H$2:$H$100="OCCUPIED")*('Master Stock'!$J$2:$J$100&lt;&gt;"")*('Master Stock'!$K$2:$K$100="")*('Master Stock'!$J$2:$J$100&lt;TODAY()-30)),26)),"")</f>
        <v/>
      </c>
      <c r="N34" s="52">
        <f>IFERROR(INDEX('Master Stock'!$J$2:$J$100,AGGREGATE(15,6,(ROW('Master Stock'!$C$2:$C$100)-ROW('Master Stock'!$C$2)+1)/(('Master Stock'!$H$2:$H$100="OCCUPIED")*('Master Stock'!$J$2:$J$100&lt;&gt;"")*('Master Stock'!$K$2:$K$100="")*('Master Stock'!$J$2:$J$100&lt;TODAY()-30)),26)),"")</f>
        <v/>
      </c>
      <c r="O34" s="51">
        <f>IF(N34="","",MAX(0,TODAY()-(IF(ISNUMBER(N34),N34,IFERROR(DATE(2000+VALUE(RIGHT(N34,2)),VALUE(MID(N34,4,2)),VALUE(LEFT(N34,2))),"")))))</f>
        <v/>
      </c>
    </row>
    <row r="35" ht="15.75" customHeight="1" s="42">
      <c r="A35" s="49">
        <f>IFERROR(INDEX('Master Stock'!$C$2:$C$100,MATCH(ROWS($A$9:A35),'Master Stock'!$N$2:$N$100,0)),"")</f>
        <v/>
      </c>
      <c r="B35" s="49">
        <f>IFERROR(INDEX('Master Stock'!$D$2:$D$100,MATCH(ROWS($A$9:A35),'Master Stock'!$N$2:$N$100,0)),"")</f>
        <v/>
      </c>
      <c r="C35" s="52">
        <f>IFERROR(INDEX('Master Stock'!$B$2:$B$100,MATCH(ROWS($A$9:A35),'Master Stock'!$N$2:$N$100,0)),"")</f>
        <v/>
      </c>
      <c r="D35" s="52">
        <f>IFERROR(INDEX('Master Stock'!$J$2:$J$100,MATCH(ROWS($A$9:A35),'Master Stock'!$N$2:$N$100,0)),"")</f>
        <v/>
      </c>
      <c r="E35" s="51">
        <f>IF(D35="","",MAX(0,TODAY()-(IF(ISNUMBER(D35),D35,IFERROR(DATE(2000+VALUE(RIGHT(D35,2)),VALUE(MID(D35,4,2)),VALUE(LEFT(D35,2))),"")))))</f>
        <v/>
      </c>
      <c r="F35" s="83" t="n"/>
      <c r="G35" s="49">
        <f>IFERROR(INDEX('Master Stock'!$C$2:$C$100,MATCH(ROWS($G$9:G35),'Master Stock'!$P$2:$P$100,0)),"")</f>
        <v/>
      </c>
      <c r="H35" s="49">
        <f>IFERROR(INDEX('Master Stock'!$D$2:$D$100,MATCH(ROWS($G$9:G35),'Master Stock'!$P$2:$P$100,0)),"")</f>
        <v/>
      </c>
      <c r="I35" s="52">
        <f>IFERROR(INDEX('Master Stock'!$J$2:$J$100,MATCH(ROWS($G$9:G35),'Master Stock'!$P$2:$P$100,0)),"")</f>
        <v/>
      </c>
      <c r="J35" s="51">
        <f>IF(I35="","",MAX(0,TODAY()-(IF(ISNUMBER(I35),I35,IFERROR(DATE(2000+VALUE(RIGHT(I35,2)),VALUE(MID(I35,4,2)),VALUE(LEFT(I35,2))),"")))))</f>
        <v/>
      </c>
      <c r="K35" s="92" t="n"/>
      <c r="L35" s="49">
        <f>IFERROR(INDEX('Master Stock'!$C$2:$C$100,AGGREGATE(15,6,(ROW('Master Stock'!$C$2:$C$100)-ROW('Master Stock'!$C$2)+1)/(('Master Stock'!$H$2:$H$100="OCCUPIED")*('Master Stock'!$J$2:$J$100&lt;&gt;"")*('Master Stock'!$K$2:$K$100="")*('Master Stock'!$J$2:$J$100&lt;TODAY()-30)),27)),"")</f>
        <v/>
      </c>
      <c r="M35" s="49">
        <f>IFERROR(INDEX('Master Stock'!$D$2:$D$100,AGGREGATE(15,6,(ROW('Master Stock'!$C$2:$C$100)-ROW('Master Stock'!$C$2)+1)/(('Master Stock'!$H$2:$H$100="OCCUPIED")*('Master Stock'!$J$2:$J$100&lt;&gt;"")*('Master Stock'!$K$2:$K$100="")*('Master Stock'!$J$2:$J$100&lt;TODAY()-30)),27)),"")</f>
        <v/>
      </c>
      <c r="N35" s="52">
        <f>IFERROR(INDEX('Master Stock'!$J$2:$J$100,AGGREGATE(15,6,(ROW('Master Stock'!$C$2:$C$100)-ROW('Master Stock'!$C$2)+1)/(('Master Stock'!$H$2:$H$100="OCCUPIED")*('Master Stock'!$J$2:$J$100&lt;&gt;"")*('Master Stock'!$K$2:$K$100="")*('Master Stock'!$J$2:$J$100&lt;TODAY()-30)),27)),"")</f>
        <v/>
      </c>
      <c r="O35" s="51">
        <f>IF(N35="","",MAX(0,TODAY()-(IF(ISNUMBER(N35),N35,IFERROR(DATE(2000+VALUE(RIGHT(N35,2)),VALUE(MID(N35,4,2)),VALUE(LEFT(N35,2))),"")))))</f>
        <v/>
      </c>
    </row>
    <row r="36" ht="15.75" customHeight="1" s="42">
      <c r="A36" s="49">
        <f>IFERROR(INDEX('Master Stock'!$C$2:$C$100,MATCH(ROWS($A$9:A36),'Master Stock'!$N$2:$N$100,0)),"")</f>
        <v/>
      </c>
      <c r="B36" s="49">
        <f>IFERROR(INDEX('Master Stock'!$D$2:$D$100,MATCH(ROWS($A$9:A36),'Master Stock'!$N$2:$N$100,0)),"")</f>
        <v/>
      </c>
      <c r="C36" s="52">
        <f>IFERROR(INDEX('Master Stock'!$B$2:$B$100,MATCH(ROWS($A$9:A36),'Master Stock'!$N$2:$N$100,0)),"")</f>
        <v/>
      </c>
      <c r="D36" s="52">
        <f>IFERROR(INDEX('Master Stock'!$J$2:$J$100,MATCH(ROWS($A$9:A36),'Master Stock'!$N$2:$N$100,0)),"")</f>
        <v/>
      </c>
      <c r="E36" s="51">
        <f>IF(D36="","",MAX(0,TODAY()-(IF(ISNUMBER(D36),D36,IFERROR(DATE(2000+VALUE(RIGHT(D36,2)),VALUE(MID(D36,4,2)),VALUE(LEFT(D36,2))),"")))))</f>
        <v/>
      </c>
      <c r="F36" s="83" t="n"/>
      <c r="G36" s="49">
        <f>IFERROR(INDEX('Master Stock'!$C$2:$C$100,MATCH(ROWS($G$9:G36),'Master Stock'!$P$2:$P$100,0)),"")</f>
        <v/>
      </c>
      <c r="H36" s="49">
        <f>IFERROR(INDEX('Master Stock'!$D$2:$D$100,MATCH(ROWS($G$9:G36),'Master Stock'!$P$2:$P$100,0)),"")</f>
        <v/>
      </c>
      <c r="I36" s="52">
        <f>IFERROR(INDEX('Master Stock'!$J$2:$J$100,MATCH(ROWS($G$9:G36),'Master Stock'!$P$2:$P$100,0)),"")</f>
        <v/>
      </c>
      <c r="J36" s="51">
        <f>IF(I36="","",MAX(0,TODAY()-(IF(ISNUMBER(I36),I36,IFERROR(DATE(2000+VALUE(RIGHT(I36,2)),VALUE(MID(I36,4,2)),VALUE(LEFT(I36,2))),"")))))</f>
        <v/>
      </c>
      <c r="K36" s="92" t="n"/>
      <c r="L36" s="49">
        <f>IFERROR(INDEX('Master Stock'!$C$2:$C$100,AGGREGATE(15,6,(ROW('Master Stock'!$C$2:$C$100)-ROW('Master Stock'!$C$2)+1)/(('Master Stock'!$H$2:$H$100="OCCUPIED")*('Master Stock'!$J$2:$J$100&lt;&gt;"")*('Master Stock'!$K$2:$K$100="")*('Master Stock'!$J$2:$J$100&lt;TODAY()-30)),28)),"")</f>
        <v/>
      </c>
      <c r="M36" s="49">
        <f>IFERROR(INDEX('Master Stock'!$D$2:$D$100,AGGREGATE(15,6,(ROW('Master Stock'!$C$2:$C$100)-ROW('Master Stock'!$C$2)+1)/(('Master Stock'!$H$2:$H$100="OCCUPIED")*('Master Stock'!$J$2:$J$100&lt;&gt;"")*('Master Stock'!$K$2:$K$100="")*('Master Stock'!$J$2:$J$100&lt;TODAY()-30)),28)),"")</f>
        <v/>
      </c>
      <c r="N36" s="52">
        <f>IFERROR(INDEX('Master Stock'!$J$2:$J$100,AGGREGATE(15,6,(ROW('Master Stock'!$C$2:$C$100)-ROW('Master Stock'!$C$2)+1)/(('Master Stock'!$H$2:$H$100="OCCUPIED")*('Master Stock'!$J$2:$J$100&lt;&gt;"")*('Master Stock'!$K$2:$K$100="")*('Master Stock'!$J$2:$J$100&lt;TODAY()-30)),28)),"")</f>
        <v/>
      </c>
      <c r="O36" s="51">
        <f>IF(N36="","",MAX(0,TODAY()-(IF(ISNUMBER(N36),N36,IFERROR(DATE(2000+VALUE(RIGHT(N36,2)),VALUE(MID(N36,4,2)),VALUE(LEFT(N36,2))),"")))))</f>
        <v/>
      </c>
    </row>
    <row r="37" ht="15.75" customHeight="1" s="42">
      <c r="A37" s="49">
        <f>IFERROR(INDEX('Master Stock'!$C$2:$C$100,MATCH(ROWS($A$9:A37),'Master Stock'!$N$2:$N$100,0)),"")</f>
        <v/>
      </c>
      <c r="B37" s="49">
        <f>IFERROR(INDEX('Master Stock'!$D$2:$D$100,MATCH(ROWS($A$9:A37),'Master Stock'!$N$2:$N$100,0)),"")</f>
        <v/>
      </c>
      <c r="C37" s="52">
        <f>IFERROR(INDEX('Master Stock'!$B$2:$B$100,MATCH(ROWS($A$9:A37),'Master Stock'!$N$2:$N$100,0)),"")</f>
        <v/>
      </c>
      <c r="D37" s="52">
        <f>IFERROR(INDEX('Master Stock'!$J$2:$J$100,MATCH(ROWS($A$9:A37),'Master Stock'!$N$2:$N$100,0)),"")</f>
        <v/>
      </c>
      <c r="E37" s="51">
        <f>IF(D37="","",MAX(0,TODAY()-(IF(ISNUMBER(D37),D37,IFERROR(DATE(2000+VALUE(RIGHT(D37,2)),VALUE(MID(D37,4,2)),VALUE(LEFT(D37,2))),"")))))</f>
        <v/>
      </c>
      <c r="F37" s="83" t="n"/>
      <c r="G37" s="49">
        <f>IFERROR(INDEX('Master Stock'!$C$2:$C$100,MATCH(ROWS($G$9:G37),'Master Stock'!$P$2:$P$100,0)),"")</f>
        <v/>
      </c>
      <c r="H37" s="49">
        <f>IFERROR(INDEX('Master Stock'!$D$2:$D$100,MATCH(ROWS($G$9:G37),'Master Stock'!$P$2:$P$100,0)),"")</f>
        <v/>
      </c>
      <c r="I37" s="52">
        <f>IFERROR(INDEX('Master Stock'!$J$2:$J$100,MATCH(ROWS($G$9:G37),'Master Stock'!$P$2:$P$100,0)),"")</f>
        <v/>
      </c>
      <c r="J37" s="51">
        <f>IF(I37="","",MAX(0,TODAY()-(IF(ISNUMBER(I37),I37,IFERROR(DATE(2000+VALUE(RIGHT(I37,2)),VALUE(MID(I37,4,2)),VALUE(LEFT(I37,2))),"")))))</f>
        <v/>
      </c>
      <c r="K37" s="92" t="n"/>
      <c r="L37" s="49">
        <f>IFERROR(INDEX('Master Stock'!$C$2:$C$100,AGGREGATE(15,6,(ROW('Master Stock'!$C$2:$C$100)-ROW('Master Stock'!$C$2)+1)/(('Master Stock'!$H$2:$H$100="OCCUPIED")*('Master Stock'!$J$2:$J$100&lt;&gt;"")*('Master Stock'!$K$2:$K$100="")*('Master Stock'!$J$2:$J$100&lt;TODAY()-30)),29)),"")</f>
        <v/>
      </c>
      <c r="M37" s="49">
        <f>IFERROR(INDEX('Master Stock'!$D$2:$D$100,AGGREGATE(15,6,(ROW('Master Stock'!$C$2:$C$100)-ROW('Master Stock'!$C$2)+1)/(('Master Stock'!$H$2:$H$100="OCCUPIED")*('Master Stock'!$J$2:$J$100&lt;&gt;"")*('Master Stock'!$K$2:$K$100="")*('Master Stock'!$J$2:$J$100&lt;TODAY()-30)),29)),"")</f>
        <v/>
      </c>
      <c r="N37" s="52">
        <f>IFERROR(INDEX('Master Stock'!$J$2:$J$100,AGGREGATE(15,6,(ROW('Master Stock'!$C$2:$C$100)-ROW('Master Stock'!$C$2)+1)/(('Master Stock'!$H$2:$H$100="OCCUPIED")*('Master Stock'!$J$2:$J$100&lt;&gt;"")*('Master Stock'!$K$2:$K$100="")*('Master Stock'!$J$2:$J$100&lt;TODAY()-30)),29)),"")</f>
        <v/>
      </c>
      <c r="O37" s="51">
        <f>IF(N37="","",MAX(0,TODAY()-(IF(ISNUMBER(N37),N37,IFERROR(DATE(2000+VALUE(RIGHT(N37,2)),VALUE(MID(N37,4,2)),VALUE(LEFT(N37,2))),"")))))</f>
        <v/>
      </c>
    </row>
    <row r="38" ht="15.75" customHeight="1" s="42">
      <c r="A38" s="49">
        <f>IFERROR(INDEX('Master Stock'!$C$2:$C$100,MATCH(ROWS($A$9:A38),'Master Stock'!$N$2:$N$100,0)),"")</f>
        <v/>
      </c>
      <c r="B38" s="49">
        <f>IFERROR(INDEX('Master Stock'!$D$2:$D$100,MATCH(ROWS($A$9:A38),'Master Stock'!$N$2:$N$100,0)),"")</f>
        <v/>
      </c>
      <c r="C38" s="52">
        <f>IFERROR(INDEX('Master Stock'!$B$2:$B$100,MATCH(ROWS($A$9:A38),'Master Stock'!$N$2:$N$100,0)),"")</f>
        <v/>
      </c>
      <c r="D38" s="52">
        <f>IFERROR(INDEX('Master Stock'!$J$2:$J$100,MATCH(ROWS($A$9:A38),'Master Stock'!$N$2:$N$100,0)),"")</f>
        <v/>
      </c>
      <c r="E38" s="51">
        <f>IF(D38="","",MAX(0,TODAY()-(IF(ISNUMBER(D38),D38,IFERROR(DATE(2000+VALUE(RIGHT(D38,2)),VALUE(MID(D38,4,2)),VALUE(LEFT(D38,2))),"")))))</f>
        <v/>
      </c>
      <c r="F38" s="83" t="n"/>
      <c r="G38" s="49">
        <f>IFERROR(INDEX('Master Stock'!$C$2:$C$100,MATCH(ROWS($G$9:G38),'Master Stock'!$P$2:$P$100,0)),"")</f>
        <v/>
      </c>
      <c r="H38" s="49">
        <f>IFERROR(INDEX('Master Stock'!$D$2:$D$100,MATCH(ROWS($G$9:G38),'Master Stock'!$P$2:$P$100,0)),"")</f>
        <v/>
      </c>
      <c r="I38" s="52">
        <f>IFERROR(INDEX('Master Stock'!$J$2:$J$100,MATCH(ROWS($G$9:G38),'Master Stock'!$P$2:$P$100,0)),"")</f>
        <v/>
      </c>
      <c r="J38" s="51">
        <f>IF(I38="","",MAX(0,TODAY()-(IF(ISNUMBER(I38),I38,IFERROR(DATE(2000+VALUE(RIGHT(I38,2)),VALUE(MID(I38,4,2)),VALUE(LEFT(I38,2))),"")))))</f>
        <v/>
      </c>
      <c r="K38" s="92" t="n"/>
      <c r="L38" s="49">
        <f>IFERROR(INDEX('Master Stock'!$C$2:$C$100,AGGREGATE(15,6,(ROW('Master Stock'!$C$2:$C$100)-ROW('Master Stock'!$C$2)+1)/(('Master Stock'!$H$2:$H$100="OCCUPIED")*('Master Stock'!$J$2:$J$100&lt;&gt;"")*('Master Stock'!$K$2:$K$100="")*('Master Stock'!$J$2:$J$100&lt;TODAY()-30)),30)),"")</f>
        <v/>
      </c>
      <c r="M38" s="49">
        <f>IFERROR(INDEX('Master Stock'!$D$2:$D$100,AGGREGATE(15,6,(ROW('Master Stock'!$C$2:$C$100)-ROW('Master Stock'!$C$2)+1)/(('Master Stock'!$H$2:$H$100="OCCUPIED")*('Master Stock'!$J$2:$J$100&lt;&gt;"")*('Master Stock'!$K$2:$K$100="")*('Master Stock'!$J$2:$J$100&lt;TODAY()-30)),30)),"")</f>
        <v/>
      </c>
      <c r="N38" s="52">
        <f>IFERROR(INDEX('Master Stock'!$J$2:$J$100,AGGREGATE(15,6,(ROW('Master Stock'!$C$2:$C$100)-ROW('Master Stock'!$C$2)+1)/(('Master Stock'!$H$2:$H$100="OCCUPIED")*('Master Stock'!$J$2:$J$100&lt;&gt;"")*('Master Stock'!$K$2:$K$100="")*('Master Stock'!$J$2:$J$100&lt;TODAY()-30)),30)),"")</f>
        <v/>
      </c>
      <c r="O38" s="51">
        <f>IF(N38="","",MAX(0,TODAY()-(IF(ISNUMBER(N38),N38,IFERROR(DATE(2000+VALUE(RIGHT(N38,2)),VALUE(MID(N38,4,2)),VALUE(LEFT(N38,2))),"")))))</f>
        <v/>
      </c>
    </row>
    <row r="39" ht="15.75" customHeight="1" s="42">
      <c r="A39" s="49">
        <f>IFERROR(INDEX('Master Stock'!$C$2:$C$100,MATCH(ROWS($A$9:A39),'Master Stock'!$N$2:$N$100,0)),"")</f>
        <v/>
      </c>
      <c r="B39" s="49">
        <f>IFERROR(INDEX('Master Stock'!$D$2:$D$100,MATCH(ROWS($A$9:A39),'Master Stock'!$N$2:$N$100,0)),"")</f>
        <v/>
      </c>
      <c r="C39" s="52">
        <f>IFERROR(INDEX('Master Stock'!$B$2:$B$100,MATCH(ROWS($A$9:A39),'Master Stock'!$N$2:$N$100,0)),"")</f>
        <v/>
      </c>
      <c r="D39" s="52">
        <f>IFERROR(INDEX('Master Stock'!$J$2:$J$100,MATCH(ROWS($A$9:A39),'Master Stock'!$N$2:$N$100,0)),"")</f>
        <v/>
      </c>
      <c r="E39" s="51">
        <f>IF(D39="","",MAX(0,TODAY()-(IF(ISNUMBER(D39),D39,IFERROR(DATE(2000+VALUE(RIGHT(D39,2)),VALUE(MID(D39,4,2)),VALUE(LEFT(D39,2))),"")))))</f>
        <v/>
      </c>
      <c r="F39" s="83" t="n"/>
      <c r="G39" s="49">
        <f>IFERROR(INDEX('Master Stock'!$C$2:$C$100,MATCH(ROWS($G$9:G39),'Master Stock'!$P$2:$P$100,0)),"")</f>
        <v/>
      </c>
      <c r="H39" s="49">
        <f>IFERROR(INDEX('Master Stock'!$D$2:$D$100,MATCH(ROWS($G$9:G39),'Master Stock'!$P$2:$P$100,0)),"")</f>
        <v/>
      </c>
      <c r="I39" s="52">
        <f>IFERROR(INDEX('Master Stock'!$J$2:$J$100,MATCH(ROWS($G$9:G39),'Master Stock'!$P$2:$P$100,0)),"")</f>
        <v/>
      </c>
      <c r="J39" s="51">
        <f>IF(I39="","",MAX(0,TODAY()-(IF(ISNUMBER(I39),I39,IFERROR(DATE(2000+VALUE(RIGHT(I39,2)),VALUE(MID(I39,4,2)),VALUE(LEFT(I39,2))),"")))))</f>
        <v/>
      </c>
      <c r="K39" s="92" t="n"/>
      <c r="L39" s="49">
        <f>IFERROR(INDEX('Master Stock'!$C$2:$C$100,AGGREGATE(15,6,(ROW('Master Stock'!$C$2:$C$100)-ROW('Master Stock'!$C$2)+1)/(('Master Stock'!$H$2:$H$100="OCCUPIED")*('Master Stock'!$J$2:$J$100&lt;&gt;"")*('Master Stock'!$K$2:$K$100="")*('Master Stock'!$J$2:$J$100&lt;TODAY()-30)),31)),"")</f>
        <v/>
      </c>
      <c r="M39" s="49">
        <f>IFERROR(INDEX('Master Stock'!$D$2:$D$100,AGGREGATE(15,6,(ROW('Master Stock'!$C$2:$C$100)-ROW('Master Stock'!$C$2)+1)/(('Master Stock'!$H$2:$H$100="OCCUPIED")*('Master Stock'!$J$2:$J$100&lt;&gt;"")*('Master Stock'!$K$2:$K$100="")*('Master Stock'!$J$2:$J$100&lt;TODAY()-30)),31)),"")</f>
        <v/>
      </c>
      <c r="N39" s="52">
        <f>IFERROR(INDEX('Master Stock'!$J$2:$J$100,AGGREGATE(15,6,(ROW('Master Stock'!$C$2:$C$100)-ROW('Master Stock'!$C$2)+1)/(('Master Stock'!$H$2:$H$100="OCCUPIED")*('Master Stock'!$J$2:$J$100&lt;&gt;"")*('Master Stock'!$K$2:$K$100="")*('Master Stock'!$J$2:$J$100&lt;TODAY()-30)),31)),"")</f>
        <v/>
      </c>
      <c r="O39" s="51">
        <f>IF(N39="","",MAX(0,TODAY()-(IF(ISNUMBER(N39),N39,IFERROR(DATE(2000+VALUE(RIGHT(N39,2)),VALUE(MID(N39,4,2)),VALUE(LEFT(N39,2))),"")))))</f>
        <v/>
      </c>
    </row>
    <row r="40" ht="15.75" customHeight="1" s="42">
      <c r="A40" s="49">
        <f>IFERROR(INDEX('Master Stock'!$C$2:$C$100,MATCH(ROWS($A$9:A40),'Master Stock'!$N$2:$N$100,0)),"")</f>
        <v/>
      </c>
      <c r="B40" s="49">
        <f>IFERROR(INDEX('Master Stock'!$D$2:$D$100,MATCH(ROWS($A$9:A40),'Master Stock'!$N$2:$N$100,0)),"")</f>
        <v/>
      </c>
      <c r="C40" s="52">
        <f>IFERROR(INDEX('Master Stock'!$B$2:$B$100,MATCH(ROWS($A$9:A40),'Master Stock'!$N$2:$N$100,0)),"")</f>
        <v/>
      </c>
      <c r="D40" s="52">
        <f>IFERROR(INDEX('Master Stock'!$J$2:$J$100,MATCH(ROWS($A$9:A40),'Master Stock'!$N$2:$N$100,0)),"")</f>
        <v/>
      </c>
      <c r="E40" s="51">
        <f>IF(D40="","",MAX(0,TODAY()-(IF(ISNUMBER(D40),D40,IFERROR(DATE(2000+VALUE(RIGHT(D40,2)),VALUE(MID(D40,4,2)),VALUE(LEFT(D40,2))),"")))))</f>
        <v/>
      </c>
      <c r="F40" s="83" t="n"/>
      <c r="G40" s="49">
        <f>IFERROR(INDEX('Master Stock'!$C$2:$C$100,MATCH(ROWS($G$9:G40),'Master Stock'!$P$2:$P$100,0)),"")</f>
        <v/>
      </c>
      <c r="H40" s="49">
        <f>IFERROR(INDEX('Master Stock'!$D$2:$D$100,MATCH(ROWS($G$9:G40),'Master Stock'!$P$2:$P$100,0)),"")</f>
        <v/>
      </c>
      <c r="I40" s="52">
        <f>IFERROR(INDEX('Master Stock'!$J$2:$J$100,MATCH(ROWS($G$9:G40),'Master Stock'!$P$2:$P$100,0)),"")</f>
        <v/>
      </c>
      <c r="J40" s="51">
        <f>IF(I40="","",MAX(0,TODAY()-(IF(ISNUMBER(I40),I40,IFERROR(DATE(2000+VALUE(RIGHT(I40,2)),VALUE(MID(I40,4,2)),VALUE(LEFT(I40,2))),"")))))</f>
        <v/>
      </c>
      <c r="K40" s="92" t="n"/>
      <c r="L40" s="49">
        <f>IFERROR(INDEX('Master Stock'!$C$2:$C$100,AGGREGATE(15,6,(ROW('Master Stock'!$C$2:$C$100)-ROW('Master Stock'!$C$2)+1)/(('Master Stock'!$H$2:$H$100="OCCUPIED")*('Master Stock'!$J$2:$J$100&lt;&gt;"")*('Master Stock'!$K$2:$K$100="")*('Master Stock'!$J$2:$J$100&lt;TODAY()-30)),32)),"")</f>
        <v/>
      </c>
      <c r="M40" s="49">
        <f>IFERROR(INDEX('Master Stock'!$D$2:$D$100,AGGREGATE(15,6,(ROW('Master Stock'!$C$2:$C$100)-ROW('Master Stock'!$C$2)+1)/(('Master Stock'!$H$2:$H$100="OCCUPIED")*('Master Stock'!$J$2:$J$100&lt;&gt;"")*('Master Stock'!$K$2:$K$100="")*('Master Stock'!$J$2:$J$100&lt;TODAY()-30)),32)),"")</f>
        <v/>
      </c>
      <c r="N40" s="52">
        <f>IFERROR(INDEX('Master Stock'!$J$2:$J$100,AGGREGATE(15,6,(ROW('Master Stock'!$C$2:$C$100)-ROW('Master Stock'!$C$2)+1)/(('Master Stock'!$H$2:$H$100="OCCUPIED")*('Master Stock'!$J$2:$J$100&lt;&gt;"")*('Master Stock'!$K$2:$K$100="")*('Master Stock'!$J$2:$J$100&lt;TODAY()-30)),32)),"")</f>
        <v/>
      </c>
      <c r="O40" s="51">
        <f>IF(N40="","",MAX(0,TODAY()-(IF(ISNUMBER(N40),N40,IFERROR(DATE(2000+VALUE(RIGHT(N40,2)),VALUE(MID(N40,4,2)),VALUE(LEFT(N40,2))),"")))))</f>
        <v/>
      </c>
    </row>
    <row r="41" ht="15.75" customHeight="1" s="42">
      <c r="A41" s="49">
        <f>IFERROR(INDEX('Master Stock'!$C$2:$C$100,MATCH(ROWS($A$9:A41),'Master Stock'!$N$2:$N$100,0)),"")</f>
        <v/>
      </c>
      <c r="B41" s="49">
        <f>IFERROR(INDEX('Master Stock'!$D$2:$D$100,MATCH(ROWS($A$9:A41),'Master Stock'!$N$2:$N$100,0)),"")</f>
        <v/>
      </c>
      <c r="C41" s="52">
        <f>IFERROR(INDEX('Master Stock'!$B$2:$B$100,MATCH(ROWS($A$9:A41),'Master Stock'!$N$2:$N$100,0)),"")</f>
        <v/>
      </c>
      <c r="D41" s="52">
        <f>IFERROR(INDEX('Master Stock'!$J$2:$J$100,MATCH(ROWS($A$9:A41),'Master Stock'!$N$2:$N$100,0)),"")</f>
        <v/>
      </c>
      <c r="E41" s="51">
        <f>IF(D41="","",MAX(0,TODAY()-(IF(ISNUMBER(D41),D41,IFERROR(DATE(2000+VALUE(RIGHT(D41,2)),VALUE(MID(D41,4,2)),VALUE(LEFT(D41,2))),"")))))</f>
        <v/>
      </c>
      <c r="F41" s="83" t="n"/>
      <c r="G41" s="49">
        <f>IFERROR(INDEX('Master Stock'!$C$2:$C$100,MATCH(ROWS($G$9:G41),'Master Stock'!$P$2:$P$100,0)),"")</f>
        <v/>
      </c>
      <c r="H41" s="49">
        <f>IFERROR(INDEX('Master Stock'!$D$2:$D$100,MATCH(ROWS($G$9:G41),'Master Stock'!$P$2:$P$100,0)),"")</f>
        <v/>
      </c>
      <c r="I41" s="52">
        <f>IFERROR(INDEX('Master Stock'!$J$2:$J$100,MATCH(ROWS($G$9:G41),'Master Stock'!$P$2:$P$100,0)),"")</f>
        <v/>
      </c>
      <c r="J41" s="51">
        <f>IF(I41="","",MAX(0,TODAY()-(IF(ISNUMBER(I41),I41,IFERROR(DATE(2000+VALUE(RIGHT(I41,2)),VALUE(MID(I41,4,2)),VALUE(LEFT(I41,2))),"")))))</f>
        <v/>
      </c>
      <c r="K41" s="92" t="n"/>
      <c r="L41" s="49">
        <f>IFERROR(INDEX('Master Stock'!$C$2:$C$100,AGGREGATE(15,6,(ROW('Master Stock'!$C$2:$C$100)-ROW('Master Stock'!$C$2)+1)/(('Master Stock'!$H$2:$H$100="OCCUPIED")*('Master Stock'!$J$2:$J$100&lt;&gt;"")*('Master Stock'!$K$2:$K$100="")*('Master Stock'!$J$2:$J$100&lt;TODAY()-30)),33)),"")</f>
        <v/>
      </c>
      <c r="M41" s="49">
        <f>IFERROR(INDEX('Master Stock'!$D$2:$D$100,AGGREGATE(15,6,(ROW('Master Stock'!$C$2:$C$100)-ROW('Master Stock'!$C$2)+1)/(('Master Stock'!$H$2:$H$100="OCCUPIED")*('Master Stock'!$J$2:$J$100&lt;&gt;"")*('Master Stock'!$K$2:$K$100="")*('Master Stock'!$J$2:$J$100&lt;TODAY()-30)),33)),"")</f>
        <v/>
      </c>
      <c r="N41" s="52">
        <f>IFERROR(INDEX('Master Stock'!$J$2:$J$100,AGGREGATE(15,6,(ROW('Master Stock'!$C$2:$C$100)-ROW('Master Stock'!$C$2)+1)/(('Master Stock'!$H$2:$H$100="OCCUPIED")*('Master Stock'!$J$2:$J$100&lt;&gt;"")*('Master Stock'!$K$2:$K$100="")*('Master Stock'!$J$2:$J$100&lt;TODAY()-30)),33)),"")</f>
        <v/>
      </c>
      <c r="O41" s="51">
        <f>IF(N41="","",MAX(0,TODAY()-(IF(ISNUMBER(N41),N41,IFERROR(DATE(2000+VALUE(RIGHT(N41,2)),VALUE(MID(N41,4,2)),VALUE(LEFT(N41,2))),"")))))</f>
        <v/>
      </c>
    </row>
    <row r="42" ht="15.75" customHeight="1" s="42">
      <c r="A42" s="49">
        <f>IFERROR(INDEX('Master Stock'!$C$2:$C$100,MATCH(ROWS($A$9:A42),'Master Stock'!$N$2:$N$100,0)),"")</f>
        <v/>
      </c>
      <c r="B42" s="49">
        <f>IFERROR(INDEX('Master Stock'!$D$2:$D$100,MATCH(ROWS($A$9:A42),'Master Stock'!$N$2:$N$100,0)),"")</f>
        <v/>
      </c>
      <c r="C42" s="52">
        <f>IFERROR(INDEX('Master Stock'!$B$2:$B$100,MATCH(ROWS($A$9:A42),'Master Stock'!$N$2:$N$100,0)),"")</f>
        <v/>
      </c>
      <c r="D42" s="52">
        <f>IFERROR(INDEX('Master Stock'!$J$2:$J$100,MATCH(ROWS($A$9:A42),'Master Stock'!$N$2:$N$100,0)),"")</f>
        <v/>
      </c>
      <c r="E42" s="51">
        <f>IF(D42="","",MAX(0,TODAY()-(IF(ISNUMBER(D42),D42,IFERROR(DATE(2000+VALUE(RIGHT(D42,2)),VALUE(MID(D42,4,2)),VALUE(LEFT(D42,2))),"")))))</f>
        <v/>
      </c>
      <c r="F42" s="83" t="n"/>
      <c r="G42" s="49">
        <f>IFERROR(INDEX('Master Stock'!$C$2:$C$100,MATCH(ROWS($G$9:G42),'Master Stock'!$P$2:$P$100,0)),"")</f>
        <v/>
      </c>
      <c r="H42" s="49">
        <f>IFERROR(INDEX('Master Stock'!$D$2:$D$100,MATCH(ROWS($G$9:G42),'Master Stock'!$P$2:$P$100,0)),"")</f>
        <v/>
      </c>
      <c r="I42" s="52">
        <f>IFERROR(INDEX('Master Stock'!$J$2:$J$100,MATCH(ROWS($G$9:G42),'Master Stock'!$P$2:$P$100,0)),"")</f>
        <v/>
      </c>
      <c r="J42" s="51">
        <f>IF(I42="","",MAX(0,TODAY()-(IF(ISNUMBER(I42),I42,IFERROR(DATE(2000+VALUE(RIGHT(I42,2)),VALUE(MID(I42,4,2)),VALUE(LEFT(I42,2))),"")))))</f>
        <v/>
      </c>
      <c r="K42" s="92" t="n"/>
      <c r="L42" s="49">
        <f>IFERROR(INDEX('Master Stock'!$C$2:$C$100,AGGREGATE(15,6,(ROW('Master Stock'!$C$2:$C$100)-ROW('Master Stock'!$C$2)+1)/(('Master Stock'!$H$2:$H$100="OCCUPIED")*('Master Stock'!$J$2:$J$100&lt;&gt;"")*('Master Stock'!$K$2:$K$100="")*('Master Stock'!$J$2:$J$100&lt;TODAY()-30)),34)),"")</f>
        <v/>
      </c>
      <c r="M42" s="49">
        <f>IFERROR(INDEX('Master Stock'!$D$2:$D$100,AGGREGATE(15,6,(ROW('Master Stock'!$C$2:$C$100)-ROW('Master Stock'!$C$2)+1)/(('Master Stock'!$H$2:$H$100="OCCUPIED")*('Master Stock'!$J$2:$J$100&lt;&gt;"")*('Master Stock'!$K$2:$K$100="")*('Master Stock'!$J$2:$J$100&lt;TODAY()-30)),34)),"")</f>
        <v/>
      </c>
      <c r="N42" s="52">
        <f>IFERROR(INDEX('Master Stock'!$J$2:$J$100,AGGREGATE(15,6,(ROW('Master Stock'!$C$2:$C$100)-ROW('Master Stock'!$C$2)+1)/(('Master Stock'!$H$2:$H$100="OCCUPIED")*('Master Stock'!$J$2:$J$100&lt;&gt;"")*('Master Stock'!$K$2:$K$100="")*('Master Stock'!$J$2:$J$100&lt;TODAY()-30)),34)),"")</f>
        <v/>
      </c>
      <c r="O42" s="51">
        <f>IF(N42="","",MAX(0,TODAY()-(IF(ISNUMBER(N42),N42,IFERROR(DATE(2000+VALUE(RIGHT(N42,2)),VALUE(MID(N42,4,2)),VALUE(LEFT(N42,2))),"")))))</f>
        <v/>
      </c>
    </row>
    <row r="43" ht="15.75" customHeight="1" s="42">
      <c r="A43" s="49">
        <f>IFERROR(INDEX('Master Stock'!$C$2:$C$100,MATCH(ROWS($A$9:A43),'Master Stock'!$N$2:$N$100,0)),"")</f>
        <v/>
      </c>
      <c r="B43" s="49">
        <f>IFERROR(INDEX('Master Stock'!$D$2:$D$100,MATCH(ROWS($A$9:A43),'Master Stock'!$N$2:$N$100,0)),"")</f>
        <v/>
      </c>
      <c r="C43" s="52">
        <f>IFERROR(INDEX('Master Stock'!$B$2:$B$100,MATCH(ROWS($A$9:A43),'Master Stock'!$N$2:$N$100,0)),"")</f>
        <v/>
      </c>
      <c r="D43" s="52">
        <f>IFERROR(INDEX('Master Stock'!$J$2:$J$100,MATCH(ROWS($A$9:A43),'Master Stock'!$N$2:$N$100,0)),"")</f>
        <v/>
      </c>
      <c r="E43" s="51">
        <f>IF(D43="","",MAX(0,TODAY()-(IF(ISNUMBER(D43),D43,IFERROR(DATE(2000+VALUE(RIGHT(D43,2)),VALUE(MID(D43,4,2)),VALUE(LEFT(D43,2))),"")))))</f>
        <v/>
      </c>
      <c r="F43" s="83" t="n"/>
      <c r="G43" s="49">
        <f>IFERROR(INDEX('Master Stock'!$C$2:$C$100,MATCH(ROWS($G$9:G43),'Master Stock'!$P$2:$P$100,0)),"")</f>
        <v/>
      </c>
      <c r="H43" s="49">
        <f>IFERROR(INDEX('Master Stock'!$D$2:$D$100,MATCH(ROWS($G$9:G43),'Master Stock'!$P$2:$P$100,0)),"")</f>
        <v/>
      </c>
      <c r="I43" s="52">
        <f>IFERROR(INDEX('Master Stock'!$J$2:$J$100,MATCH(ROWS($G$9:G43),'Master Stock'!$P$2:$P$100,0)),"")</f>
        <v/>
      </c>
      <c r="J43" s="51">
        <f>IF(I43="","",MAX(0,TODAY()-(IF(ISNUMBER(I43),I43,IFERROR(DATE(2000+VALUE(RIGHT(I43,2)),VALUE(MID(I43,4,2)),VALUE(LEFT(I43,2))),"")))))</f>
        <v/>
      </c>
      <c r="K43" s="92" t="n"/>
      <c r="L43" s="49">
        <f>IFERROR(INDEX('Master Stock'!$C$2:$C$100,AGGREGATE(15,6,(ROW('Master Stock'!$C$2:$C$100)-ROW('Master Stock'!$C$2)+1)/(('Master Stock'!$H$2:$H$100="OCCUPIED")*('Master Stock'!$J$2:$J$100&lt;&gt;"")*('Master Stock'!$K$2:$K$100="")*('Master Stock'!$J$2:$J$100&lt;TODAY()-30)),35)),"")</f>
        <v/>
      </c>
      <c r="M43" s="49">
        <f>IFERROR(INDEX('Master Stock'!$D$2:$D$100,AGGREGATE(15,6,(ROW('Master Stock'!$C$2:$C$100)-ROW('Master Stock'!$C$2)+1)/(('Master Stock'!$H$2:$H$100="OCCUPIED")*('Master Stock'!$J$2:$J$100&lt;&gt;"")*('Master Stock'!$K$2:$K$100="")*('Master Stock'!$J$2:$J$100&lt;TODAY()-30)),35)),"")</f>
        <v/>
      </c>
      <c r="N43" s="52">
        <f>IFERROR(INDEX('Master Stock'!$J$2:$J$100,AGGREGATE(15,6,(ROW('Master Stock'!$C$2:$C$100)-ROW('Master Stock'!$C$2)+1)/(('Master Stock'!$H$2:$H$100="OCCUPIED")*('Master Stock'!$J$2:$J$100&lt;&gt;"")*('Master Stock'!$K$2:$K$100="")*('Master Stock'!$J$2:$J$100&lt;TODAY()-30)),35)),"")</f>
        <v/>
      </c>
      <c r="O43" s="51">
        <f>IF(N43="","",MAX(0,TODAY()-(IF(ISNUMBER(N43),N43,IFERROR(DATE(2000+VALUE(RIGHT(N43,2)),VALUE(MID(N43,4,2)),VALUE(LEFT(N43,2))),"")))))</f>
        <v/>
      </c>
    </row>
    <row r="44" ht="15.75" customHeight="1" s="42">
      <c r="A44" s="49">
        <f>IFERROR(INDEX('Master Stock'!$C$2:$C$100,MATCH(ROWS($A$9:A44),'Master Stock'!$N$2:$N$100,0)),"")</f>
        <v/>
      </c>
      <c r="B44" s="49">
        <f>IFERROR(INDEX('Master Stock'!$D$2:$D$100,MATCH(ROWS($A$9:A44),'Master Stock'!$N$2:$N$100,0)),"")</f>
        <v/>
      </c>
      <c r="C44" s="52">
        <f>IFERROR(INDEX('Master Stock'!$B$2:$B$100,MATCH(ROWS($A$9:A44),'Master Stock'!$N$2:$N$100,0)),"")</f>
        <v/>
      </c>
      <c r="D44" s="52">
        <f>IFERROR(INDEX('Master Stock'!$J$2:$J$100,MATCH(ROWS($A$9:A44),'Master Stock'!$N$2:$N$100,0)),"")</f>
        <v/>
      </c>
      <c r="E44" s="51">
        <f>IF(D44="","",MAX(0,TODAY()-(IF(ISNUMBER(D44),D44,IFERROR(DATE(2000+VALUE(RIGHT(D44,2)),VALUE(MID(D44,4,2)),VALUE(LEFT(D44,2))),"")))))</f>
        <v/>
      </c>
      <c r="F44" s="83" t="n"/>
      <c r="G44" s="49">
        <f>IFERROR(INDEX('Master Stock'!$C$2:$C$100,MATCH(ROWS($G$9:G44),'Master Stock'!$P$2:$P$100,0)),"")</f>
        <v/>
      </c>
      <c r="H44" s="49">
        <f>IFERROR(INDEX('Master Stock'!$D$2:$D$100,MATCH(ROWS($G$9:G44),'Master Stock'!$P$2:$P$100,0)),"")</f>
        <v/>
      </c>
      <c r="I44" s="52">
        <f>IFERROR(INDEX('Master Stock'!$J$2:$J$100,MATCH(ROWS($G$9:G44),'Master Stock'!$P$2:$P$100,0)),"")</f>
        <v/>
      </c>
      <c r="J44" s="51">
        <f>IF(I44="","",MAX(0,TODAY()-(IF(ISNUMBER(I44),I44,IFERROR(DATE(2000+VALUE(RIGHT(I44,2)),VALUE(MID(I44,4,2)),VALUE(LEFT(I44,2))),"")))))</f>
        <v/>
      </c>
      <c r="K44" s="92" t="n"/>
      <c r="L44" s="49">
        <f>IFERROR(INDEX('Master Stock'!$C$2:$C$100,AGGREGATE(15,6,(ROW('Master Stock'!$C$2:$C$100)-ROW('Master Stock'!$C$2)+1)/(('Master Stock'!$H$2:$H$100="OCCUPIED")*('Master Stock'!$J$2:$J$100&lt;&gt;"")*('Master Stock'!$K$2:$K$100="")*('Master Stock'!$J$2:$J$100&lt;TODAY()-30)),36)),"")</f>
        <v/>
      </c>
      <c r="M44" s="49">
        <f>IFERROR(INDEX('Master Stock'!$D$2:$D$100,AGGREGATE(15,6,(ROW('Master Stock'!$C$2:$C$100)-ROW('Master Stock'!$C$2)+1)/(('Master Stock'!$H$2:$H$100="OCCUPIED")*('Master Stock'!$J$2:$J$100&lt;&gt;"")*('Master Stock'!$K$2:$K$100="")*('Master Stock'!$J$2:$J$100&lt;TODAY()-30)),36)),"")</f>
        <v/>
      </c>
      <c r="N44" s="52">
        <f>IFERROR(INDEX('Master Stock'!$J$2:$J$100,AGGREGATE(15,6,(ROW('Master Stock'!$C$2:$C$100)-ROW('Master Stock'!$C$2)+1)/(('Master Stock'!$H$2:$H$100="OCCUPIED")*('Master Stock'!$J$2:$J$100&lt;&gt;"")*('Master Stock'!$K$2:$K$100="")*('Master Stock'!$J$2:$J$100&lt;TODAY()-30)),36)),"")</f>
        <v/>
      </c>
      <c r="O44" s="51">
        <f>IF(N44="","",MAX(0,TODAY()-(IF(ISNUMBER(N44),N44,IFERROR(DATE(2000+VALUE(RIGHT(N44,2)),VALUE(MID(N44,4,2)),VALUE(LEFT(N44,2))),"")))))</f>
        <v/>
      </c>
    </row>
    <row r="45" ht="15.75" customHeight="1" s="42">
      <c r="A45" s="49">
        <f>IFERROR(INDEX('Master Stock'!$C$2:$C$100,MATCH(ROWS($A$9:A45),'Master Stock'!$N$2:$N$100,0)),"")</f>
        <v/>
      </c>
      <c r="B45" s="49">
        <f>IFERROR(INDEX('Master Stock'!$D$2:$D$100,MATCH(ROWS($A$9:A45),'Master Stock'!$N$2:$N$100,0)),"")</f>
        <v/>
      </c>
      <c r="C45" s="52">
        <f>IFERROR(INDEX('Master Stock'!$B$2:$B$100,MATCH(ROWS($A$9:A45),'Master Stock'!$N$2:$N$100,0)),"")</f>
        <v/>
      </c>
      <c r="D45" s="52">
        <f>IFERROR(INDEX('Master Stock'!$J$2:$J$100,MATCH(ROWS($A$9:A45),'Master Stock'!$N$2:$N$100,0)),"")</f>
        <v/>
      </c>
      <c r="E45" s="51">
        <f>IF(D45="","",MAX(0,TODAY()-(IF(ISNUMBER(D45),D45,IFERROR(DATE(2000+VALUE(RIGHT(D45,2)),VALUE(MID(D45,4,2)),VALUE(LEFT(D45,2))),"")))))</f>
        <v/>
      </c>
      <c r="F45" s="83" t="n"/>
      <c r="G45" s="49">
        <f>IFERROR(INDEX('Master Stock'!$C$2:$C$100,MATCH(ROWS($G$9:G45),'Master Stock'!$P$2:$P$100,0)),"")</f>
        <v/>
      </c>
      <c r="H45" s="49">
        <f>IFERROR(INDEX('Master Stock'!$D$2:$D$100,MATCH(ROWS($G$9:G45),'Master Stock'!$P$2:$P$100,0)),"")</f>
        <v/>
      </c>
      <c r="I45" s="52">
        <f>IFERROR(INDEX('Master Stock'!$J$2:$J$100,MATCH(ROWS($G$9:G45),'Master Stock'!$P$2:$P$100,0)),"")</f>
        <v/>
      </c>
      <c r="J45" s="51">
        <f>IF(I45="","",MAX(0,TODAY()-(IF(ISNUMBER(I45),I45,IFERROR(DATE(2000+VALUE(RIGHT(I45,2)),VALUE(MID(I45,4,2)),VALUE(LEFT(I45,2))),"")))))</f>
        <v/>
      </c>
      <c r="K45" s="92" t="n"/>
      <c r="L45" s="49">
        <f>IFERROR(INDEX('Master Stock'!$C$2:$C$100,AGGREGATE(15,6,(ROW('Master Stock'!$C$2:$C$100)-ROW('Master Stock'!$C$2)+1)/(('Master Stock'!$H$2:$H$100="OCCUPIED")*('Master Stock'!$J$2:$J$100&lt;&gt;"")*('Master Stock'!$K$2:$K$100="")*('Master Stock'!$J$2:$J$100&lt;TODAY()-30)),37)),"")</f>
        <v/>
      </c>
      <c r="M45" s="49">
        <f>IFERROR(INDEX('Master Stock'!$D$2:$D$100,AGGREGATE(15,6,(ROW('Master Stock'!$C$2:$C$100)-ROW('Master Stock'!$C$2)+1)/(('Master Stock'!$H$2:$H$100="OCCUPIED")*('Master Stock'!$J$2:$J$100&lt;&gt;"")*('Master Stock'!$K$2:$K$100="")*('Master Stock'!$J$2:$J$100&lt;TODAY()-30)),37)),"")</f>
        <v/>
      </c>
      <c r="N45" s="52">
        <f>IFERROR(INDEX('Master Stock'!$J$2:$J$100,AGGREGATE(15,6,(ROW('Master Stock'!$C$2:$C$100)-ROW('Master Stock'!$C$2)+1)/(('Master Stock'!$H$2:$H$100="OCCUPIED")*('Master Stock'!$J$2:$J$100&lt;&gt;"")*('Master Stock'!$K$2:$K$100="")*('Master Stock'!$J$2:$J$100&lt;TODAY()-30)),37)),"")</f>
        <v/>
      </c>
      <c r="O45" s="51">
        <f>IF(N45="","",MAX(0,TODAY()-(IF(ISNUMBER(N45),N45,IFERROR(DATE(2000+VALUE(RIGHT(N45,2)),VALUE(MID(N45,4,2)),VALUE(LEFT(N45,2))),"")))))</f>
        <v/>
      </c>
    </row>
    <row r="46" ht="15.75" customHeight="1" s="42">
      <c r="A46" s="49">
        <f>IFERROR(INDEX('Master Stock'!$C$2:$C$100,MATCH(ROWS($A$9:A46),'Master Stock'!$N$2:$N$100,0)),"")</f>
        <v/>
      </c>
      <c r="B46" s="49">
        <f>IFERROR(INDEX('Master Stock'!$D$2:$D$100,MATCH(ROWS($A$9:A46),'Master Stock'!$N$2:$N$100,0)),"")</f>
        <v/>
      </c>
      <c r="C46" s="52">
        <f>IFERROR(INDEX('Master Stock'!$B$2:$B$100,MATCH(ROWS($A$9:A46),'Master Stock'!$N$2:$N$100,0)),"")</f>
        <v/>
      </c>
      <c r="D46" s="52">
        <f>IFERROR(INDEX('Master Stock'!$J$2:$J$100,MATCH(ROWS($A$9:A46),'Master Stock'!$N$2:$N$100,0)),"")</f>
        <v/>
      </c>
      <c r="E46" s="51">
        <f>IF(D46="","",MAX(0,TODAY()-(IF(ISNUMBER(D46),D46,IFERROR(DATE(2000+VALUE(RIGHT(D46,2)),VALUE(MID(D46,4,2)),VALUE(LEFT(D46,2))),"")))))</f>
        <v/>
      </c>
      <c r="F46" s="83" t="n"/>
      <c r="G46" s="49">
        <f>IFERROR(INDEX('Master Stock'!$C$2:$C$100,MATCH(ROWS($G$9:G46),'Master Stock'!$P$2:$P$100,0)),"")</f>
        <v/>
      </c>
      <c r="H46" s="49">
        <f>IFERROR(INDEX('Master Stock'!$D$2:$D$100,MATCH(ROWS($G$9:G46),'Master Stock'!$P$2:$P$100,0)),"")</f>
        <v/>
      </c>
      <c r="I46" s="52">
        <f>IFERROR(INDEX('Master Stock'!$J$2:$J$100,MATCH(ROWS($G$9:G46),'Master Stock'!$P$2:$P$100,0)),"")</f>
        <v/>
      </c>
      <c r="J46" s="51">
        <f>IF(I46="","",MAX(0,TODAY()-(IF(ISNUMBER(I46),I46,IFERROR(DATE(2000+VALUE(RIGHT(I46,2)),VALUE(MID(I46,4,2)),VALUE(LEFT(I46,2))),"")))))</f>
        <v/>
      </c>
      <c r="K46" s="92" t="n"/>
      <c r="L46" s="49">
        <f>IFERROR(INDEX('Master Stock'!$C$2:$C$100,AGGREGATE(15,6,(ROW('Master Stock'!$C$2:$C$100)-ROW('Master Stock'!$C$2)+1)/(('Master Stock'!$H$2:$H$100="OCCUPIED")*('Master Stock'!$J$2:$J$100&lt;&gt;"")*('Master Stock'!$K$2:$K$100="")*('Master Stock'!$J$2:$J$100&lt;TODAY()-30)),38)),"")</f>
        <v/>
      </c>
      <c r="M46" s="49">
        <f>IFERROR(INDEX('Master Stock'!$D$2:$D$100,AGGREGATE(15,6,(ROW('Master Stock'!$C$2:$C$100)-ROW('Master Stock'!$C$2)+1)/(('Master Stock'!$H$2:$H$100="OCCUPIED")*('Master Stock'!$J$2:$J$100&lt;&gt;"")*('Master Stock'!$K$2:$K$100="")*('Master Stock'!$J$2:$J$100&lt;TODAY()-30)),38)),"")</f>
        <v/>
      </c>
      <c r="N46" s="52">
        <f>IFERROR(INDEX('Master Stock'!$J$2:$J$100,AGGREGATE(15,6,(ROW('Master Stock'!$C$2:$C$100)-ROW('Master Stock'!$C$2)+1)/(('Master Stock'!$H$2:$H$100="OCCUPIED")*('Master Stock'!$J$2:$J$100&lt;&gt;"")*('Master Stock'!$K$2:$K$100="")*('Master Stock'!$J$2:$J$100&lt;TODAY()-30)),38)),"")</f>
        <v/>
      </c>
      <c r="O46" s="51">
        <f>IF(N46="","",MAX(0,TODAY()-(IF(ISNUMBER(N46),N46,IFERROR(DATE(2000+VALUE(RIGHT(N46,2)),VALUE(MID(N46,4,2)),VALUE(LEFT(N46,2))),"")))))</f>
        <v/>
      </c>
    </row>
    <row r="47" ht="15.75" customHeight="1" s="42">
      <c r="A47" s="49">
        <f>IFERROR(INDEX('Master Stock'!$C$2:$C$100,MATCH(ROWS($A$9:A47),'Master Stock'!$N$2:$N$100,0)),"")</f>
        <v/>
      </c>
      <c r="B47" s="49">
        <f>IFERROR(INDEX('Master Stock'!$D$2:$D$100,MATCH(ROWS($A$9:A47),'Master Stock'!$N$2:$N$100,0)),"")</f>
        <v/>
      </c>
      <c r="C47" s="52">
        <f>IFERROR(INDEX('Master Stock'!$B$2:$B$100,MATCH(ROWS($A$9:A47),'Master Stock'!$N$2:$N$100,0)),"")</f>
        <v/>
      </c>
      <c r="D47" s="52">
        <f>IFERROR(INDEX('Master Stock'!$J$2:$J$100,MATCH(ROWS($A$9:A47),'Master Stock'!$N$2:$N$100,0)),"")</f>
        <v/>
      </c>
      <c r="E47" s="51">
        <f>IF(D47="","",MAX(0,TODAY()-(IF(ISNUMBER(D47),D47,IFERROR(DATE(2000+VALUE(RIGHT(D47,2)),VALUE(MID(D47,4,2)),VALUE(LEFT(D47,2))),"")))))</f>
        <v/>
      </c>
      <c r="F47" s="83" t="n"/>
      <c r="G47" s="49">
        <f>IFERROR(INDEX('Master Stock'!$C$2:$C$100,MATCH(ROWS($G$9:G47),'Master Stock'!$P$2:$P$100,0)),"")</f>
        <v/>
      </c>
      <c r="H47" s="49">
        <f>IFERROR(INDEX('Master Stock'!$D$2:$D$100,MATCH(ROWS($G$9:G47),'Master Stock'!$P$2:$P$100,0)),"")</f>
        <v/>
      </c>
      <c r="I47" s="52">
        <f>IFERROR(INDEX('Master Stock'!$J$2:$J$100,MATCH(ROWS($G$9:G47),'Master Stock'!$P$2:$P$100,0)),"")</f>
        <v/>
      </c>
      <c r="J47" s="51">
        <f>IF(I47="","",MAX(0,TODAY()-(IF(ISNUMBER(I47),I47,IFERROR(DATE(2000+VALUE(RIGHT(I47,2)),VALUE(MID(I47,4,2)),VALUE(LEFT(I47,2))),"")))))</f>
        <v/>
      </c>
      <c r="K47" s="92" t="n"/>
      <c r="L47" s="49">
        <f>IFERROR(INDEX('Master Stock'!$C$2:$C$100,AGGREGATE(15,6,(ROW('Master Stock'!$C$2:$C$100)-ROW('Master Stock'!$C$2)+1)/(('Master Stock'!$H$2:$H$100="OCCUPIED")*('Master Stock'!$J$2:$J$100&lt;&gt;"")*('Master Stock'!$K$2:$K$100="")*('Master Stock'!$J$2:$J$100&lt;TODAY()-30)),39)),"")</f>
        <v/>
      </c>
      <c r="M47" s="49">
        <f>IFERROR(INDEX('Master Stock'!$D$2:$D$100,AGGREGATE(15,6,(ROW('Master Stock'!$C$2:$C$100)-ROW('Master Stock'!$C$2)+1)/(('Master Stock'!$H$2:$H$100="OCCUPIED")*('Master Stock'!$J$2:$J$100&lt;&gt;"")*('Master Stock'!$K$2:$K$100="")*('Master Stock'!$J$2:$J$100&lt;TODAY()-30)),39)),"")</f>
        <v/>
      </c>
      <c r="N47" s="52">
        <f>IFERROR(INDEX('Master Stock'!$J$2:$J$100,AGGREGATE(15,6,(ROW('Master Stock'!$C$2:$C$100)-ROW('Master Stock'!$C$2)+1)/(('Master Stock'!$H$2:$H$100="OCCUPIED")*('Master Stock'!$J$2:$J$100&lt;&gt;"")*('Master Stock'!$K$2:$K$100="")*('Master Stock'!$J$2:$J$100&lt;TODAY()-30)),39)),"")</f>
        <v/>
      </c>
      <c r="O47" s="51">
        <f>IF(N47="","",MAX(0,TODAY()-(IF(ISNUMBER(N47),N47,IFERROR(DATE(2000+VALUE(RIGHT(N47,2)),VALUE(MID(N47,4,2)),VALUE(LEFT(N47,2))),"")))))</f>
        <v/>
      </c>
    </row>
    <row r="48" ht="15.75" customHeight="1" s="42">
      <c r="A48" s="49">
        <f>IFERROR(INDEX('Master Stock'!$C$2:$C$100,MATCH(ROWS($A$9:A48),'Master Stock'!$N$2:$N$100,0)),"")</f>
        <v/>
      </c>
      <c r="B48" s="49">
        <f>IFERROR(INDEX('Master Stock'!$D$2:$D$100,MATCH(ROWS($A$9:A48),'Master Stock'!$N$2:$N$100,0)),"")</f>
        <v/>
      </c>
      <c r="C48" s="52">
        <f>IFERROR(INDEX('Master Stock'!$B$2:$B$100,MATCH(ROWS($A$9:A48),'Master Stock'!$N$2:$N$100,0)),"")</f>
        <v/>
      </c>
      <c r="D48" s="52">
        <f>IFERROR(INDEX('Master Stock'!$J$2:$J$100,MATCH(ROWS($A$9:A48),'Master Stock'!$N$2:$N$100,0)),"")</f>
        <v/>
      </c>
      <c r="E48" s="51">
        <f>IF(D48="","",MAX(0,TODAY()-(IF(ISNUMBER(D48),D48,IFERROR(DATE(2000+VALUE(RIGHT(D48,2)),VALUE(MID(D48,4,2)),VALUE(LEFT(D48,2))),"")))))</f>
        <v/>
      </c>
      <c r="F48" s="83" t="n"/>
      <c r="G48" s="49">
        <f>IFERROR(INDEX('Master Stock'!$C$2:$C$100,MATCH(ROWS($G$9:G48),'Master Stock'!$P$2:$P$100,0)),"")</f>
        <v/>
      </c>
      <c r="H48" s="49">
        <f>IFERROR(INDEX('Master Stock'!$D$2:$D$100,MATCH(ROWS($G$9:G48),'Master Stock'!$P$2:$P$100,0)),"")</f>
        <v/>
      </c>
      <c r="I48" s="52">
        <f>IFERROR(INDEX('Master Stock'!$J$2:$J$100,MATCH(ROWS($G$9:G48),'Master Stock'!$P$2:$P$100,0)),"")</f>
        <v/>
      </c>
      <c r="J48" s="51">
        <f>IF(I48="","",MAX(0,TODAY()-(IF(ISNUMBER(I48),I48,IFERROR(DATE(2000+VALUE(RIGHT(I48,2)),VALUE(MID(I48,4,2)),VALUE(LEFT(I48,2))),"")))))</f>
        <v/>
      </c>
      <c r="K48" s="92" t="n"/>
      <c r="L48" s="49">
        <f>IFERROR(INDEX('Master Stock'!$C$2:$C$100,AGGREGATE(15,6,(ROW('Master Stock'!$C$2:$C$100)-ROW('Master Stock'!$C$2)+1)/(('Master Stock'!$H$2:$H$100="OCCUPIED")*('Master Stock'!$J$2:$J$100&lt;&gt;"")*('Master Stock'!$K$2:$K$100="")*('Master Stock'!$J$2:$J$100&lt;TODAY()-30)),40)),"")</f>
        <v/>
      </c>
      <c r="M48" s="49">
        <f>IFERROR(INDEX('Master Stock'!$D$2:$D$100,AGGREGATE(15,6,(ROW('Master Stock'!$C$2:$C$100)-ROW('Master Stock'!$C$2)+1)/(('Master Stock'!$H$2:$H$100="OCCUPIED")*('Master Stock'!$J$2:$J$100&lt;&gt;"")*('Master Stock'!$K$2:$K$100="")*('Master Stock'!$J$2:$J$100&lt;TODAY()-30)),40)),"")</f>
        <v/>
      </c>
      <c r="N48" s="52">
        <f>IFERROR(INDEX('Master Stock'!$J$2:$J$100,AGGREGATE(15,6,(ROW('Master Stock'!$C$2:$C$100)-ROW('Master Stock'!$C$2)+1)/(('Master Stock'!$H$2:$H$100="OCCUPIED")*('Master Stock'!$J$2:$J$100&lt;&gt;"")*('Master Stock'!$K$2:$K$100="")*('Master Stock'!$J$2:$J$100&lt;TODAY()-30)),40)),"")</f>
        <v/>
      </c>
      <c r="O48" s="51">
        <f>IF(N48="","",MAX(0,TODAY()-(IF(ISNUMBER(N48),N48,IFERROR(DATE(2000+VALUE(RIGHT(N48,2)),VALUE(MID(N48,4,2)),VALUE(LEFT(N48,2))),"")))))</f>
        <v/>
      </c>
    </row>
    <row r="49" ht="15.75" customHeight="1" s="42">
      <c r="A49" s="49">
        <f>IFERROR(INDEX('Master Stock'!$C$2:$C$100,MATCH(ROWS($A$9:A49),'Master Stock'!$N$2:$N$100,0)),"")</f>
        <v/>
      </c>
      <c r="B49" s="49">
        <f>IFERROR(INDEX('Master Stock'!$D$2:$D$100,MATCH(ROWS($A$9:A49),'Master Stock'!$N$2:$N$100,0)),"")</f>
        <v/>
      </c>
      <c r="C49" s="52">
        <f>IFERROR(INDEX('Master Stock'!$B$2:$B$100,MATCH(ROWS($A$9:A49),'Master Stock'!$N$2:$N$100,0)),"")</f>
        <v/>
      </c>
      <c r="D49" s="52">
        <f>IFERROR(INDEX('Master Stock'!$J$2:$J$100,MATCH(ROWS($A$9:A49),'Master Stock'!$N$2:$N$100,0)),"")</f>
        <v/>
      </c>
      <c r="E49" s="51">
        <f>IF(D49="","",MAX(0,TODAY()-(IF(ISNUMBER(D49),D49,IFERROR(DATE(2000+VALUE(RIGHT(D49,2)),VALUE(MID(D49,4,2)),VALUE(LEFT(D49,2))),"")))))</f>
        <v/>
      </c>
      <c r="F49" s="83" t="n"/>
      <c r="G49" s="49">
        <f>IFERROR(INDEX('Master Stock'!$C$2:$C$100,MATCH(ROWS($G$9:G49),'Master Stock'!$P$2:$P$100,0)),"")</f>
        <v/>
      </c>
      <c r="H49" s="49">
        <f>IFERROR(INDEX('Master Stock'!$D$2:$D$100,MATCH(ROWS($G$9:G49),'Master Stock'!$P$2:$P$100,0)),"")</f>
        <v/>
      </c>
      <c r="I49" s="52">
        <f>IFERROR(INDEX('Master Stock'!$J$2:$J$100,MATCH(ROWS($G$9:G49),'Master Stock'!$P$2:$P$100,0)),"")</f>
        <v/>
      </c>
      <c r="J49" s="51">
        <f>IF(I49="","",MAX(0,TODAY()-(IF(ISNUMBER(I49),I49,IFERROR(DATE(2000+VALUE(RIGHT(I49,2)),VALUE(MID(I49,4,2)),VALUE(LEFT(I49,2))),"")))))</f>
        <v/>
      </c>
      <c r="K49" s="92" t="n"/>
      <c r="L49" s="49">
        <f>IFERROR(INDEX('Master Stock'!$C$2:$C$100,AGGREGATE(15,6,(ROW('Master Stock'!$C$2:$C$100)-ROW('Master Stock'!$C$2)+1)/(('Master Stock'!$H$2:$H$100="OCCUPIED")*('Master Stock'!$J$2:$J$100&lt;&gt;"")*('Master Stock'!$K$2:$K$100="")*('Master Stock'!$J$2:$J$100&lt;TODAY()-30)),41)),"")</f>
        <v/>
      </c>
      <c r="M49" s="49">
        <f>IFERROR(INDEX('Master Stock'!$D$2:$D$100,AGGREGATE(15,6,(ROW('Master Stock'!$C$2:$C$100)-ROW('Master Stock'!$C$2)+1)/(('Master Stock'!$H$2:$H$100="OCCUPIED")*('Master Stock'!$J$2:$J$100&lt;&gt;"")*('Master Stock'!$K$2:$K$100="")*('Master Stock'!$J$2:$J$100&lt;TODAY()-30)),41)),"")</f>
        <v/>
      </c>
      <c r="N49" s="52">
        <f>IFERROR(INDEX('Master Stock'!$J$2:$J$100,AGGREGATE(15,6,(ROW('Master Stock'!$C$2:$C$100)-ROW('Master Stock'!$C$2)+1)/(('Master Stock'!$H$2:$H$100="OCCUPIED")*('Master Stock'!$J$2:$J$100&lt;&gt;"")*('Master Stock'!$K$2:$K$100="")*('Master Stock'!$J$2:$J$100&lt;TODAY()-30)),41)),"")</f>
        <v/>
      </c>
      <c r="O49" s="51">
        <f>IF(N49="","",MAX(0,TODAY()-(IF(ISNUMBER(N49),N49,IFERROR(DATE(2000+VALUE(RIGHT(N49,2)),VALUE(MID(N49,4,2)),VALUE(LEFT(N49,2))),"")))))</f>
        <v/>
      </c>
    </row>
    <row r="50" ht="15.75" customHeight="1" s="42">
      <c r="A50" s="49">
        <f>IFERROR(INDEX('Master Stock'!$C$2:$C$100,MATCH(ROWS($A$9:A50),'Master Stock'!$N$2:$N$100,0)),"")</f>
        <v/>
      </c>
      <c r="B50" s="49">
        <f>IFERROR(INDEX('Master Stock'!$D$2:$D$100,MATCH(ROWS($A$9:A50),'Master Stock'!$N$2:$N$100,0)),"")</f>
        <v/>
      </c>
      <c r="C50" s="52">
        <f>IFERROR(INDEX('Master Stock'!$B$2:$B$100,MATCH(ROWS($A$9:A50),'Master Stock'!$N$2:$N$100,0)),"")</f>
        <v/>
      </c>
      <c r="D50" s="52">
        <f>IFERROR(INDEX('Master Stock'!$J$2:$J$100,MATCH(ROWS($A$9:A50),'Master Stock'!$N$2:$N$100,0)),"")</f>
        <v/>
      </c>
      <c r="E50" s="51">
        <f>IF(D50="","",MAX(0,TODAY()-(IF(ISNUMBER(D50),D50,IFERROR(DATE(2000+VALUE(RIGHT(D50,2)),VALUE(MID(D50,4,2)),VALUE(LEFT(D50,2))),"")))))</f>
        <v/>
      </c>
      <c r="F50" s="83" t="n"/>
      <c r="G50" s="49">
        <f>IFERROR(INDEX('Master Stock'!$C$2:$C$100,MATCH(ROWS($G$9:G50),'Master Stock'!$P$2:$P$100,0)),"")</f>
        <v/>
      </c>
      <c r="H50" s="49">
        <f>IFERROR(INDEX('Master Stock'!$D$2:$D$100,MATCH(ROWS($G$9:G50),'Master Stock'!$P$2:$P$100,0)),"")</f>
        <v/>
      </c>
      <c r="I50" s="52">
        <f>IFERROR(INDEX('Master Stock'!$J$2:$J$100,MATCH(ROWS($G$9:G50),'Master Stock'!$P$2:$P$100,0)),"")</f>
        <v/>
      </c>
      <c r="J50" s="51">
        <f>IF(I50="","",MAX(0,TODAY()-(IF(ISNUMBER(I50),I50,IFERROR(DATE(2000+VALUE(RIGHT(I50,2)),VALUE(MID(I50,4,2)),VALUE(LEFT(I50,2))),"")))))</f>
        <v/>
      </c>
      <c r="K50" s="92" t="n"/>
      <c r="L50" s="49">
        <f>IFERROR(INDEX('Master Stock'!$C$2:$C$100,AGGREGATE(15,6,(ROW('Master Stock'!$C$2:$C$100)-ROW('Master Stock'!$C$2)+1)/(('Master Stock'!$H$2:$H$100="OCCUPIED")*('Master Stock'!$J$2:$J$100&lt;&gt;"")*('Master Stock'!$K$2:$K$100="")*('Master Stock'!$J$2:$J$100&lt;TODAY()-30)),42)),"")</f>
        <v/>
      </c>
      <c r="M50" s="49">
        <f>IFERROR(INDEX('Master Stock'!$D$2:$D$100,AGGREGATE(15,6,(ROW('Master Stock'!$C$2:$C$100)-ROW('Master Stock'!$C$2)+1)/(('Master Stock'!$H$2:$H$100="OCCUPIED")*('Master Stock'!$J$2:$J$100&lt;&gt;"")*('Master Stock'!$K$2:$K$100="")*('Master Stock'!$J$2:$J$100&lt;TODAY()-30)),42)),"")</f>
        <v/>
      </c>
      <c r="N50" s="52">
        <f>IFERROR(INDEX('Master Stock'!$J$2:$J$100,AGGREGATE(15,6,(ROW('Master Stock'!$C$2:$C$100)-ROW('Master Stock'!$C$2)+1)/(('Master Stock'!$H$2:$H$100="OCCUPIED")*('Master Stock'!$J$2:$J$100&lt;&gt;"")*('Master Stock'!$K$2:$K$100="")*('Master Stock'!$J$2:$J$100&lt;TODAY()-30)),42)),"")</f>
        <v/>
      </c>
      <c r="O50" s="51">
        <f>IF(N50="","",MAX(0,TODAY()-(IF(ISNUMBER(N50),N50,IFERROR(DATE(2000+VALUE(RIGHT(N50,2)),VALUE(MID(N50,4,2)),VALUE(LEFT(N50,2))),"")))))</f>
        <v/>
      </c>
    </row>
    <row r="51" ht="15.75" customHeight="1" s="42">
      <c r="A51" s="49">
        <f>IFERROR(INDEX('Master Stock'!$C$2:$C$100,MATCH(ROWS($A$9:A51),'Master Stock'!$N$2:$N$100,0)),"")</f>
        <v/>
      </c>
      <c r="B51" s="49">
        <f>IFERROR(INDEX('Master Stock'!$D$2:$D$100,MATCH(ROWS($A$9:A51),'Master Stock'!$N$2:$N$100,0)),"")</f>
        <v/>
      </c>
      <c r="C51" s="52">
        <f>IFERROR(INDEX('Master Stock'!$B$2:$B$100,MATCH(ROWS($A$9:A51),'Master Stock'!$N$2:$N$100,0)),"")</f>
        <v/>
      </c>
      <c r="D51" s="52">
        <f>IFERROR(INDEX('Master Stock'!$J$2:$J$100,MATCH(ROWS($A$9:A51),'Master Stock'!$N$2:$N$100,0)),"")</f>
        <v/>
      </c>
      <c r="E51" s="51">
        <f>IF(D51="","",MAX(0,TODAY()-(IF(ISNUMBER(D51),D51,IFERROR(DATE(2000+VALUE(RIGHT(D51,2)),VALUE(MID(D51,4,2)),VALUE(LEFT(D51,2))),"")))))</f>
        <v/>
      </c>
      <c r="F51" s="83" t="n"/>
      <c r="G51" s="49">
        <f>IFERROR(INDEX('Master Stock'!$C$2:$C$100,MATCH(ROWS($G$9:G51),'Master Stock'!$P$2:$P$100,0)),"")</f>
        <v/>
      </c>
      <c r="H51" s="49">
        <f>IFERROR(INDEX('Master Stock'!$D$2:$D$100,MATCH(ROWS($G$9:G51),'Master Stock'!$P$2:$P$100,0)),"")</f>
        <v/>
      </c>
      <c r="I51" s="52">
        <f>IFERROR(INDEX('Master Stock'!$J$2:$J$100,MATCH(ROWS($G$9:G51),'Master Stock'!$P$2:$P$100,0)),"")</f>
        <v/>
      </c>
      <c r="J51" s="51">
        <f>IF(I51="","",MAX(0,TODAY()-(IF(ISNUMBER(I51),I51,IFERROR(DATE(2000+VALUE(RIGHT(I51,2)),VALUE(MID(I51,4,2)),VALUE(LEFT(I51,2))),"")))))</f>
        <v/>
      </c>
      <c r="K51" s="92" t="n"/>
      <c r="L51" s="49">
        <f>IFERROR(INDEX('Master Stock'!$C$2:$C$100,AGGREGATE(15,6,(ROW('Master Stock'!$C$2:$C$100)-ROW('Master Stock'!$C$2)+1)/(('Master Stock'!$H$2:$H$100="OCCUPIED")*('Master Stock'!$J$2:$J$100&lt;&gt;"")*('Master Stock'!$K$2:$K$100="")*('Master Stock'!$J$2:$J$100&lt;TODAY()-30)),43)),"")</f>
        <v/>
      </c>
      <c r="M51" s="49">
        <f>IFERROR(INDEX('Master Stock'!$D$2:$D$100,AGGREGATE(15,6,(ROW('Master Stock'!$C$2:$C$100)-ROW('Master Stock'!$C$2)+1)/(('Master Stock'!$H$2:$H$100="OCCUPIED")*('Master Stock'!$J$2:$J$100&lt;&gt;"")*('Master Stock'!$K$2:$K$100="")*('Master Stock'!$J$2:$J$100&lt;TODAY()-30)),43)),"")</f>
        <v/>
      </c>
      <c r="N51" s="52">
        <f>IFERROR(INDEX('Master Stock'!$J$2:$J$100,AGGREGATE(15,6,(ROW('Master Stock'!$C$2:$C$100)-ROW('Master Stock'!$C$2)+1)/(('Master Stock'!$H$2:$H$100="OCCUPIED")*('Master Stock'!$J$2:$J$100&lt;&gt;"")*('Master Stock'!$K$2:$K$100="")*('Master Stock'!$J$2:$J$100&lt;TODAY()-30)),43)),"")</f>
        <v/>
      </c>
      <c r="O51" s="51">
        <f>IF(N51="","",MAX(0,TODAY()-(IF(ISNUMBER(N51),N51,IFERROR(DATE(2000+VALUE(RIGHT(N51,2)),VALUE(MID(N51,4,2)),VALUE(LEFT(N51,2))),"")))))</f>
        <v/>
      </c>
    </row>
    <row r="52" ht="15.75" customHeight="1" s="42">
      <c r="A52" s="49">
        <f>IFERROR(INDEX('Master Stock'!$C$2:$C$100,MATCH(ROWS($A$9:A52),'Master Stock'!$N$2:$N$100,0)),"")</f>
        <v/>
      </c>
      <c r="B52" s="49">
        <f>IFERROR(INDEX('Master Stock'!$D$2:$D$100,MATCH(ROWS($A$9:A52),'Master Stock'!$N$2:$N$100,0)),"")</f>
        <v/>
      </c>
      <c r="C52" s="52">
        <f>IFERROR(INDEX('Master Stock'!$B$2:$B$100,MATCH(ROWS($A$9:A52),'Master Stock'!$N$2:$N$100,0)),"")</f>
        <v/>
      </c>
      <c r="D52" s="52">
        <f>IFERROR(INDEX('Master Stock'!$J$2:$J$100,MATCH(ROWS($A$9:A52),'Master Stock'!$N$2:$N$100,0)),"")</f>
        <v/>
      </c>
      <c r="E52" s="51">
        <f>IF(D52="","",MAX(0,TODAY()-(IF(ISNUMBER(D52),D52,IFERROR(DATE(2000+VALUE(RIGHT(D52,2)),VALUE(MID(D52,4,2)),VALUE(LEFT(D52,2))),"")))))</f>
        <v/>
      </c>
      <c r="F52" s="83" t="n"/>
      <c r="G52" s="49">
        <f>IFERROR(INDEX('Master Stock'!$C$2:$C$100,MATCH(ROWS($G$9:G52),'Master Stock'!$P$2:$P$100,0)),"")</f>
        <v/>
      </c>
      <c r="H52" s="49">
        <f>IFERROR(INDEX('Master Stock'!$D$2:$D$100,MATCH(ROWS($G$9:G52),'Master Stock'!$P$2:$P$100,0)),"")</f>
        <v/>
      </c>
      <c r="I52" s="52">
        <f>IFERROR(INDEX('Master Stock'!$J$2:$J$100,MATCH(ROWS($G$9:G52),'Master Stock'!$P$2:$P$100,0)),"")</f>
        <v/>
      </c>
      <c r="J52" s="51">
        <f>IF(I52="","",MAX(0,TODAY()-(IF(ISNUMBER(I52),I52,IFERROR(DATE(2000+VALUE(RIGHT(I52,2)),VALUE(MID(I52,4,2)),VALUE(LEFT(I52,2))),"")))))</f>
        <v/>
      </c>
      <c r="K52" s="92" t="n"/>
      <c r="L52" s="49">
        <f>IFERROR(INDEX('Master Stock'!$C$2:$C$100,AGGREGATE(15,6,(ROW('Master Stock'!$C$2:$C$100)-ROW('Master Stock'!$C$2)+1)/(('Master Stock'!$H$2:$H$100="OCCUPIED")*('Master Stock'!$J$2:$J$100&lt;&gt;"")*('Master Stock'!$K$2:$K$100="")*('Master Stock'!$J$2:$J$100&lt;TODAY()-30)),44)),"")</f>
        <v/>
      </c>
      <c r="M52" s="49">
        <f>IFERROR(INDEX('Master Stock'!$D$2:$D$100,AGGREGATE(15,6,(ROW('Master Stock'!$C$2:$C$100)-ROW('Master Stock'!$C$2)+1)/(('Master Stock'!$H$2:$H$100="OCCUPIED")*('Master Stock'!$J$2:$J$100&lt;&gt;"")*('Master Stock'!$K$2:$K$100="")*('Master Stock'!$J$2:$J$100&lt;TODAY()-30)),44)),"")</f>
        <v/>
      </c>
      <c r="N52" s="52">
        <f>IFERROR(INDEX('Master Stock'!$J$2:$J$100,AGGREGATE(15,6,(ROW('Master Stock'!$C$2:$C$100)-ROW('Master Stock'!$C$2)+1)/(('Master Stock'!$H$2:$H$100="OCCUPIED")*('Master Stock'!$J$2:$J$100&lt;&gt;"")*('Master Stock'!$K$2:$K$100="")*('Master Stock'!$J$2:$J$100&lt;TODAY()-30)),44)),"")</f>
        <v/>
      </c>
      <c r="O52" s="51">
        <f>IF(N52="","",MAX(0,TODAY()-(IF(ISNUMBER(N52),N52,IFERROR(DATE(2000+VALUE(RIGHT(N52,2)),VALUE(MID(N52,4,2)),VALUE(LEFT(N52,2))),"")))))</f>
        <v/>
      </c>
    </row>
    <row r="53" ht="15.75" customHeight="1" s="42">
      <c r="A53" s="49">
        <f>IFERROR(INDEX('Master Stock'!$C$2:$C$100,MATCH(ROWS($A$9:A53),'Master Stock'!$N$2:$N$100,0)),"")</f>
        <v/>
      </c>
      <c r="B53" s="49">
        <f>IFERROR(INDEX('Master Stock'!$D$2:$D$100,MATCH(ROWS($A$9:A53),'Master Stock'!$N$2:$N$100,0)),"")</f>
        <v/>
      </c>
      <c r="C53" s="52">
        <f>IFERROR(INDEX('Master Stock'!$B$2:$B$100,MATCH(ROWS($A$9:A53),'Master Stock'!$N$2:$N$100,0)),"")</f>
        <v/>
      </c>
      <c r="D53" s="52">
        <f>IFERROR(INDEX('Master Stock'!$J$2:$J$100,MATCH(ROWS($A$9:A53),'Master Stock'!$N$2:$N$100,0)),"")</f>
        <v/>
      </c>
      <c r="E53" s="51">
        <f>IF(D53="","",MAX(0,TODAY()-(IF(ISNUMBER(D53),D53,IFERROR(DATE(2000+VALUE(RIGHT(D53,2)),VALUE(MID(D53,4,2)),VALUE(LEFT(D53,2))),"")))))</f>
        <v/>
      </c>
      <c r="F53" s="83" t="n"/>
      <c r="G53" s="49">
        <f>IFERROR(INDEX('Master Stock'!$C$2:$C$100,MATCH(ROWS($G$9:G53),'Master Stock'!$P$2:$P$100,0)),"")</f>
        <v/>
      </c>
      <c r="H53" s="49">
        <f>IFERROR(INDEX('Master Stock'!$D$2:$D$100,MATCH(ROWS($G$9:G53),'Master Stock'!$P$2:$P$100,0)),"")</f>
        <v/>
      </c>
      <c r="I53" s="52">
        <f>IFERROR(INDEX('Master Stock'!$J$2:$J$100,MATCH(ROWS($G$9:G53),'Master Stock'!$P$2:$P$100,0)),"")</f>
        <v/>
      </c>
      <c r="J53" s="51">
        <f>IF(I53="","",MAX(0,TODAY()-(IF(ISNUMBER(I53),I53,IFERROR(DATE(2000+VALUE(RIGHT(I53,2)),VALUE(MID(I53,4,2)),VALUE(LEFT(I53,2))),"")))))</f>
        <v/>
      </c>
      <c r="K53" s="92" t="n"/>
      <c r="L53" s="49">
        <f>IFERROR(INDEX('Master Stock'!$C$2:$C$100,AGGREGATE(15,6,(ROW('Master Stock'!$C$2:$C$100)-ROW('Master Stock'!$C$2)+1)/(('Master Stock'!$H$2:$H$100="OCCUPIED")*('Master Stock'!$J$2:$J$100&lt;&gt;"")*('Master Stock'!$K$2:$K$100="")*('Master Stock'!$J$2:$J$100&lt;TODAY()-30)),45)),"")</f>
        <v/>
      </c>
      <c r="M53" s="49">
        <f>IFERROR(INDEX('Master Stock'!$D$2:$D$100,AGGREGATE(15,6,(ROW('Master Stock'!$C$2:$C$100)-ROW('Master Stock'!$C$2)+1)/(('Master Stock'!$H$2:$H$100="OCCUPIED")*('Master Stock'!$J$2:$J$100&lt;&gt;"")*('Master Stock'!$K$2:$K$100="")*('Master Stock'!$J$2:$J$100&lt;TODAY()-30)),45)),"")</f>
        <v/>
      </c>
      <c r="N53" s="52">
        <f>IFERROR(INDEX('Master Stock'!$J$2:$J$100,AGGREGATE(15,6,(ROW('Master Stock'!$C$2:$C$100)-ROW('Master Stock'!$C$2)+1)/(('Master Stock'!$H$2:$H$100="OCCUPIED")*('Master Stock'!$J$2:$J$100&lt;&gt;"")*('Master Stock'!$K$2:$K$100="")*('Master Stock'!$J$2:$J$100&lt;TODAY()-30)),45)),"")</f>
        <v/>
      </c>
      <c r="O53" s="51">
        <f>IF(N53="","",MAX(0,TODAY()-(IF(ISNUMBER(N53),N53,IFERROR(DATE(2000+VALUE(RIGHT(N53,2)),VALUE(MID(N53,4,2)),VALUE(LEFT(N53,2))),"")))))</f>
        <v/>
      </c>
    </row>
    <row r="54" ht="15.75" customHeight="1" s="42">
      <c r="A54" s="49">
        <f>IFERROR(INDEX('Master Stock'!$C$2:$C$100,MATCH(ROWS($A$9:A54),'Master Stock'!$N$2:$N$100,0)),"")</f>
        <v/>
      </c>
      <c r="B54" s="49">
        <f>IFERROR(INDEX('Master Stock'!$D$2:$D$100,MATCH(ROWS($A$9:A54),'Master Stock'!$N$2:$N$100,0)),"")</f>
        <v/>
      </c>
      <c r="C54" s="52">
        <f>IFERROR(INDEX('Master Stock'!$B$2:$B$100,MATCH(ROWS($A$9:A54),'Master Stock'!$N$2:$N$100,0)),"")</f>
        <v/>
      </c>
      <c r="D54" s="52">
        <f>IFERROR(INDEX('Master Stock'!$J$2:$J$100,MATCH(ROWS($A$9:A54),'Master Stock'!$N$2:$N$100,0)),"")</f>
        <v/>
      </c>
      <c r="E54" s="51">
        <f>IF(D54="","",MAX(0,TODAY()-(IF(ISNUMBER(D54),D54,IFERROR(DATE(2000+VALUE(RIGHT(D54,2)),VALUE(MID(D54,4,2)),VALUE(LEFT(D54,2))),"")))))</f>
        <v/>
      </c>
      <c r="F54" s="83" t="n"/>
      <c r="G54" s="49">
        <f>IFERROR(INDEX('Master Stock'!$C$2:$C$100,MATCH(ROWS($G$9:G54),'Master Stock'!$P$2:$P$100,0)),"")</f>
        <v/>
      </c>
      <c r="H54" s="49">
        <f>IFERROR(INDEX('Master Stock'!$D$2:$D$100,MATCH(ROWS($G$9:G54),'Master Stock'!$P$2:$P$100,0)),"")</f>
        <v/>
      </c>
      <c r="I54" s="52">
        <f>IFERROR(INDEX('Master Stock'!$J$2:$J$100,MATCH(ROWS($G$9:G54),'Master Stock'!$P$2:$P$100,0)),"")</f>
        <v/>
      </c>
      <c r="J54" s="51">
        <f>IF(I54="","",MAX(0,TODAY()-(IF(ISNUMBER(I54),I54,IFERROR(DATE(2000+VALUE(RIGHT(I54,2)),VALUE(MID(I54,4,2)),VALUE(LEFT(I54,2))),"")))))</f>
        <v/>
      </c>
      <c r="K54" s="92" t="n"/>
      <c r="L54" s="49">
        <f>IFERROR(INDEX('Master Stock'!$C$2:$C$100,AGGREGATE(15,6,(ROW('Master Stock'!$C$2:$C$100)-ROW('Master Stock'!$C$2)+1)/(('Master Stock'!$H$2:$H$100="OCCUPIED")*('Master Stock'!$J$2:$J$100&lt;&gt;"")*('Master Stock'!$K$2:$K$100="")*('Master Stock'!$J$2:$J$100&lt;TODAY()-30)),46)),"")</f>
        <v/>
      </c>
      <c r="M54" s="49">
        <f>IFERROR(INDEX('Master Stock'!$D$2:$D$100,AGGREGATE(15,6,(ROW('Master Stock'!$C$2:$C$100)-ROW('Master Stock'!$C$2)+1)/(('Master Stock'!$H$2:$H$100="OCCUPIED")*('Master Stock'!$J$2:$J$100&lt;&gt;"")*('Master Stock'!$K$2:$K$100="")*('Master Stock'!$J$2:$J$100&lt;TODAY()-30)),46)),"")</f>
        <v/>
      </c>
      <c r="N54" s="52">
        <f>IFERROR(INDEX('Master Stock'!$J$2:$J$100,AGGREGATE(15,6,(ROW('Master Stock'!$C$2:$C$100)-ROW('Master Stock'!$C$2)+1)/(('Master Stock'!$H$2:$H$100="OCCUPIED")*('Master Stock'!$J$2:$J$100&lt;&gt;"")*('Master Stock'!$K$2:$K$100="")*('Master Stock'!$J$2:$J$100&lt;TODAY()-30)),46)),"")</f>
        <v/>
      </c>
      <c r="O54" s="51">
        <f>IF(N54="","",MAX(0,TODAY()-(IF(ISNUMBER(N54),N54,IFERROR(DATE(2000+VALUE(RIGHT(N54,2)),VALUE(MID(N54,4,2)),VALUE(LEFT(N54,2))),"")))))</f>
        <v/>
      </c>
    </row>
    <row r="55" ht="15.75" customHeight="1" s="42">
      <c r="A55" s="49">
        <f>IFERROR(INDEX('Master Stock'!$C$2:$C$100,MATCH(ROWS($A$9:A55),'Master Stock'!$N$2:$N$100,0)),"")</f>
        <v/>
      </c>
      <c r="B55" s="49">
        <f>IFERROR(INDEX('Master Stock'!$D$2:$D$100,MATCH(ROWS($A$9:A55),'Master Stock'!$N$2:$N$100,0)),"")</f>
        <v/>
      </c>
      <c r="C55" s="52">
        <f>IFERROR(INDEX('Master Stock'!$B$2:$B$100,MATCH(ROWS($A$9:A55),'Master Stock'!$N$2:$N$100,0)),"")</f>
        <v/>
      </c>
      <c r="D55" s="52">
        <f>IFERROR(INDEX('Master Stock'!$J$2:$J$100,MATCH(ROWS($A$9:A55),'Master Stock'!$N$2:$N$100,0)),"")</f>
        <v/>
      </c>
      <c r="E55" s="51">
        <f>IF(D55="","",MAX(0,TODAY()-(IF(ISNUMBER(D55),D55,IFERROR(DATE(2000+VALUE(RIGHT(D55,2)),VALUE(MID(D55,4,2)),VALUE(LEFT(D55,2))),"")))))</f>
        <v/>
      </c>
      <c r="F55" s="83" t="n"/>
      <c r="G55" s="49">
        <f>IFERROR(INDEX('Master Stock'!$C$2:$C$100,MATCH(ROWS($G$9:G55),'Master Stock'!$P$2:$P$100,0)),"")</f>
        <v/>
      </c>
      <c r="H55" s="49">
        <f>IFERROR(INDEX('Master Stock'!$D$2:$D$100,MATCH(ROWS($G$9:G55),'Master Stock'!$P$2:$P$100,0)),"")</f>
        <v/>
      </c>
      <c r="I55" s="52">
        <f>IFERROR(INDEX('Master Stock'!$J$2:$J$100,MATCH(ROWS($G$9:G55),'Master Stock'!$P$2:$P$100,0)),"")</f>
        <v/>
      </c>
      <c r="J55" s="51">
        <f>IF(I55="","",MAX(0,TODAY()-(IF(ISNUMBER(I55),I55,IFERROR(DATE(2000+VALUE(RIGHT(I55,2)),VALUE(MID(I55,4,2)),VALUE(LEFT(I55,2))),"")))))</f>
        <v/>
      </c>
      <c r="K55" s="92" t="n"/>
      <c r="L55" s="49">
        <f>IFERROR(INDEX('Master Stock'!$C$2:$C$100,AGGREGATE(15,6,(ROW('Master Stock'!$C$2:$C$100)-ROW('Master Stock'!$C$2)+1)/(('Master Stock'!$H$2:$H$100="OCCUPIED")*('Master Stock'!$J$2:$J$100&lt;&gt;"")*('Master Stock'!$K$2:$K$100="")*('Master Stock'!$J$2:$J$100&lt;TODAY()-30)),47)),"")</f>
        <v/>
      </c>
      <c r="M55" s="49">
        <f>IFERROR(INDEX('Master Stock'!$D$2:$D$100,AGGREGATE(15,6,(ROW('Master Stock'!$C$2:$C$100)-ROW('Master Stock'!$C$2)+1)/(('Master Stock'!$H$2:$H$100="OCCUPIED")*('Master Stock'!$J$2:$J$100&lt;&gt;"")*('Master Stock'!$K$2:$K$100="")*('Master Stock'!$J$2:$J$100&lt;TODAY()-30)),47)),"")</f>
        <v/>
      </c>
      <c r="N55" s="52">
        <f>IFERROR(INDEX('Master Stock'!$J$2:$J$100,AGGREGATE(15,6,(ROW('Master Stock'!$C$2:$C$100)-ROW('Master Stock'!$C$2)+1)/(('Master Stock'!$H$2:$H$100="OCCUPIED")*('Master Stock'!$J$2:$J$100&lt;&gt;"")*('Master Stock'!$K$2:$K$100="")*('Master Stock'!$J$2:$J$100&lt;TODAY()-30)),47)),"")</f>
        <v/>
      </c>
      <c r="O55" s="51">
        <f>IF(N55="","",MAX(0,TODAY()-(IF(ISNUMBER(N55),N55,IFERROR(DATE(2000+VALUE(RIGHT(N55,2)),VALUE(MID(N55,4,2)),VALUE(LEFT(N55,2))),"")))))</f>
        <v/>
      </c>
    </row>
    <row r="56" ht="15.75" customHeight="1" s="42">
      <c r="A56" s="49">
        <f>IFERROR(INDEX('Master Stock'!$C$2:$C$100,MATCH(ROWS($A$9:A56),'Master Stock'!$N$2:$N$100,0)),"")</f>
        <v/>
      </c>
      <c r="B56" s="49">
        <f>IFERROR(INDEX('Master Stock'!$D$2:$D$100,MATCH(ROWS($A$9:A56),'Master Stock'!$N$2:$N$100,0)),"")</f>
        <v/>
      </c>
      <c r="C56" s="52">
        <f>IFERROR(INDEX('Master Stock'!$B$2:$B$100,MATCH(ROWS($A$9:A56),'Master Stock'!$N$2:$N$100,0)),"")</f>
        <v/>
      </c>
      <c r="D56" s="52">
        <f>IFERROR(INDEX('Master Stock'!$J$2:$J$100,MATCH(ROWS($A$9:A56),'Master Stock'!$N$2:$N$100,0)),"")</f>
        <v/>
      </c>
      <c r="E56" s="51">
        <f>IF(D56="","",MAX(0,TODAY()-(IF(ISNUMBER(D56),D56,IFERROR(DATE(2000+VALUE(RIGHT(D56,2)),VALUE(MID(D56,4,2)),VALUE(LEFT(D56,2))),"")))))</f>
        <v/>
      </c>
      <c r="F56" s="83" t="n"/>
      <c r="G56" s="49">
        <f>IFERROR(INDEX('Master Stock'!$C$2:$C$100,MATCH(ROWS($G$9:G56),'Master Stock'!$P$2:$P$100,0)),"")</f>
        <v/>
      </c>
      <c r="H56" s="49">
        <f>IFERROR(INDEX('Master Stock'!$D$2:$D$100,MATCH(ROWS($G$9:G56),'Master Stock'!$P$2:$P$100,0)),"")</f>
        <v/>
      </c>
      <c r="I56" s="52">
        <f>IFERROR(INDEX('Master Stock'!$J$2:$J$100,MATCH(ROWS($G$9:G56),'Master Stock'!$P$2:$P$100,0)),"")</f>
        <v/>
      </c>
      <c r="J56" s="51">
        <f>IF(I56="","",MAX(0,TODAY()-(IF(ISNUMBER(I56),I56,IFERROR(DATE(2000+VALUE(RIGHT(I56,2)),VALUE(MID(I56,4,2)),VALUE(LEFT(I56,2))),"")))))</f>
        <v/>
      </c>
      <c r="K56" s="92" t="n"/>
      <c r="L56" s="49">
        <f>IFERROR(INDEX('Master Stock'!$C$2:$C$100,AGGREGATE(15,6,(ROW('Master Stock'!$C$2:$C$100)-ROW('Master Stock'!$C$2)+1)/(('Master Stock'!$H$2:$H$100="OCCUPIED")*('Master Stock'!$J$2:$J$100&lt;&gt;"")*('Master Stock'!$K$2:$K$100="")*('Master Stock'!$J$2:$J$100&lt;TODAY()-30)),48)),"")</f>
        <v/>
      </c>
      <c r="M56" s="49">
        <f>IFERROR(INDEX('Master Stock'!$D$2:$D$100,AGGREGATE(15,6,(ROW('Master Stock'!$C$2:$C$100)-ROW('Master Stock'!$C$2)+1)/(('Master Stock'!$H$2:$H$100="OCCUPIED")*('Master Stock'!$J$2:$J$100&lt;&gt;"")*('Master Stock'!$K$2:$K$100="")*('Master Stock'!$J$2:$J$100&lt;TODAY()-30)),48)),"")</f>
        <v/>
      </c>
      <c r="N56" s="52">
        <f>IFERROR(INDEX('Master Stock'!$J$2:$J$100,AGGREGATE(15,6,(ROW('Master Stock'!$C$2:$C$100)-ROW('Master Stock'!$C$2)+1)/(('Master Stock'!$H$2:$H$100="OCCUPIED")*('Master Stock'!$J$2:$J$100&lt;&gt;"")*('Master Stock'!$K$2:$K$100="")*('Master Stock'!$J$2:$J$100&lt;TODAY()-30)),48)),"")</f>
        <v/>
      </c>
      <c r="O56" s="51">
        <f>IF(N56="","",MAX(0,TODAY()-(IF(ISNUMBER(N56),N56,IFERROR(DATE(2000+VALUE(RIGHT(N56,2)),VALUE(MID(N56,4,2)),VALUE(LEFT(N56,2))),"")))))</f>
        <v/>
      </c>
    </row>
    <row r="57" ht="15.75" customHeight="1" s="42">
      <c r="A57" s="49">
        <f>IFERROR(INDEX('Master Stock'!$C$2:$C$100,MATCH(ROWS($A$9:A57),'Master Stock'!$N$2:$N$100,0)),"")</f>
        <v/>
      </c>
      <c r="B57" s="49">
        <f>IFERROR(INDEX('Master Stock'!$D$2:$D$100,MATCH(ROWS($A$9:A57),'Master Stock'!$N$2:$N$100,0)),"")</f>
        <v/>
      </c>
      <c r="C57" s="52">
        <f>IFERROR(INDEX('Master Stock'!$B$2:$B$100,MATCH(ROWS($A$9:A57),'Master Stock'!$N$2:$N$100,0)),"")</f>
        <v/>
      </c>
      <c r="D57" s="52">
        <f>IFERROR(INDEX('Master Stock'!$J$2:$J$100,MATCH(ROWS($A$9:A57),'Master Stock'!$N$2:$N$100,0)),"")</f>
        <v/>
      </c>
      <c r="E57" s="51">
        <f>IF(D57="","",MAX(0,TODAY()-(IF(ISNUMBER(D57),D57,IFERROR(DATE(2000+VALUE(RIGHT(D57,2)),VALUE(MID(D57,4,2)),VALUE(LEFT(D57,2))),"")))))</f>
        <v/>
      </c>
      <c r="F57" s="83" t="n"/>
      <c r="G57" s="49">
        <f>IFERROR(INDEX('Master Stock'!$C$2:$C$100,MATCH(ROWS($G$9:G57),'Master Stock'!$P$2:$P$100,0)),"")</f>
        <v/>
      </c>
      <c r="H57" s="49">
        <f>IFERROR(INDEX('Master Stock'!$D$2:$D$100,MATCH(ROWS($G$9:G57),'Master Stock'!$P$2:$P$100,0)),"")</f>
        <v/>
      </c>
      <c r="I57" s="52">
        <f>IFERROR(INDEX('Master Stock'!$J$2:$J$100,MATCH(ROWS($G$9:G57),'Master Stock'!$P$2:$P$100,0)),"")</f>
        <v/>
      </c>
      <c r="J57" s="51">
        <f>IF(I57="","",MAX(0,TODAY()-(IF(ISNUMBER(I57),I57,IFERROR(DATE(2000+VALUE(RIGHT(I57,2)),VALUE(MID(I57,4,2)),VALUE(LEFT(I57,2))),"")))))</f>
        <v/>
      </c>
      <c r="K57" s="92" t="n"/>
      <c r="L57" s="49">
        <f>IFERROR(INDEX('Master Stock'!$C$2:$C$100,AGGREGATE(15,6,(ROW('Master Stock'!$C$2:$C$100)-ROW('Master Stock'!$C$2)+1)/(('Master Stock'!$H$2:$H$100="OCCUPIED")*('Master Stock'!$J$2:$J$100&lt;&gt;"")*('Master Stock'!$K$2:$K$100="")*('Master Stock'!$J$2:$J$100&lt;TODAY()-30)),49)),"")</f>
        <v/>
      </c>
      <c r="M57" s="49">
        <f>IFERROR(INDEX('Master Stock'!$D$2:$D$100,AGGREGATE(15,6,(ROW('Master Stock'!$C$2:$C$100)-ROW('Master Stock'!$C$2)+1)/(('Master Stock'!$H$2:$H$100="OCCUPIED")*('Master Stock'!$J$2:$J$100&lt;&gt;"")*('Master Stock'!$K$2:$K$100="")*('Master Stock'!$J$2:$J$100&lt;TODAY()-30)),49)),"")</f>
        <v/>
      </c>
      <c r="N57" s="52">
        <f>IFERROR(INDEX('Master Stock'!$J$2:$J$100,AGGREGATE(15,6,(ROW('Master Stock'!$C$2:$C$100)-ROW('Master Stock'!$C$2)+1)/(('Master Stock'!$H$2:$H$100="OCCUPIED")*('Master Stock'!$J$2:$J$100&lt;&gt;"")*('Master Stock'!$K$2:$K$100="")*('Master Stock'!$J$2:$J$100&lt;TODAY()-30)),49)),"")</f>
        <v/>
      </c>
      <c r="O57" s="51">
        <f>IF(N57="","",MAX(0,TODAY()-(IF(ISNUMBER(N57),N57,IFERROR(DATE(2000+VALUE(RIGHT(N57,2)),VALUE(MID(N57,4,2)),VALUE(LEFT(N57,2))),"")))))</f>
        <v/>
      </c>
    </row>
    <row r="58" ht="15.75" customHeight="1" s="42">
      <c r="A58" s="49">
        <f>IFERROR(INDEX('Master Stock'!$C$2:$C$100,MATCH(ROWS($A$9:A58),'Master Stock'!$N$2:$N$100,0)),"")</f>
        <v/>
      </c>
      <c r="B58" s="49">
        <f>IFERROR(INDEX('Master Stock'!$D$2:$D$100,MATCH(ROWS($A$9:A58),'Master Stock'!$N$2:$N$100,0)),"")</f>
        <v/>
      </c>
      <c r="C58" s="52">
        <f>IFERROR(INDEX('Master Stock'!$B$2:$B$100,MATCH(ROWS($A$9:A58),'Master Stock'!$N$2:$N$100,0)),"")</f>
        <v/>
      </c>
      <c r="D58" s="52">
        <f>IFERROR(INDEX('Master Stock'!$J$2:$J$100,MATCH(ROWS($A$9:A58),'Master Stock'!$N$2:$N$100,0)),"")</f>
        <v/>
      </c>
      <c r="E58" s="51">
        <f>IF(D58="","",MAX(0,TODAY()-(IF(ISNUMBER(D58),D58,IFERROR(DATE(2000+VALUE(RIGHT(D58,2)),VALUE(MID(D58,4,2)),VALUE(LEFT(D58,2))),"")))))</f>
        <v/>
      </c>
      <c r="F58" s="83" t="n"/>
      <c r="G58" s="49">
        <f>IFERROR(INDEX('Master Stock'!$C$2:$C$100,MATCH(ROWS($G$9:G58),'Master Stock'!$P$2:$P$100,0)),"")</f>
        <v/>
      </c>
      <c r="H58" s="49">
        <f>IFERROR(INDEX('Master Stock'!$D$2:$D$100,MATCH(ROWS($G$9:G58),'Master Stock'!$P$2:$P$100,0)),"")</f>
        <v/>
      </c>
      <c r="I58" s="52">
        <f>IFERROR(INDEX('Master Stock'!$J$2:$J$100,MATCH(ROWS($G$9:G58),'Master Stock'!$P$2:$P$100,0)),"")</f>
        <v/>
      </c>
      <c r="J58" s="51">
        <f>IF(I58="","",MAX(0,TODAY()-(IF(ISNUMBER(I58),I58,IFERROR(DATE(2000+VALUE(RIGHT(I58,2)),VALUE(MID(I58,4,2)),VALUE(LEFT(I58,2))),"")))))</f>
        <v/>
      </c>
      <c r="K58" s="92" t="n"/>
      <c r="L58" s="49">
        <f>IFERROR(INDEX('Master Stock'!$C$2:$C$100,AGGREGATE(15,6,(ROW('Master Stock'!$C$2:$C$100)-ROW('Master Stock'!$C$2)+1)/(('Master Stock'!$H$2:$H$100="OCCUPIED")*('Master Stock'!$J$2:$J$100&lt;&gt;"")*('Master Stock'!$K$2:$K$100="")*('Master Stock'!$J$2:$J$100&lt;TODAY()-30)),50)),"")</f>
        <v/>
      </c>
      <c r="M58" s="49">
        <f>IFERROR(INDEX('Master Stock'!$D$2:$D$100,AGGREGATE(15,6,(ROW('Master Stock'!$C$2:$C$100)-ROW('Master Stock'!$C$2)+1)/(('Master Stock'!$H$2:$H$100="OCCUPIED")*('Master Stock'!$J$2:$J$100&lt;&gt;"")*('Master Stock'!$K$2:$K$100="")*('Master Stock'!$J$2:$J$100&lt;TODAY()-30)),50)),"")</f>
        <v/>
      </c>
      <c r="N58" s="52">
        <f>IFERROR(INDEX('Master Stock'!$J$2:$J$100,AGGREGATE(15,6,(ROW('Master Stock'!$C$2:$C$100)-ROW('Master Stock'!$C$2)+1)/(('Master Stock'!$H$2:$H$100="OCCUPIED")*('Master Stock'!$J$2:$J$100&lt;&gt;"")*('Master Stock'!$K$2:$K$100="")*('Master Stock'!$J$2:$J$100&lt;TODAY()-30)),50)),"")</f>
        <v/>
      </c>
      <c r="O58" s="51">
        <f>IF(N58="","",MAX(0,TODAY()-(IF(ISNUMBER(N58),N58,IFERROR(DATE(2000+VALUE(RIGHT(N58,2)),VALUE(MID(N58,4,2)),VALUE(LEFT(N58,2))),"")))))</f>
        <v/>
      </c>
    </row>
    <row r="59" ht="15.75" customHeight="1" s="42">
      <c r="A59" s="44">
        <f>IFERROR(INDEX('Master Stock'!$C$2:$C$100,MATCH(ROWS($A$9:A59),'Master Stock'!$N$2:$N$100,0)),"")</f>
        <v/>
      </c>
      <c r="B59" s="44">
        <f>IFERROR(INDEX('Master Stock'!$D$2:$D$100,MATCH(ROWS($A$9:A59),'Master Stock'!$N$2:$N$100,0)),"")</f>
        <v/>
      </c>
      <c r="C59" s="53">
        <f>IFERROR(INDEX('Master Stock'!$B$2:$B$100,MATCH(ROWS($A$9:A59),'Master Stock'!$N$2:$N$100,0)),"")</f>
        <v/>
      </c>
      <c r="D59" s="53">
        <f>IFERROR(INDEX('Master Stock'!$J$2:$J$100,MATCH(ROWS($A$9:A59),'Master Stock'!$N$2:$N$100,0)),"")</f>
        <v/>
      </c>
      <c r="E59" s="44">
        <f>IF(D59="","",MAX(0,TODAY()-(IF(ISNUMBER(D59),D59,IFERROR(DATE(2000+VALUE(RIGHT(D59,2)),VALUE(MID(D59,4,2)),VALUE(LEFT(D59,2))),"")))))</f>
        <v/>
      </c>
      <c r="F59" s="83" t="n"/>
      <c r="G59" s="44">
        <f>IFERROR(INDEX('Master Stock'!$C$2:$C$100,MATCH(ROWS($G$9:G59),'Master Stock'!$P$2:$P$100,0)),"")</f>
        <v/>
      </c>
      <c r="H59" s="44">
        <f>IFERROR(INDEX('Master Stock'!$D$2:$D$100,MATCH(ROWS($G$9:G59),'Master Stock'!$P$2:$P$100,0)),"")</f>
        <v/>
      </c>
      <c r="I59" s="53">
        <f>IFERROR(INDEX('Master Stock'!$J$2:$J$100,MATCH(ROWS($G$9:G59),'Master Stock'!$P$2:$P$100,0)),"")</f>
        <v/>
      </c>
      <c r="J59" s="44">
        <f>IF(I59="","",MAX(0,TODAY()-(IF(ISNUMBER(I59),I59,IFERROR(DATE(2000+VALUE(RIGHT(I59,2)),VALUE(MID(I59,4,2)),VALUE(LEFT(I59,2))),"")))))</f>
        <v/>
      </c>
      <c r="K59" s="92" t="n"/>
      <c r="L59" s="49">
        <f>IFERROR(INDEX('Master Stock'!$C$2:$C$100,AGGREGATE(15,6,(ROW('Master Stock'!$C$2:$C$100)-ROW('Master Stock'!$C$2)+1)/(('Master Stock'!$H$2:$H$100="OCCUPIED")*('Master Stock'!$J$2:$J$100&lt;&gt;"")*('Master Stock'!$K$2:$K$100="")*('Master Stock'!$J$2:$J$100&lt;TODAY()-30)),51)),"")</f>
        <v/>
      </c>
      <c r="M59" s="49">
        <f>IFERROR(INDEX('Master Stock'!$D$2:$D$100,AGGREGATE(15,6,(ROW('Master Stock'!$C$2:$C$100)-ROW('Master Stock'!$C$2)+1)/(('Master Stock'!$H$2:$H$100="OCCUPIED")*('Master Stock'!$J$2:$J$100&lt;&gt;"")*('Master Stock'!$K$2:$K$100="")*('Master Stock'!$J$2:$J$100&lt;TODAY()-30)),51)),"")</f>
        <v/>
      </c>
      <c r="N59" s="52">
        <f>IFERROR(INDEX('Master Stock'!$J$2:$J$100,AGGREGATE(15,6,(ROW('Master Stock'!$C$2:$C$100)-ROW('Master Stock'!$C$2)+1)/(('Master Stock'!$H$2:$H$100="OCCUPIED")*('Master Stock'!$J$2:$J$100&lt;&gt;"")*('Master Stock'!$K$2:$K$100="")*('Master Stock'!$J$2:$J$100&lt;TODAY()-30)),51)),"")</f>
        <v/>
      </c>
      <c r="O59" s="51">
        <f>IF(N59="","",MAX(0,TODAY()-(IF(ISNUMBER(N59),N59,IFERROR(DATE(2000+VALUE(RIGHT(N59,2)),VALUE(MID(N59,4,2)),VALUE(LEFT(N59,2))),"")))))</f>
        <v/>
      </c>
    </row>
    <row r="60" ht="15.75" customHeight="1" s="42">
      <c r="A60" s="44">
        <f>IFERROR(INDEX('Master Stock'!$C$2:$C$100,MATCH(ROWS($A$9:A60),'Master Stock'!$N$2:$N$100,0)),"")</f>
        <v/>
      </c>
      <c r="B60" s="44">
        <f>IFERROR(INDEX('Master Stock'!$D$2:$D$100,MATCH(ROWS($A$9:A60),'Master Stock'!$N$2:$N$100,0)),"")</f>
        <v/>
      </c>
      <c r="C60" s="53">
        <f>IFERROR(INDEX('Master Stock'!$B$2:$B$100,MATCH(ROWS($A$9:A60),'Master Stock'!$N$2:$N$100,0)),"")</f>
        <v/>
      </c>
      <c r="D60" s="53">
        <f>IFERROR(INDEX('Master Stock'!$J$2:$J$100,MATCH(ROWS($A$9:A60),'Master Stock'!$N$2:$N$100,0)),"")</f>
        <v/>
      </c>
      <c r="E60" s="44">
        <f>IF(D60="","",MAX(0,TODAY()-(IF(ISNUMBER(D60),D60,IFERROR(DATE(2000+VALUE(RIGHT(D60,2)),VALUE(MID(D60,4,2)),VALUE(LEFT(D60,2))),"")))))</f>
        <v/>
      </c>
      <c r="F60" s="83" t="n"/>
      <c r="G60" s="44">
        <f>IFERROR(INDEX('Master Stock'!$C$2:$C$100,MATCH(ROWS($G$9:G60),'Master Stock'!$P$2:$P$100,0)),"")</f>
        <v/>
      </c>
      <c r="H60" s="44">
        <f>IFERROR(INDEX('Master Stock'!$D$2:$D$100,MATCH(ROWS($G$9:G60),'Master Stock'!$P$2:$P$100,0)),"")</f>
        <v/>
      </c>
      <c r="I60" s="53">
        <f>IFERROR(INDEX('Master Stock'!$J$2:$J$100,MATCH(ROWS($G$9:G60),'Master Stock'!$P$2:$P$100,0)),"")</f>
        <v/>
      </c>
      <c r="J60" s="44">
        <f>IF(I60="","",MAX(0,TODAY()-(IF(ISNUMBER(I60),I60,IFERROR(DATE(2000+VALUE(RIGHT(I60,2)),VALUE(MID(I60,4,2)),VALUE(LEFT(I60,2))),"")))))</f>
        <v/>
      </c>
      <c r="K60" s="92" t="n"/>
      <c r="L60" s="49">
        <f>IFERROR(INDEX('Master Stock'!$C$2:$C$100,AGGREGATE(15,6,(ROW('Master Stock'!$C$2:$C$100)-ROW('Master Stock'!$C$2)+1)/(('Master Stock'!$H$2:$H$100="OCCUPIED")*('Master Stock'!$J$2:$J$100&lt;&gt;"")*('Master Stock'!$K$2:$K$100="")*('Master Stock'!$J$2:$J$100&lt;TODAY()-30)),52)),"")</f>
        <v/>
      </c>
      <c r="M60" s="49">
        <f>IFERROR(INDEX('Master Stock'!$D$2:$D$100,AGGREGATE(15,6,(ROW('Master Stock'!$C$2:$C$100)-ROW('Master Stock'!$C$2)+1)/(('Master Stock'!$H$2:$H$100="OCCUPIED")*('Master Stock'!$J$2:$J$100&lt;&gt;"")*('Master Stock'!$K$2:$K$100="")*('Master Stock'!$J$2:$J$100&lt;TODAY()-30)),52)),"")</f>
        <v/>
      </c>
      <c r="N60" s="52">
        <f>IFERROR(INDEX('Master Stock'!$J$2:$J$100,AGGREGATE(15,6,(ROW('Master Stock'!$C$2:$C$100)-ROW('Master Stock'!$C$2)+1)/(('Master Stock'!$H$2:$H$100="OCCUPIED")*('Master Stock'!$J$2:$J$100&lt;&gt;"")*('Master Stock'!$K$2:$K$100="")*('Master Stock'!$J$2:$J$100&lt;TODAY()-30)),52)),"")</f>
        <v/>
      </c>
      <c r="O60" s="51">
        <f>IF(N60="","",MAX(0,TODAY()-(IF(ISNUMBER(N60),N60,IFERROR(DATE(2000+VALUE(RIGHT(N60,2)),VALUE(MID(N60,4,2)),VALUE(LEFT(N60,2))),"")))))</f>
        <v/>
      </c>
    </row>
    <row r="61" ht="15.75" customHeight="1" s="42">
      <c r="A61" s="44">
        <f>IFERROR(INDEX('Master Stock'!$C$2:$C$100,MATCH(ROWS($A$9:A61),'Master Stock'!$N$2:$N$100,0)),"")</f>
        <v/>
      </c>
      <c r="B61" s="44">
        <f>IFERROR(INDEX('Master Stock'!$D$2:$D$100,MATCH(ROWS($A$9:A61),'Master Stock'!$N$2:$N$100,0)),"")</f>
        <v/>
      </c>
      <c r="C61" s="53">
        <f>IFERROR(INDEX('Master Stock'!$B$2:$B$100,MATCH(ROWS($A$9:A61),'Master Stock'!$N$2:$N$100,0)),"")</f>
        <v/>
      </c>
      <c r="D61" s="53">
        <f>IFERROR(INDEX('Master Stock'!$J$2:$J$100,MATCH(ROWS($A$9:A61),'Master Stock'!$N$2:$N$100,0)),"")</f>
        <v/>
      </c>
      <c r="E61" s="44">
        <f>IF(D61="","",MAX(0,TODAY()-(IF(ISNUMBER(D61),D61,IFERROR(DATE(2000+VALUE(RIGHT(D61,2)),VALUE(MID(D61,4,2)),VALUE(LEFT(D61,2))),"")))))</f>
        <v/>
      </c>
      <c r="F61" s="83" t="n"/>
      <c r="G61" s="44">
        <f>IFERROR(INDEX('Master Stock'!$C$2:$C$100,MATCH(ROWS($G$9:G61),'Master Stock'!$P$2:$P$100,0)),"")</f>
        <v/>
      </c>
      <c r="H61" s="44">
        <f>IFERROR(INDEX('Master Stock'!$D$2:$D$100,MATCH(ROWS($G$9:G61),'Master Stock'!$P$2:$P$100,0)),"")</f>
        <v/>
      </c>
      <c r="I61" s="53">
        <f>IFERROR(INDEX('Master Stock'!$J$2:$J$100,MATCH(ROWS($G$9:G61),'Master Stock'!$P$2:$P$100,0)),"")</f>
        <v/>
      </c>
      <c r="J61" s="44">
        <f>IF(I61="","",MAX(0,TODAY()-(IF(ISNUMBER(I61),I61,IFERROR(DATE(2000+VALUE(RIGHT(I61,2)),VALUE(MID(I61,4,2)),VALUE(LEFT(I61,2))),"")))))</f>
        <v/>
      </c>
      <c r="K61" s="92" t="n"/>
      <c r="L61" s="49">
        <f>IFERROR(INDEX('Master Stock'!$C$2:$C$100,AGGREGATE(15,6,(ROW('Master Stock'!$C$2:$C$100)-ROW('Master Stock'!$C$2)+1)/(('Master Stock'!$H$2:$H$100="OCCUPIED")*('Master Stock'!$J$2:$J$100&lt;&gt;"")*('Master Stock'!$K$2:$K$100="")*('Master Stock'!$J$2:$J$100&lt;TODAY()-30)),53)),"")</f>
        <v/>
      </c>
      <c r="M61" s="49">
        <f>IFERROR(INDEX('Master Stock'!$D$2:$D$100,AGGREGATE(15,6,(ROW('Master Stock'!$C$2:$C$100)-ROW('Master Stock'!$C$2)+1)/(('Master Stock'!$H$2:$H$100="OCCUPIED")*('Master Stock'!$J$2:$J$100&lt;&gt;"")*('Master Stock'!$K$2:$K$100="")*('Master Stock'!$J$2:$J$100&lt;TODAY()-30)),53)),"")</f>
        <v/>
      </c>
      <c r="N61" s="52">
        <f>IFERROR(INDEX('Master Stock'!$J$2:$J$100,AGGREGATE(15,6,(ROW('Master Stock'!$C$2:$C$100)-ROW('Master Stock'!$C$2)+1)/(('Master Stock'!$H$2:$H$100="OCCUPIED")*('Master Stock'!$J$2:$J$100&lt;&gt;"")*('Master Stock'!$K$2:$K$100="")*('Master Stock'!$J$2:$J$100&lt;TODAY()-30)),53)),"")</f>
        <v/>
      </c>
      <c r="O61" s="51">
        <f>IF(N61="","",MAX(0,TODAY()-(IF(ISNUMBER(N61),N61,IFERROR(DATE(2000+VALUE(RIGHT(N61,2)),VALUE(MID(N61,4,2)),VALUE(LEFT(N61,2))),"")))))</f>
        <v/>
      </c>
    </row>
    <row r="62" ht="15.75" customHeight="1" s="42">
      <c r="A62" s="44">
        <f>IFERROR(INDEX('Master Stock'!$C$2:$C$100,MATCH(ROWS($A$9:A62),'Master Stock'!$N$2:$N$100,0)),"")</f>
        <v/>
      </c>
      <c r="B62" s="44">
        <f>IFERROR(INDEX('Master Stock'!$D$2:$D$100,MATCH(ROWS($A$9:A62),'Master Stock'!$N$2:$N$100,0)),"")</f>
        <v/>
      </c>
      <c r="C62" s="53">
        <f>IFERROR(INDEX('Master Stock'!$B$2:$B$100,MATCH(ROWS($A$9:A62),'Master Stock'!$N$2:$N$100,0)),"")</f>
        <v/>
      </c>
      <c r="D62" s="53">
        <f>IFERROR(INDEX('Master Stock'!$J$2:$J$100,MATCH(ROWS($A$9:A62),'Master Stock'!$N$2:$N$100,0)),"")</f>
        <v/>
      </c>
      <c r="E62" s="44">
        <f>IF(D62="","",MAX(0,TODAY()-(IF(ISNUMBER(D62),D62,IFERROR(DATE(2000+VALUE(RIGHT(D62,2)),VALUE(MID(D62,4,2)),VALUE(LEFT(D62,2))),"")))))</f>
        <v/>
      </c>
      <c r="F62" s="83" t="n"/>
      <c r="G62" s="44">
        <f>IFERROR(INDEX('Master Stock'!$C$2:$C$100,MATCH(ROWS($G$9:G62),'Master Stock'!$P$2:$P$100,0)),"")</f>
        <v/>
      </c>
      <c r="H62" s="44">
        <f>IFERROR(INDEX('Master Stock'!$D$2:$D$100,MATCH(ROWS($G$9:G62),'Master Stock'!$P$2:$P$100,0)),"")</f>
        <v/>
      </c>
      <c r="I62" s="53">
        <f>IFERROR(INDEX('Master Stock'!$J$2:$J$100,MATCH(ROWS($G$9:G62),'Master Stock'!$P$2:$P$100,0)),"")</f>
        <v/>
      </c>
      <c r="J62" s="44">
        <f>IF(I62="","",MAX(0,TODAY()-(IF(ISNUMBER(I62),I62,IFERROR(DATE(2000+VALUE(RIGHT(I62,2)),VALUE(MID(I62,4,2)),VALUE(LEFT(I62,2))),"")))))</f>
        <v/>
      </c>
      <c r="K62" s="92" t="n"/>
      <c r="L62" s="49">
        <f>IFERROR(INDEX('Master Stock'!$C$2:$C$100,AGGREGATE(15,6,(ROW('Master Stock'!$C$2:$C$100)-ROW('Master Stock'!$C$2)+1)/(('Master Stock'!$H$2:$H$100="OCCUPIED")*('Master Stock'!$J$2:$J$100&lt;&gt;"")*('Master Stock'!$K$2:$K$100="")*('Master Stock'!$J$2:$J$100&lt;TODAY()-30)),54)),"")</f>
        <v/>
      </c>
      <c r="M62" s="49">
        <f>IFERROR(INDEX('Master Stock'!$D$2:$D$100,AGGREGATE(15,6,(ROW('Master Stock'!$C$2:$C$100)-ROW('Master Stock'!$C$2)+1)/(('Master Stock'!$H$2:$H$100="OCCUPIED")*('Master Stock'!$J$2:$J$100&lt;&gt;"")*('Master Stock'!$K$2:$K$100="")*('Master Stock'!$J$2:$J$100&lt;TODAY()-30)),54)),"")</f>
        <v/>
      </c>
      <c r="N62" s="52">
        <f>IFERROR(INDEX('Master Stock'!$J$2:$J$100,AGGREGATE(15,6,(ROW('Master Stock'!$C$2:$C$100)-ROW('Master Stock'!$C$2)+1)/(('Master Stock'!$H$2:$H$100="OCCUPIED")*('Master Stock'!$J$2:$J$100&lt;&gt;"")*('Master Stock'!$K$2:$K$100="")*('Master Stock'!$J$2:$J$100&lt;TODAY()-30)),54)),"")</f>
        <v/>
      </c>
      <c r="O62" s="51">
        <f>IF(N62="","",MAX(0,TODAY()-(IF(ISNUMBER(N62),N62,IFERROR(DATE(2000+VALUE(RIGHT(N62,2)),VALUE(MID(N62,4,2)),VALUE(LEFT(N62,2))),"")))))</f>
        <v/>
      </c>
    </row>
    <row r="63" ht="15.75" customHeight="1" s="42">
      <c r="A63" s="44">
        <f>IFERROR(INDEX('Master Stock'!$C$2:$C$100,MATCH(ROWS($A$9:A63),'Master Stock'!$N$2:$N$100,0)),"")</f>
        <v/>
      </c>
      <c r="B63" s="44">
        <f>IFERROR(INDEX('Master Stock'!$D$2:$D$100,MATCH(ROWS($A$9:A63),'Master Stock'!$N$2:$N$100,0)),"")</f>
        <v/>
      </c>
      <c r="C63" s="53">
        <f>IFERROR(INDEX('Master Stock'!$B$2:$B$100,MATCH(ROWS($A$9:A63),'Master Stock'!$N$2:$N$100,0)),"")</f>
        <v/>
      </c>
      <c r="D63" s="53">
        <f>IFERROR(INDEX('Master Stock'!$J$2:$J$100,MATCH(ROWS($A$9:A63),'Master Stock'!$N$2:$N$100,0)),"")</f>
        <v/>
      </c>
      <c r="E63" s="44">
        <f>IF(D63="","",MAX(0,TODAY()-(IF(ISNUMBER(D63),D63,IFERROR(DATE(2000+VALUE(RIGHT(D63,2)),VALUE(MID(D63,4,2)),VALUE(LEFT(D63,2))),"")))))</f>
        <v/>
      </c>
      <c r="F63" s="83" t="n"/>
      <c r="G63" s="44">
        <f>IFERROR(INDEX('Master Stock'!$C$2:$C$100,MATCH(ROWS($G$9:G63),'Master Stock'!$P$2:$P$100,0)),"")</f>
        <v/>
      </c>
      <c r="H63" s="44">
        <f>IFERROR(INDEX('Master Stock'!$D$2:$D$100,MATCH(ROWS($G$9:G63),'Master Stock'!$P$2:$P$100,0)),"")</f>
        <v/>
      </c>
      <c r="I63" s="53">
        <f>IFERROR(INDEX('Master Stock'!$J$2:$J$100,MATCH(ROWS($G$9:G63),'Master Stock'!$P$2:$P$100,0)),"")</f>
        <v/>
      </c>
      <c r="J63" s="44">
        <f>IF(I63="","",MAX(0,TODAY()-(IF(ISNUMBER(I63),I63,IFERROR(DATE(2000+VALUE(RIGHT(I63,2)),VALUE(MID(I63,4,2)),VALUE(LEFT(I63,2))),"")))))</f>
        <v/>
      </c>
      <c r="K63" s="92" t="n"/>
      <c r="L63" s="49">
        <f>IFERROR(INDEX('Master Stock'!$C$2:$C$100,AGGREGATE(15,6,(ROW('Master Stock'!$C$2:$C$100)-ROW('Master Stock'!$C$2)+1)/(('Master Stock'!$H$2:$H$100="OCCUPIED")*('Master Stock'!$J$2:$J$100&lt;&gt;"")*('Master Stock'!$K$2:$K$100="")*('Master Stock'!$J$2:$J$100&lt;TODAY()-30)),55)),"")</f>
        <v/>
      </c>
      <c r="M63" s="49">
        <f>IFERROR(INDEX('Master Stock'!$D$2:$D$100,AGGREGATE(15,6,(ROW('Master Stock'!$C$2:$C$100)-ROW('Master Stock'!$C$2)+1)/(('Master Stock'!$H$2:$H$100="OCCUPIED")*('Master Stock'!$J$2:$J$100&lt;&gt;"")*('Master Stock'!$K$2:$K$100="")*('Master Stock'!$J$2:$J$100&lt;TODAY()-30)),55)),"")</f>
        <v/>
      </c>
      <c r="N63" s="52">
        <f>IFERROR(INDEX('Master Stock'!$J$2:$J$100,AGGREGATE(15,6,(ROW('Master Stock'!$C$2:$C$100)-ROW('Master Stock'!$C$2)+1)/(('Master Stock'!$H$2:$H$100="OCCUPIED")*('Master Stock'!$J$2:$J$100&lt;&gt;"")*('Master Stock'!$K$2:$K$100="")*('Master Stock'!$J$2:$J$100&lt;TODAY()-30)),55)),"")</f>
        <v/>
      </c>
      <c r="O63" s="51">
        <f>IF(N63="","",MAX(0,TODAY()-(IF(ISNUMBER(N63),N63,IFERROR(DATE(2000+VALUE(RIGHT(N63,2)),VALUE(MID(N63,4,2)),VALUE(LEFT(N63,2))),"")))))</f>
        <v/>
      </c>
    </row>
    <row r="64" ht="15.75" customHeight="1" s="42">
      <c r="A64" s="44">
        <f>IFERROR(INDEX('Master Stock'!$C$2:$C$100,MATCH(ROWS($A$9:A64),'Master Stock'!$N$2:$N$100,0)),"")</f>
        <v/>
      </c>
      <c r="B64" s="44">
        <f>IFERROR(INDEX('Master Stock'!$D$2:$D$100,MATCH(ROWS($A$9:A64),'Master Stock'!$N$2:$N$100,0)),"")</f>
        <v/>
      </c>
      <c r="C64" s="53">
        <f>IFERROR(INDEX('Master Stock'!$B$2:$B$100,MATCH(ROWS($A$9:A64),'Master Stock'!$N$2:$N$100,0)),"")</f>
        <v/>
      </c>
      <c r="D64" s="53">
        <f>IFERROR(INDEX('Master Stock'!$J$2:$J$100,MATCH(ROWS($A$9:A64),'Master Stock'!$N$2:$N$100,0)),"")</f>
        <v/>
      </c>
      <c r="E64" s="44">
        <f>IF(D64="","",MAX(0,TODAY()-(IF(ISNUMBER(D64),D64,IFERROR(DATE(2000+VALUE(RIGHT(D64,2)),VALUE(MID(D64,4,2)),VALUE(LEFT(D64,2))),"")))))</f>
        <v/>
      </c>
      <c r="F64" s="83" t="n"/>
      <c r="G64" s="44">
        <f>IFERROR(INDEX('Master Stock'!$C$2:$C$100,MATCH(ROWS($G$9:G64),'Master Stock'!$P$2:$P$100,0)),"")</f>
        <v/>
      </c>
      <c r="H64" s="44">
        <f>IFERROR(INDEX('Master Stock'!$D$2:$D$100,MATCH(ROWS($G$9:G64),'Master Stock'!$P$2:$P$100,0)),"")</f>
        <v/>
      </c>
      <c r="I64" s="53">
        <f>IFERROR(INDEX('Master Stock'!$J$2:$J$100,MATCH(ROWS($G$9:G64),'Master Stock'!$P$2:$P$100,0)),"")</f>
        <v/>
      </c>
      <c r="J64" s="44">
        <f>IF(I64="","",MAX(0,TODAY()-(IF(ISNUMBER(I64),I64,IFERROR(DATE(2000+VALUE(RIGHT(I64,2)),VALUE(MID(I64,4,2)),VALUE(LEFT(I64,2))),"")))))</f>
        <v/>
      </c>
      <c r="K64" s="92" t="n"/>
      <c r="L64" s="49">
        <f>IFERROR(INDEX('Master Stock'!$C$2:$C$100,AGGREGATE(15,6,(ROW('Master Stock'!$C$2:$C$100)-ROW('Master Stock'!$C$2)+1)/(('Master Stock'!$H$2:$H$100="OCCUPIED")*('Master Stock'!$J$2:$J$100&lt;&gt;"")*('Master Stock'!$K$2:$K$100="")*('Master Stock'!$J$2:$J$100&lt;TODAY()-30)),56)),"")</f>
        <v/>
      </c>
      <c r="M64" s="49">
        <f>IFERROR(INDEX('Master Stock'!$D$2:$D$100,AGGREGATE(15,6,(ROW('Master Stock'!$C$2:$C$100)-ROW('Master Stock'!$C$2)+1)/(('Master Stock'!$H$2:$H$100="OCCUPIED")*('Master Stock'!$J$2:$J$100&lt;&gt;"")*('Master Stock'!$K$2:$K$100="")*('Master Stock'!$J$2:$J$100&lt;TODAY()-30)),56)),"")</f>
        <v/>
      </c>
      <c r="N64" s="52">
        <f>IFERROR(INDEX('Master Stock'!$J$2:$J$100,AGGREGATE(15,6,(ROW('Master Stock'!$C$2:$C$100)-ROW('Master Stock'!$C$2)+1)/(('Master Stock'!$H$2:$H$100="OCCUPIED")*('Master Stock'!$J$2:$J$100&lt;&gt;"")*('Master Stock'!$K$2:$K$100="")*('Master Stock'!$J$2:$J$100&lt;TODAY()-30)),56)),"")</f>
        <v/>
      </c>
      <c r="O64" s="51">
        <f>IF(N64="","",MAX(0,TODAY()-(IF(ISNUMBER(N64),N64,IFERROR(DATE(2000+VALUE(RIGHT(N64,2)),VALUE(MID(N64,4,2)),VALUE(LEFT(N64,2))),"")))))</f>
        <v/>
      </c>
    </row>
    <row r="65" ht="15.75" customHeight="1" s="42">
      <c r="A65" s="44">
        <f>IFERROR(INDEX('Master Stock'!$C$2:$C$100,MATCH(ROWS($A$9:A65),'Master Stock'!$N$2:$N$100,0)),"")</f>
        <v/>
      </c>
      <c r="B65" s="44">
        <f>IFERROR(INDEX('Master Stock'!$D$2:$D$100,MATCH(ROWS($A$9:A65),'Master Stock'!$N$2:$N$100,0)),"")</f>
        <v/>
      </c>
      <c r="C65" s="53">
        <f>IFERROR(INDEX('Master Stock'!$B$2:$B$100,MATCH(ROWS($A$9:A65),'Master Stock'!$N$2:$N$100,0)),"")</f>
        <v/>
      </c>
      <c r="D65" s="53">
        <f>IFERROR(INDEX('Master Stock'!$J$2:$J$100,MATCH(ROWS($A$9:A65),'Master Stock'!$N$2:$N$100,0)),"")</f>
        <v/>
      </c>
      <c r="E65" s="44">
        <f>IF(D65="","",MAX(0,TODAY()-(IF(ISNUMBER(D65),D65,IFERROR(DATE(2000+VALUE(RIGHT(D65,2)),VALUE(MID(D65,4,2)),VALUE(LEFT(D65,2))),"")))))</f>
        <v/>
      </c>
      <c r="F65" s="83" t="n"/>
      <c r="G65" s="44">
        <f>IFERROR(INDEX('Master Stock'!$C$2:$C$100,MATCH(ROWS($G$9:G65),'Master Stock'!$P$2:$P$100,0)),"")</f>
        <v/>
      </c>
      <c r="H65" s="44">
        <f>IFERROR(INDEX('Master Stock'!$D$2:$D$100,MATCH(ROWS($G$9:G65),'Master Stock'!$P$2:$P$100,0)),"")</f>
        <v/>
      </c>
      <c r="I65" s="53">
        <f>IFERROR(INDEX('Master Stock'!$J$2:$J$100,MATCH(ROWS($G$9:G65),'Master Stock'!$P$2:$P$100,0)),"")</f>
        <v/>
      </c>
      <c r="J65" s="44">
        <f>IF(I65="","",MAX(0,TODAY()-(IF(ISNUMBER(I65),I65,IFERROR(DATE(2000+VALUE(RIGHT(I65,2)),VALUE(MID(I65,4,2)),VALUE(LEFT(I65,2))),"")))))</f>
        <v/>
      </c>
      <c r="K65" s="92" t="n"/>
      <c r="L65" s="49">
        <f>IFERROR(INDEX('Master Stock'!$C$2:$C$100,AGGREGATE(15,6,(ROW('Master Stock'!$C$2:$C$100)-ROW('Master Stock'!$C$2)+1)/(('Master Stock'!$H$2:$H$100="OCCUPIED")*('Master Stock'!$J$2:$J$100&lt;&gt;"")*('Master Stock'!$K$2:$K$100="")*('Master Stock'!$J$2:$J$100&lt;TODAY()-30)),57)),"")</f>
        <v/>
      </c>
      <c r="M65" s="49">
        <f>IFERROR(INDEX('Master Stock'!$D$2:$D$100,AGGREGATE(15,6,(ROW('Master Stock'!$C$2:$C$100)-ROW('Master Stock'!$C$2)+1)/(('Master Stock'!$H$2:$H$100="OCCUPIED")*('Master Stock'!$J$2:$J$100&lt;&gt;"")*('Master Stock'!$K$2:$K$100="")*('Master Stock'!$J$2:$J$100&lt;TODAY()-30)),57)),"")</f>
        <v/>
      </c>
      <c r="N65" s="52">
        <f>IFERROR(INDEX('Master Stock'!$J$2:$J$100,AGGREGATE(15,6,(ROW('Master Stock'!$C$2:$C$100)-ROW('Master Stock'!$C$2)+1)/(('Master Stock'!$H$2:$H$100="OCCUPIED")*('Master Stock'!$J$2:$J$100&lt;&gt;"")*('Master Stock'!$K$2:$K$100="")*('Master Stock'!$J$2:$J$100&lt;TODAY()-30)),57)),"")</f>
        <v/>
      </c>
      <c r="O65" s="51">
        <f>IF(N65="","",MAX(0,TODAY()-(IF(ISNUMBER(N65),N65,IFERROR(DATE(2000+VALUE(RIGHT(N65,2)),VALUE(MID(N65,4,2)),VALUE(LEFT(N65,2))),"")))))</f>
        <v/>
      </c>
    </row>
    <row r="66" ht="15.75" customHeight="1" s="42">
      <c r="A66" s="44">
        <f>IFERROR(INDEX('Master Stock'!$C$2:$C$100,MATCH(ROWS($A$9:A66),'Master Stock'!$N$2:$N$100,0)),"")</f>
        <v/>
      </c>
      <c r="B66" s="44">
        <f>IFERROR(INDEX('Master Stock'!$D$2:$D$100,MATCH(ROWS($A$9:A66),'Master Stock'!$N$2:$N$100,0)),"")</f>
        <v/>
      </c>
      <c r="C66" s="53">
        <f>IFERROR(INDEX('Master Stock'!$B$2:$B$100,MATCH(ROWS($A$9:A66),'Master Stock'!$N$2:$N$100,0)),"")</f>
        <v/>
      </c>
      <c r="D66" s="53">
        <f>IFERROR(INDEX('Master Stock'!$J$2:$J$100,MATCH(ROWS($A$9:A66),'Master Stock'!$N$2:$N$100,0)),"")</f>
        <v/>
      </c>
      <c r="E66" s="44">
        <f>IF(D66="","",MAX(0,TODAY()-(IF(ISNUMBER(D66),D66,IFERROR(DATE(2000+VALUE(RIGHT(D66,2)),VALUE(MID(D66,4,2)),VALUE(LEFT(D66,2))),"")))))</f>
        <v/>
      </c>
      <c r="F66" s="83" t="n"/>
      <c r="G66" s="44">
        <f>IFERROR(INDEX('Master Stock'!$C$2:$C$100,MATCH(ROWS($G$9:G66),'Master Stock'!$P$2:$P$100,0)),"")</f>
        <v/>
      </c>
      <c r="H66" s="44">
        <f>IFERROR(INDEX('Master Stock'!$D$2:$D$100,MATCH(ROWS($G$9:G66),'Master Stock'!$P$2:$P$100,0)),"")</f>
        <v/>
      </c>
      <c r="I66" s="53">
        <f>IFERROR(INDEX('Master Stock'!$J$2:$J$100,MATCH(ROWS($G$9:G66),'Master Stock'!$P$2:$P$100,0)),"")</f>
        <v/>
      </c>
      <c r="J66" s="44">
        <f>IF(I66="","",MAX(0,TODAY()-(IF(ISNUMBER(I66),I66,IFERROR(DATE(2000+VALUE(RIGHT(I66,2)),VALUE(MID(I66,4,2)),VALUE(LEFT(I66,2))),"")))))</f>
        <v/>
      </c>
      <c r="K66" s="92" t="n"/>
      <c r="L66" s="49">
        <f>IFERROR(INDEX('Master Stock'!$C$2:$C$100,AGGREGATE(15,6,(ROW('Master Stock'!$C$2:$C$100)-ROW('Master Stock'!$C$2)+1)/(('Master Stock'!$H$2:$H$100="OCCUPIED")*('Master Stock'!$J$2:$J$100&lt;&gt;"")*('Master Stock'!$K$2:$K$100="")*('Master Stock'!$J$2:$J$100&lt;TODAY()-30)),58)),"")</f>
        <v/>
      </c>
      <c r="M66" s="49">
        <f>IFERROR(INDEX('Master Stock'!$D$2:$D$100,AGGREGATE(15,6,(ROW('Master Stock'!$C$2:$C$100)-ROW('Master Stock'!$C$2)+1)/(('Master Stock'!$H$2:$H$100="OCCUPIED")*('Master Stock'!$J$2:$J$100&lt;&gt;"")*('Master Stock'!$K$2:$K$100="")*('Master Stock'!$J$2:$J$100&lt;TODAY()-30)),58)),"")</f>
        <v/>
      </c>
      <c r="N66" s="52">
        <f>IFERROR(INDEX('Master Stock'!$J$2:$J$100,AGGREGATE(15,6,(ROW('Master Stock'!$C$2:$C$100)-ROW('Master Stock'!$C$2)+1)/(('Master Stock'!$H$2:$H$100="OCCUPIED")*('Master Stock'!$J$2:$J$100&lt;&gt;"")*('Master Stock'!$K$2:$K$100="")*('Master Stock'!$J$2:$J$100&lt;TODAY()-30)),58)),"")</f>
        <v/>
      </c>
      <c r="O66" s="51">
        <f>IF(N66="","",MAX(0,TODAY()-(IF(ISNUMBER(N66),N66,IFERROR(DATE(2000+VALUE(RIGHT(N66,2)),VALUE(MID(N66,4,2)),VALUE(LEFT(N66,2))),"")))))</f>
        <v/>
      </c>
    </row>
    <row r="67" ht="15.75" customHeight="1" s="42">
      <c r="A67" s="44">
        <f>IFERROR(INDEX('Master Stock'!$C$2:$C$100,MATCH(ROWS($A$9:A67),'Master Stock'!$N$2:$N$100,0)),"")</f>
        <v/>
      </c>
      <c r="B67" s="44">
        <f>IFERROR(INDEX('Master Stock'!$D$2:$D$100,MATCH(ROWS($A$9:A67),'Master Stock'!$N$2:$N$100,0)),"")</f>
        <v/>
      </c>
      <c r="C67" s="53">
        <f>IFERROR(INDEX('Master Stock'!$B$2:$B$100,MATCH(ROWS($A$9:A67),'Master Stock'!$N$2:$N$100,0)),"")</f>
        <v/>
      </c>
      <c r="D67" s="53">
        <f>IFERROR(INDEX('Master Stock'!$J$2:$J$100,MATCH(ROWS($A$9:A67),'Master Stock'!$N$2:$N$100,0)),"")</f>
        <v/>
      </c>
      <c r="E67" s="44">
        <f>IF(D67="","",MAX(0,TODAY()-(IF(ISNUMBER(D67),D67,IFERROR(DATE(2000+VALUE(RIGHT(D67,2)),VALUE(MID(D67,4,2)),VALUE(LEFT(D67,2))),"")))))</f>
        <v/>
      </c>
      <c r="F67" s="83" t="n"/>
      <c r="G67" s="44">
        <f>IFERROR(INDEX('Master Stock'!$C$2:$C$100,MATCH(ROWS($G$9:G67),'Master Stock'!$P$2:$P$100,0)),"")</f>
        <v/>
      </c>
      <c r="H67" s="44">
        <f>IFERROR(INDEX('Master Stock'!$D$2:$D$100,MATCH(ROWS($G$9:G67),'Master Stock'!$P$2:$P$100,0)),"")</f>
        <v/>
      </c>
      <c r="I67" s="53">
        <f>IFERROR(INDEX('Master Stock'!$J$2:$J$100,MATCH(ROWS($G$9:G67),'Master Stock'!$P$2:$P$100,0)),"")</f>
        <v/>
      </c>
      <c r="J67" s="44">
        <f>IF(I67="","",MAX(0,TODAY()-(IF(ISNUMBER(I67),I67,IFERROR(DATE(2000+VALUE(RIGHT(I67,2)),VALUE(MID(I67,4,2)),VALUE(LEFT(I67,2))),"")))))</f>
        <v/>
      </c>
      <c r="K67" s="92" t="n"/>
      <c r="L67" s="49">
        <f>IFERROR(INDEX('Master Stock'!$C$2:$C$100,AGGREGATE(15,6,(ROW('Master Stock'!$C$2:$C$100)-ROW('Master Stock'!$C$2)+1)/(('Master Stock'!$H$2:$H$100="OCCUPIED")*('Master Stock'!$J$2:$J$100&lt;&gt;"")*('Master Stock'!$K$2:$K$100="")*('Master Stock'!$J$2:$J$100&lt;TODAY()-30)),59)),"")</f>
        <v/>
      </c>
      <c r="M67" s="49">
        <f>IFERROR(INDEX('Master Stock'!$D$2:$D$100,AGGREGATE(15,6,(ROW('Master Stock'!$C$2:$C$100)-ROW('Master Stock'!$C$2)+1)/(('Master Stock'!$H$2:$H$100="OCCUPIED")*('Master Stock'!$J$2:$J$100&lt;&gt;"")*('Master Stock'!$K$2:$K$100="")*('Master Stock'!$J$2:$J$100&lt;TODAY()-30)),59)),"")</f>
        <v/>
      </c>
      <c r="N67" s="52">
        <f>IFERROR(INDEX('Master Stock'!$J$2:$J$100,AGGREGATE(15,6,(ROW('Master Stock'!$C$2:$C$100)-ROW('Master Stock'!$C$2)+1)/(('Master Stock'!$H$2:$H$100="OCCUPIED")*('Master Stock'!$J$2:$J$100&lt;&gt;"")*('Master Stock'!$K$2:$K$100="")*('Master Stock'!$J$2:$J$100&lt;TODAY()-30)),59)),"")</f>
        <v/>
      </c>
      <c r="O67" s="51">
        <f>IF(N67="","",MAX(0,TODAY()-(IF(ISNUMBER(N67),N67,IFERROR(DATE(2000+VALUE(RIGHT(N67,2)),VALUE(MID(N67,4,2)),VALUE(LEFT(N67,2))),"")))))</f>
        <v/>
      </c>
    </row>
    <row r="68" ht="15.75" customHeight="1" s="42">
      <c r="A68" s="44">
        <f>IFERROR(INDEX('Master Stock'!$C$2:$C$100,MATCH(ROWS($A$9:A68),'Master Stock'!$N$2:$N$100,0)),"")</f>
        <v/>
      </c>
      <c r="B68" s="44">
        <f>IFERROR(INDEX('Master Stock'!$D$2:$D$100,MATCH(ROWS($A$9:A68),'Master Stock'!$N$2:$N$100,0)),"")</f>
        <v/>
      </c>
      <c r="C68" s="53">
        <f>IFERROR(INDEX('Master Stock'!$B$2:$B$100,MATCH(ROWS($A$9:A68),'Master Stock'!$N$2:$N$100,0)),"")</f>
        <v/>
      </c>
      <c r="D68" s="53">
        <f>IFERROR(INDEX('Master Stock'!$J$2:$J$100,MATCH(ROWS($A$9:A68),'Master Stock'!$N$2:$N$100,0)),"")</f>
        <v/>
      </c>
      <c r="E68" s="44">
        <f>IF(D68="","",MAX(0,TODAY()-(IF(ISNUMBER(D68),D68,IFERROR(DATE(2000+VALUE(RIGHT(D68,2)),VALUE(MID(D68,4,2)),VALUE(LEFT(D68,2))),"")))))</f>
        <v/>
      </c>
      <c r="F68" s="83" t="n"/>
      <c r="G68" s="44">
        <f>IFERROR(INDEX('Master Stock'!$C$2:$C$100,MATCH(ROWS($G$9:G68),'Master Stock'!$P$2:$P$100,0)),"")</f>
        <v/>
      </c>
      <c r="H68" s="44">
        <f>IFERROR(INDEX('Master Stock'!$D$2:$D$100,MATCH(ROWS($G$9:G68),'Master Stock'!$P$2:$P$100,0)),"")</f>
        <v/>
      </c>
      <c r="I68" s="53">
        <f>IFERROR(INDEX('Master Stock'!$J$2:$J$100,MATCH(ROWS($G$9:G68),'Master Stock'!$P$2:$P$100,0)),"")</f>
        <v/>
      </c>
      <c r="J68" s="44">
        <f>IF(I68="","",MAX(0,TODAY()-(IF(ISNUMBER(I68),I68,IFERROR(DATE(2000+VALUE(RIGHT(I68,2)),VALUE(MID(I68,4,2)),VALUE(LEFT(I68,2))),"")))))</f>
        <v/>
      </c>
      <c r="K68" s="92" t="n"/>
      <c r="L68" s="49">
        <f>IFERROR(INDEX('Master Stock'!$C$2:$C$100,AGGREGATE(15,6,(ROW('Master Stock'!$C$2:$C$100)-ROW('Master Stock'!$C$2)+1)/(('Master Stock'!$H$2:$H$100="OCCUPIED")*('Master Stock'!$J$2:$J$100&lt;&gt;"")*('Master Stock'!$K$2:$K$100="")*('Master Stock'!$J$2:$J$100&lt;TODAY()-30)),60)),"")</f>
        <v/>
      </c>
      <c r="M68" s="49">
        <f>IFERROR(INDEX('Master Stock'!$D$2:$D$100,AGGREGATE(15,6,(ROW('Master Stock'!$C$2:$C$100)-ROW('Master Stock'!$C$2)+1)/(('Master Stock'!$H$2:$H$100="OCCUPIED")*('Master Stock'!$J$2:$J$100&lt;&gt;"")*('Master Stock'!$K$2:$K$100="")*('Master Stock'!$J$2:$J$100&lt;TODAY()-30)),60)),"")</f>
        <v/>
      </c>
      <c r="N68" s="52">
        <f>IFERROR(INDEX('Master Stock'!$J$2:$J$100,AGGREGATE(15,6,(ROW('Master Stock'!$C$2:$C$100)-ROW('Master Stock'!$C$2)+1)/(('Master Stock'!$H$2:$H$100="OCCUPIED")*('Master Stock'!$J$2:$J$100&lt;&gt;"")*('Master Stock'!$K$2:$K$100="")*('Master Stock'!$J$2:$J$100&lt;TODAY()-30)),60)),"")</f>
        <v/>
      </c>
      <c r="O68" s="51">
        <f>IF(N68="","",MAX(0,TODAY()-(IF(ISNUMBER(N68),N68,IFERROR(DATE(2000+VALUE(RIGHT(N68,2)),VALUE(MID(N68,4,2)),VALUE(LEFT(N68,2))),"")))))</f>
        <v/>
      </c>
    </row>
    <row r="69" ht="15.75" customHeight="1" s="42">
      <c r="A69" s="44">
        <f>IFERROR(INDEX('Master Stock'!$C$2:$C$100,MATCH(ROWS($A$9:A69),'Master Stock'!$N$2:$N$100,0)),"")</f>
        <v/>
      </c>
      <c r="B69" s="44">
        <f>IFERROR(INDEX('Master Stock'!$D$2:$D$100,MATCH(ROWS($A$9:A69),'Master Stock'!$N$2:$N$100,0)),"")</f>
        <v/>
      </c>
      <c r="C69" s="53">
        <f>IFERROR(INDEX('Master Stock'!$B$2:$B$100,MATCH(ROWS($A$9:A69),'Master Stock'!$N$2:$N$100,0)),"")</f>
        <v/>
      </c>
      <c r="D69" s="53">
        <f>IFERROR(INDEX('Master Stock'!$J$2:$J$100,MATCH(ROWS($A$9:A69),'Master Stock'!$N$2:$N$100,0)),"")</f>
        <v/>
      </c>
      <c r="E69" s="44">
        <f>IF(D69="","",MAX(0,TODAY()-(IF(ISNUMBER(D69),D69,IFERROR(DATE(2000+VALUE(RIGHT(D69,2)),VALUE(MID(D69,4,2)),VALUE(LEFT(D69,2))),"")))))</f>
        <v/>
      </c>
      <c r="F69" s="83" t="n"/>
      <c r="G69" s="44">
        <f>IFERROR(INDEX('Master Stock'!$C$2:$C$100,MATCH(ROWS($G$9:G69),'Master Stock'!$P$2:$P$100,0)),"")</f>
        <v/>
      </c>
      <c r="H69" s="44">
        <f>IFERROR(INDEX('Master Stock'!$D$2:$D$100,MATCH(ROWS($G$9:G69),'Master Stock'!$P$2:$P$100,0)),"")</f>
        <v/>
      </c>
      <c r="I69" s="53">
        <f>IFERROR(INDEX('Master Stock'!$J$2:$J$100,MATCH(ROWS($G$9:G69),'Master Stock'!$P$2:$P$100,0)),"")</f>
        <v/>
      </c>
      <c r="J69" s="44">
        <f>IF(I69="","",MAX(0,TODAY()-(IF(ISNUMBER(I69),I69,IFERROR(DATE(2000+VALUE(RIGHT(I69,2)),VALUE(MID(I69,4,2)),VALUE(LEFT(I69,2))),"")))))</f>
        <v/>
      </c>
      <c r="K69" s="92" t="n"/>
      <c r="L69" s="49">
        <f>IFERROR(INDEX('Master Stock'!$C$2:$C$100,AGGREGATE(15,6,(ROW('Master Stock'!$C$2:$C$100)-ROW('Master Stock'!$C$2)+1)/(('Master Stock'!$H$2:$H$100="OCCUPIED")*('Master Stock'!$J$2:$J$100&lt;&gt;"")*('Master Stock'!$K$2:$K$100="")*('Master Stock'!$J$2:$J$100&lt;TODAY()-30)),61)),"")</f>
        <v/>
      </c>
      <c r="M69" s="49">
        <f>IFERROR(INDEX('Master Stock'!$D$2:$D$100,AGGREGATE(15,6,(ROW('Master Stock'!$C$2:$C$100)-ROW('Master Stock'!$C$2)+1)/(('Master Stock'!$H$2:$H$100="OCCUPIED")*('Master Stock'!$J$2:$J$100&lt;&gt;"")*('Master Stock'!$K$2:$K$100="")*('Master Stock'!$J$2:$J$100&lt;TODAY()-30)),61)),"")</f>
        <v/>
      </c>
      <c r="N69" s="52">
        <f>IFERROR(INDEX('Master Stock'!$J$2:$J$100,AGGREGATE(15,6,(ROW('Master Stock'!$C$2:$C$100)-ROW('Master Stock'!$C$2)+1)/(('Master Stock'!$H$2:$H$100="OCCUPIED")*('Master Stock'!$J$2:$J$100&lt;&gt;"")*('Master Stock'!$K$2:$K$100="")*('Master Stock'!$J$2:$J$100&lt;TODAY()-30)),61)),"")</f>
        <v/>
      </c>
      <c r="O69" s="51">
        <f>IF(N69="","",MAX(0,TODAY()-(IF(ISNUMBER(N69),N69,IFERROR(DATE(2000+VALUE(RIGHT(N69,2)),VALUE(MID(N69,4,2)),VALUE(LEFT(N69,2))),"")))))</f>
        <v/>
      </c>
    </row>
    <row r="70" ht="15.75" customHeight="1" s="42">
      <c r="A70" s="44">
        <f>IFERROR(INDEX('Master Stock'!$C$2:$C$100,MATCH(ROWS($A$9:A70),'Master Stock'!$N$2:$N$100,0)),"")</f>
        <v/>
      </c>
      <c r="B70" s="44">
        <f>IFERROR(INDEX('Master Stock'!$D$2:$D$100,MATCH(ROWS($A$9:A70),'Master Stock'!$N$2:$N$100,0)),"")</f>
        <v/>
      </c>
      <c r="C70" s="53">
        <f>IFERROR(INDEX('Master Stock'!$B$2:$B$100,MATCH(ROWS($A$9:A70),'Master Stock'!$N$2:$N$100,0)),"")</f>
        <v/>
      </c>
      <c r="D70" s="53">
        <f>IFERROR(INDEX('Master Stock'!$J$2:$J$100,MATCH(ROWS($A$9:A70),'Master Stock'!$N$2:$N$100,0)),"")</f>
        <v/>
      </c>
      <c r="E70" s="44">
        <f>IF(D70="","",MAX(0,TODAY()-(IF(ISNUMBER(D70),D70,IFERROR(DATE(2000+VALUE(RIGHT(D70,2)),VALUE(MID(D70,4,2)),VALUE(LEFT(D70,2))),"")))))</f>
        <v/>
      </c>
      <c r="F70" s="83" t="n"/>
      <c r="G70" s="44">
        <f>IFERROR(INDEX('Master Stock'!$C$2:$C$100,MATCH(ROWS($G$9:G70),'Master Stock'!$P$2:$P$100,0)),"")</f>
        <v/>
      </c>
      <c r="H70" s="44">
        <f>IFERROR(INDEX('Master Stock'!$D$2:$D$100,MATCH(ROWS($G$9:G70),'Master Stock'!$P$2:$P$100,0)),"")</f>
        <v/>
      </c>
      <c r="I70" s="53">
        <f>IFERROR(INDEX('Master Stock'!$J$2:$J$100,MATCH(ROWS($G$9:G70),'Master Stock'!$P$2:$P$100,0)),"")</f>
        <v/>
      </c>
      <c r="J70" s="44">
        <f>IF(I70="","",MAX(0,TODAY()-(IF(ISNUMBER(I70),I70,IFERROR(DATE(2000+VALUE(RIGHT(I70,2)),VALUE(MID(I70,4,2)),VALUE(LEFT(I70,2))),"")))))</f>
        <v/>
      </c>
      <c r="K70" s="92" t="n"/>
      <c r="L70" s="49">
        <f>IFERROR(INDEX('Master Stock'!$C$2:$C$100,AGGREGATE(15,6,(ROW('Master Stock'!$C$2:$C$100)-ROW('Master Stock'!$C$2)+1)/(('Master Stock'!$H$2:$H$100="OCCUPIED")*('Master Stock'!$J$2:$J$100&lt;&gt;"")*('Master Stock'!$K$2:$K$100="")*('Master Stock'!$J$2:$J$100&lt;TODAY()-30)),62)),"")</f>
        <v/>
      </c>
      <c r="M70" s="49">
        <f>IFERROR(INDEX('Master Stock'!$D$2:$D$100,AGGREGATE(15,6,(ROW('Master Stock'!$C$2:$C$100)-ROW('Master Stock'!$C$2)+1)/(('Master Stock'!$H$2:$H$100="OCCUPIED")*('Master Stock'!$J$2:$J$100&lt;&gt;"")*('Master Stock'!$K$2:$K$100="")*('Master Stock'!$J$2:$J$100&lt;TODAY()-30)),62)),"")</f>
        <v/>
      </c>
      <c r="N70" s="52">
        <f>IFERROR(INDEX('Master Stock'!$J$2:$J$100,AGGREGATE(15,6,(ROW('Master Stock'!$C$2:$C$100)-ROW('Master Stock'!$C$2)+1)/(('Master Stock'!$H$2:$H$100="OCCUPIED")*('Master Stock'!$J$2:$J$100&lt;&gt;"")*('Master Stock'!$K$2:$K$100="")*('Master Stock'!$J$2:$J$100&lt;TODAY()-30)),62)),"")</f>
        <v/>
      </c>
      <c r="O70" s="51">
        <f>IF(N70="","",MAX(0,TODAY()-(IF(ISNUMBER(N70),N70,IFERROR(DATE(2000+VALUE(RIGHT(N70,2)),VALUE(MID(N70,4,2)),VALUE(LEFT(N70,2))),"")))))</f>
        <v/>
      </c>
    </row>
    <row r="71" ht="15.75" customHeight="1" s="42">
      <c r="A71" s="44">
        <f>IFERROR(INDEX('Master Stock'!$C$2:$C$100,MATCH(ROWS($A$9:A71),'Master Stock'!$N$2:$N$100,0)),"")</f>
        <v/>
      </c>
      <c r="B71" s="44">
        <f>IFERROR(INDEX('Master Stock'!$D$2:$D$100,MATCH(ROWS($A$9:A71),'Master Stock'!$N$2:$N$100,0)),"")</f>
        <v/>
      </c>
      <c r="C71" s="53">
        <f>IFERROR(INDEX('Master Stock'!$B$2:$B$100,MATCH(ROWS($A$9:A71),'Master Stock'!$N$2:$N$100,0)),"")</f>
        <v/>
      </c>
      <c r="D71" s="53">
        <f>IFERROR(INDEX('Master Stock'!$J$2:$J$100,MATCH(ROWS($A$9:A71),'Master Stock'!$N$2:$N$100,0)),"")</f>
        <v/>
      </c>
      <c r="E71" s="44">
        <f>IF(D71="","",MAX(0,TODAY()-(IF(ISNUMBER(D71),D71,IFERROR(DATE(2000+VALUE(RIGHT(D71,2)),VALUE(MID(D71,4,2)),VALUE(LEFT(D71,2))),"")))))</f>
        <v/>
      </c>
      <c r="F71" s="83" t="n"/>
      <c r="G71" s="44">
        <f>IFERROR(INDEX('Master Stock'!$C$2:$C$100,MATCH(ROWS($G$9:G71),'Master Stock'!$P$2:$P$100,0)),"")</f>
        <v/>
      </c>
      <c r="H71" s="44">
        <f>IFERROR(INDEX('Master Stock'!$D$2:$D$100,MATCH(ROWS($G$9:G71),'Master Stock'!$P$2:$P$100,0)),"")</f>
        <v/>
      </c>
      <c r="I71" s="53">
        <f>IFERROR(INDEX('Master Stock'!$J$2:$J$100,MATCH(ROWS($G$9:G71),'Master Stock'!$P$2:$P$100,0)),"")</f>
        <v/>
      </c>
      <c r="J71" s="44">
        <f>IF(I71="","",MAX(0,TODAY()-(IF(ISNUMBER(I71),I71,IFERROR(DATE(2000+VALUE(RIGHT(I71,2)),VALUE(MID(I71,4,2)),VALUE(LEFT(I71,2))),"")))))</f>
        <v/>
      </c>
      <c r="K71" s="92" t="n"/>
      <c r="L71" s="49">
        <f>IFERROR(INDEX('Master Stock'!$C$2:$C$100,AGGREGATE(15,6,(ROW('Master Stock'!$C$2:$C$100)-ROW('Master Stock'!$C$2)+1)/(('Master Stock'!$H$2:$H$100="OCCUPIED")*('Master Stock'!$J$2:$J$100&lt;&gt;"")*('Master Stock'!$K$2:$K$100="")*('Master Stock'!$J$2:$J$100&lt;TODAY()-30)),63)),"")</f>
        <v/>
      </c>
      <c r="M71" s="49">
        <f>IFERROR(INDEX('Master Stock'!$D$2:$D$100,AGGREGATE(15,6,(ROW('Master Stock'!$C$2:$C$100)-ROW('Master Stock'!$C$2)+1)/(('Master Stock'!$H$2:$H$100="OCCUPIED")*('Master Stock'!$J$2:$J$100&lt;&gt;"")*('Master Stock'!$K$2:$K$100="")*('Master Stock'!$J$2:$J$100&lt;TODAY()-30)),63)),"")</f>
        <v/>
      </c>
      <c r="N71" s="52">
        <f>IFERROR(INDEX('Master Stock'!$J$2:$J$100,AGGREGATE(15,6,(ROW('Master Stock'!$C$2:$C$100)-ROW('Master Stock'!$C$2)+1)/(('Master Stock'!$H$2:$H$100="OCCUPIED")*('Master Stock'!$J$2:$J$100&lt;&gt;"")*('Master Stock'!$K$2:$K$100="")*('Master Stock'!$J$2:$J$100&lt;TODAY()-30)),63)),"")</f>
        <v/>
      </c>
      <c r="O71" s="51">
        <f>IF(N71="","",MAX(0,TODAY()-(IF(ISNUMBER(N71),N71,IFERROR(DATE(2000+VALUE(RIGHT(N71,2)),VALUE(MID(N71,4,2)),VALUE(LEFT(N71,2))),"")))))</f>
        <v/>
      </c>
    </row>
    <row r="72" ht="15.75" customHeight="1" s="42">
      <c r="A72" s="44">
        <f>IFERROR(INDEX('Master Stock'!$C$2:$C$100,MATCH(ROWS($A$9:A72),'Master Stock'!$N$2:$N$100,0)),"")</f>
        <v/>
      </c>
      <c r="B72" s="44">
        <f>IFERROR(INDEX('Master Stock'!$D$2:$D$100,MATCH(ROWS($A$9:A72),'Master Stock'!$N$2:$N$100,0)),"")</f>
        <v/>
      </c>
      <c r="C72" s="53">
        <f>IFERROR(INDEX('Master Stock'!$B$2:$B$100,MATCH(ROWS($A$9:A72),'Master Stock'!$N$2:$N$100,0)),"")</f>
        <v/>
      </c>
      <c r="D72" s="53">
        <f>IFERROR(INDEX('Master Stock'!$J$2:$J$100,MATCH(ROWS($A$9:A72),'Master Stock'!$N$2:$N$100,0)),"")</f>
        <v/>
      </c>
      <c r="E72" s="44">
        <f>IF(D72="","",MAX(0,TODAY()-(IF(ISNUMBER(D72),D72,IFERROR(DATE(2000+VALUE(RIGHT(D72,2)),VALUE(MID(D72,4,2)),VALUE(LEFT(D72,2))),"")))))</f>
        <v/>
      </c>
      <c r="F72" s="83" t="n"/>
      <c r="G72" s="44">
        <f>IFERROR(INDEX('Master Stock'!$C$2:$C$100,MATCH(ROWS($G$9:G72),'Master Stock'!$P$2:$P$100,0)),"")</f>
        <v/>
      </c>
      <c r="H72" s="44">
        <f>IFERROR(INDEX('Master Stock'!$D$2:$D$100,MATCH(ROWS($G$9:G72),'Master Stock'!$P$2:$P$100,0)),"")</f>
        <v/>
      </c>
      <c r="I72" s="53">
        <f>IFERROR(INDEX('Master Stock'!$J$2:$J$100,MATCH(ROWS($G$9:G72),'Master Stock'!$P$2:$P$100,0)),"")</f>
        <v/>
      </c>
      <c r="J72" s="44">
        <f>IF(I72="","",MAX(0,TODAY()-(IF(ISNUMBER(I72),I72,IFERROR(DATE(2000+VALUE(RIGHT(I72,2)),VALUE(MID(I72,4,2)),VALUE(LEFT(I72,2))),"")))))</f>
        <v/>
      </c>
      <c r="K72" s="92" t="n"/>
      <c r="L72" s="49">
        <f>IFERROR(INDEX('Master Stock'!$C$2:$C$100,AGGREGATE(15,6,(ROW('Master Stock'!$C$2:$C$100)-ROW('Master Stock'!$C$2)+1)/(('Master Stock'!$H$2:$H$100="OCCUPIED")*('Master Stock'!$J$2:$J$100&lt;&gt;"")*('Master Stock'!$K$2:$K$100="")*('Master Stock'!$J$2:$J$100&lt;TODAY()-30)),64)),"")</f>
        <v/>
      </c>
      <c r="M72" s="49">
        <f>IFERROR(INDEX('Master Stock'!$D$2:$D$100,AGGREGATE(15,6,(ROW('Master Stock'!$C$2:$C$100)-ROW('Master Stock'!$C$2)+1)/(('Master Stock'!$H$2:$H$100="OCCUPIED")*('Master Stock'!$J$2:$J$100&lt;&gt;"")*('Master Stock'!$K$2:$K$100="")*('Master Stock'!$J$2:$J$100&lt;TODAY()-30)),64)),"")</f>
        <v/>
      </c>
      <c r="N72" s="52">
        <f>IFERROR(INDEX('Master Stock'!$J$2:$J$100,AGGREGATE(15,6,(ROW('Master Stock'!$C$2:$C$100)-ROW('Master Stock'!$C$2)+1)/(('Master Stock'!$H$2:$H$100="OCCUPIED")*('Master Stock'!$J$2:$J$100&lt;&gt;"")*('Master Stock'!$K$2:$K$100="")*('Master Stock'!$J$2:$J$100&lt;TODAY()-30)),64)),"")</f>
        <v/>
      </c>
      <c r="O72" s="51">
        <f>IF(N72="","",MAX(0,TODAY()-(IF(ISNUMBER(N72),N72,IFERROR(DATE(2000+VALUE(RIGHT(N72,2)),VALUE(MID(N72,4,2)),VALUE(LEFT(N72,2))),"")))))</f>
        <v/>
      </c>
    </row>
    <row r="73" ht="15.75" customHeight="1" s="42">
      <c r="A73" s="44">
        <f>IFERROR(INDEX('Master Stock'!$C$2:$C$100,MATCH(ROWS($A$9:A73),'Master Stock'!$N$2:$N$100,0)),"")</f>
        <v/>
      </c>
      <c r="B73" s="44">
        <f>IFERROR(INDEX('Master Stock'!$D$2:$D$100,MATCH(ROWS($A$9:A73),'Master Stock'!$N$2:$N$100,0)),"")</f>
        <v/>
      </c>
      <c r="C73" s="53">
        <f>IFERROR(INDEX('Master Stock'!$B$2:$B$100,MATCH(ROWS($A$9:A73),'Master Stock'!$N$2:$N$100,0)),"")</f>
        <v/>
      </c>
      <c r="D73" s="53">
        <f>IFERROR(INDEX('Master Stock'!$J$2:$J$100,MATCH(ROWS($A$9:A73),'Master Stock'!$N$2:$N$100,0)),"")</f>
        <v/>
      </c>
      <c r="E73" s="44">
        <f>IF(D73="","",MAX(0,TODAY()-(IF(ISNUMBER(D73),D73,IFERROR(DATE(2000+VALUE(RIGHT(D73,2)),VALUE(MID(D73,4,2)),VALUE(LEFT(D73,2))),"")))))</f>
        <v/>
      </c>
      <c r="F73" s="83" t="n"/>
      <c r="G73" s="44">
        <f>IFERROR(INDEX('Master Stock'!$C$2:$C$100,MATCH(ROWS($G$9:G73),'Master Stock'!$P$2:$P$100,0)),"")</f>
        <v/>
      </c>
      <c r="H73" s="44">
        <f>IFERROR(INDEX('Master Stock'!$D$2:$D$100,MATCH(ROWS($G$9:G73),'Master Stock'!$P$2:$P$100,0)),"")</f>
        <v/>
      </c>
      <c r="I73" s="53">
        <f>IFERROR(INDEX('Master Stock'!$J$2:$J$100,MATCH(ROWS($G$9:G73),'Master Stock'!$P$2:$P$100,0)),"")</f>
        <v/>
      </c>
      <c r="J73" s="44">
        <f>IF(I73="","",MAX(0,TODAY()-(IF(ISNUMBER(I73),I73,IFERROR(DATE(2000+VALUE(RIGHT(I73,2)),VALUE(MID(I73,4,2)),VALUE(LEFT(I73,2))),"")))))</f>
        <v/>
      </c>
      <c r="K73" s="92" t="n"/>
      <c r="L73" s="49">
        <f>IFERROR(INDEX('Master Stock'!$C$2:$C$100,AGGREGATE(15,6,(ROW('Master Stock'!$C$2:$C$100)-ROW('Master Stock'!$C$2)+1)/(('Master Stock'!$H$2:$H$100="OCCUPIED")*('Master Stock'!$J$2:$J$100&lt;&gt;"")*('Master Stock'!$K$2:$K$100="")*('Master Stock'!$J$2:$J$100&lt;TODAY()-30)),65)),"")</f>
        <v/>
      </c>
      <c r="M73" s="49">
        <f>IFERROR(INDEX('Master Stock'!$D$2:$D$100,AGGREGATE(15,6,(ROW('Master Stock'!$C$2:$C$100)-ROW('Master Stock'!$C$2)+1)/(('Master Stock'!$H$2:$H$100="OCCUPIED")*('Master Stock'!$J$2:$J$100&lt;&gt;"")*('Master Stock'!$K$2:$K$100="")*('Master Stock'!$J$2:$J$100&lt;TODAY()-30)),65)),"")</f>
        <v/>
      </c>
      <c r="N73" s="52">
        <f>IFERROR(INDEX('Master Stock'!$J$2:$J$100,AGGREGATE(15,6,(ROW('Master Stock'!$C$2:$C$100)-ROW('Master Stock'!$C$2)+1)/(('Master Stock'!$H$2:$H$100="OCCUPIED")*('Master Stock'!$J$2:$J$100&lt;&gt;"")*('Master Stock'!$K$2:$K$100="")*('Master Stock'!$J$2:$J$100&lt;TODAY()-30)),65)),"")</f>
        <v/>
      </c>
      <c r="O73" s="51">
        <f>IF(N73="","",MAX(0,TODAY()-(IF(ISNUMBER(N73),N73,IFERROR(DATE(2000+VALUE(RIGHT(N73,2)),VALUE(MID(N73,4,2)),VALUE(LEFT(N73,2))),"")))))</f>
        <v/>
      </c>
    </row>
    <row r="74" ht="15.75" customHeight="1" s="42">
      <c r="A74" s="44">
        <f>IFERROR(INDEX('Master Stock'!$C$2:$C$100,MATCH(ROWS($A$9:A74),'Master Stock'!$N$2:$N$100,0)),"")</f>
        <v/>
      </c>
      <c r="B74" s="44">
        <f>IFERROR(INDEX('Master Stock'!$D$2:$D$100,MATCH(ROWS($A$9:A74),'Master Stock'!$N$2:$N$100,0)),"")</f>
        <v/>
      </c>
      <c r="C74" s="53">
        <f>IFERROR(INDEX('Master Stock'!$B$2:$B$100,MATCH(ROWS($A$9:A74),'Master Stock'!$N$2:$N$100,0)),"")</f>
        <v/>
      </c>
      <c r="D74" s="53">
        <f>IFERROR(INDEX('Master Stock'!$J$2:$J$100,MATCH(ROWS($A$9:A74),'Master Stock'!$N$2:$N$100,0)),"")</f>
        <v/>
      </c>
      <c r="E74" s="44">
        <f>IF(D74="","",MAX(0,TODAY()-(IF(ISNUMBER(D74),D74,IFERROR(DATE(2000+VALUE(RIGHT(D74,2)),VALUE(MID(D74,4,2)),VALUE(LEFT(D74,2))),"")))))</f>
        <v/>
      </c>
      <c r="F74" s="83" t="n"/>
      <c r="G74" s="44">
        <f>IFERROR(INDEX('Master Stock'!$C$2:$C$100,MATCH(ROWS($G$9:G74),'Master Stock'!$P$2:$P$100,0)),"")</f>
        <v/>
      </c>
      <c r="H74" s="44">
        <f>IFERROR(INDEX('Master Stock'!$D$2:$D$100,MATCH(ROWS($G$9:G74),'Master Stock'!$P$2:$P$100,0)),"")</f>
        <v/>
      </c>
      <c r="I74" s="53">
        <f>IFERROR(INDEX('Master Stock'!$J$2:$J$100,MATCH(ROWS($G$9:G74),'Master Stock'!$P$2:$P$100,0)),"")</f>
        <v/>
      </c>
      <c r="J74" s="44">
        <f>IF(I74="","",MAX(0,TODAY()-(IF(ISNUMBER(I74),I74,IFERROR(DATE(2000+VALUE(RIGHT(I74,2)),VALUE(MID(I74,4,2)),VALUE(LEFT(I74,2))),"")))))</f>
        <v/>
      </c>
      <c r="K74" s="92" t="n"/>
      <c r="L74" s="49">
        <f>IFERROR(INDEX('Master Stock'!$C$2:$C$100,AGGREGATE(15,6,(ROW('Master Stock'!$C$2:$C$100)-ROW('Master Stock'!$C$2)+1)/(('Master Stock'!$H$2:$H$100="OCCUPIED")*('Master Stock'!$J$2:$J$100&lt;&gt;"")*('Master Stock'!$K$2:$K$100="")*('Master Stock'!$J$2:$J$100&lt;TODAY()-30)),66)),"")</f>
        <v/>
      </c>
      <c r="M74" s="49">
        <f>IFERROR(INDEX('Master Stock'!$D$2:$D$100,AGGREGATE(15,6,(ROW('Master Stock'!$C$2:$C$100)-ROW('Master Stock'!$C$2)+1)/(('Master Stock'!$H$2:$H$100="OCCUPIED")*('Master Stock'!$J$2:$J$100&lt;&gt;"")*('Master Stock'!$K$2:$K$100="")*('Master Stock'!$J$2:$J$100&lt;TODAY()-30)),66)),"")</f>
        <v/>
      </c>
      <c r="N74" s="52">
        <f>IFERROR(INDEX('Master Stock'!$J$2:$J$100,AGGREGATE(15,6,(ROW('Master Stock'!$C$2:$C$100)-ROW('Master Stock'!$C$2)+1)/(('Master Stock'!$H$2:$H$100="OCCUPIED")*('Master Stock'!$J$2:$J$100&lt;&gt;"")*('Master Stock'!$K$2:$K$100="")*('Master Stock'!$J$2:$J$100&lt;TODAY()-30)),66)),"")</f>
        <v/>
      </c>
      <c r="O74" s="51">
        <f>IF(N74="","",MAX(0,TODAY()-(IF(ISNUMBER(N74),N74,IFERROR(DATE(2000+VALUE(RIGHT(N74,2)),VALUE(MID(N74,4,2)),VALUE(LEFT(N74,2))),"")))))</f>
        <v/>
      </c>
    </row>
    <row r="75" ht="15.75" customHeight="1" s="42">
      <c r="A75" s="44">
        <f>IFERROR(INDEX('Master Stock'!$C$2:$C$100,MATCH(ROWS($A$9:A75),'Master Stock'!$N$2:$N$100,0)),"")</f>
        <v/>
      </c>
      <c r="B75" s="44">
        <f>IFERROR(INDEX('Master Stock'!$D$2:$D$100,MATCH(ROWS($A$9:A75),'Master Stock'!$N$2:$N$100,0)),"")</f>
        <v/>
      </c>
      <c r="C75" s="53">
        <f>IFERROR(INDEX('Master Stock'!$B$2:$B$100,MATCH(ROWS($A$9:A75),'Master Stock'!$N$2:$N$100,0)),"")</f>
        <v/>
      </c>
      <c r="D75" s="53">
        <f>IFERROR(INDEX('Master Stock'!$J$2:$J$100,MATCH(ROWS($A$9:A75),'Master Stock'!$N$2:$N$100,0)),"")</f>
        <v/>
      </c>
      <c r="E75" s="44">
        <f>IF(D75="","",MAX(0,TODAY()-(IF(ISNUMBER(D75),D75,IFERROR(DATE(2000+VALUE(RIGHT(D75,2)),VALUE(MID(D75,4,2)),VALUE(LEFT(D75,2))),"")))))</f>
        <v/>
      </c>
      <c r="F75" s="83" t="n"/>
      <c r="G75" s="44">
        <f>IFERROR(INDEX('Master Stock'!$C$2:$C$100,MATCH(ROWS($G$9:G75),'Master Stock'!$P$2:$P$100,0)),"")</f>
        <v/>
      </c>
      <c r="H75" s="44">
        <f>IFERROR(INDEX('Master Stock'!$D$2:$D$100,MATCH(ROWS($G$9:G75),'Master Stock'!$P$2:$P$100,0)),"")</f>
        <v/>
      </c>
      <c r="I75" s="53">
        <f>IFERROR(INDEX('Master Stock'!$J$2:$J$100,MATCH(ROWS($G$9:G75),'Master Stock'!$P$2:$P$100,0)),"")</f>
        <v/>
      </c>
      <c r="J75" s="44">
        <f>IF(I75="","",MAX(0,TODAY()-(IF(ISNUMBER(I75),I75,IFERROR(DATE(2000+VALUE(RIGHT(I75,2)),VALUE(MID(I75,4,2)),VALUE(LEFT(I75,2))),"")))))</f>
        <v/>
      </c>
      <c r="K75" s="92" t="n"/>
      <c r="L75" s="49">
        <f>IFERROR(INDEX('Master Stock'!$C$2:$C$100,AGGREGATE(15,6,(ROW('Master Stock'!$C$2:$C$100)-ROW('Master Stock'!$C$2)+1)/(('Master Stock'!$H$2:$H$100="OCCUPIED")*('Master Stock'!$J$2:$J$100&lt;&gt;"")*('Master Stock'!$K$2:$K$100="")*('Master Stock'!$J$2:$J$100&lt;TODAY()-30)),67)),"")</f>
        <v/>
      </c>
      <c r="M75" s="49">
        <f>IFERROR(INDEX('Master Stock'!$D$2:$D$100,AGGREGATE(15,6,(ROW('Master Stock'!$C$2:$C$100)-ROW('Master Stock'!$C$2)+1)/(('Master Stock'!$H$2:$H$100="OCCUPIED")*('Master Stock'!$J$2:$J$100&lt;&gt;"")*('Master Stock'!$K$2:$K$100="")*('Master Stock'!$J$2:$J$100&lt;TODAY()-30)),67)),"")</f>
        <v/>
      </c>
      <c r="N75" s="52">
        <f>IFERROR(INDEX('Master Stock'!$J$2:$J$100,AGGREGATE(15,6,(ROW('Master Stock'!$C$2:$C$100)-ROW('Master Stock'!$C$2)+1)/(('Master Stock'!$H$2:$H$100="OCCUPIED")*('Master Stock'!$J$2:$J$100&lt;&gt;"")*('Master Stock'!$K$2:$K$100="")*('Master Stock'!$J$2:$J$100&lt;TODAY()-30)),67)),"")</f>
        <v/>
      </c>
      <c r="O75" s="51">
        <f>IF(N75="","",MAX(0,TODAY()-(IF(ISNUMBER(N75),N75,IFERROR(DATE(2000+VALUE(RIGHT(N75,2)),VALUE(MID(N75,4,2)),VALUE(LEFT(N75,2))),"")))))</f>
        <v/>
      </c>
    </row>
    <row r="76" ht="15.75" customHeight="1" s="42">
      <c r="A76" s="44">
        <f>IFERROR(INDEX('Master Stock'!$C$2:$C$100,MATCH(ROWS($A$9:A76),'Master Stock'!$N$2:$N$100,0)),"")</f>
        <v/>
      </c>
      <c r="B76" s="44">
        <f>IFERROR(INDEX('Master Stock'!$D$2:$D$100,MATCH(ROWS($A$9:A76),'Master Stock'!$N$2:$N$100,0)),"")</f>
        <v/>
      </c>
      <c r="C76" s="53">
        <f>IFERROR(INDEX('Master Stock'!$B$2:$B$100,MATCH(ROWS($A$9:A76),'Master Stock'!$N$2:$N$100,0)),"")</f>
        <v/>
      </c>
      <c r="D76" s="53">
        <f>IFERROR(INDEX('Master Stock'!$J$2:$J$100,MATCH(ROWS($A$9:A76),'Master Stock'!$N$2:$N$100,0)),"")</f>
        <v/>
      </c>
      <c r="E76" s="44">
        <f>IF(D76="","",MAX(0,TODAY()-(IF(ISNUMBER(D76),D76,IFERROR(DATE(2000+VALUE(RIGHT(D76,2)),VALUE(MID(D76,4,2)),VALUE(LEFT(D76,2))),"")))))</f>
        <v/>
      </c>
      <c r="F76" s="83" t="n"/>
      <c r="G76" s="44">
        <f>IFERROR(INDEX('Master Stock'!$C$2:$C$100,MATCH(ROWS($G$9:G76),'Master Stock'!$P$2:$P$100,0)),"")</f>
        <v/>
      </c>
      <c r="H76" s="44">
        <f>IFERROR(INDEX('Master Stock'!$D$2:$D$100,MATCH(ROWS($G$9:G76),'Master Stock'!$P$2:$P$100,0)),"")</f>
        <v/>
      </c>
      <c r="I76" s="53">
        <f>IFERROR(INDEX('Master Stock'!$J$2:$J$100,MATCH(ROWS($G$9:G76),'Master Stock'!$P$2:$P$100,0)),"")</f>
        <v/>
      </c>
      <c r="J76" s="44">
        <f>IF(I76="","",MAX(0,TODAY()-(IF(ISNUMBER(I76),I76,IFERROR(DATE(2000+VALUE(RIGHT(I76,2)),VALUE(MID(I76,4,2)),VALUE(LEFT(I76,2))),"")))))</f>
        <v/>
      </c>
      <c r="K76" s="92" t="n"/>
      <c r="L76" s="49">
        <f>IFERROR(INDEX('Master Stock'!$C$2:$C$100,AGGREGATE(15,6,(ROW('Master Stock'!$C$2:$C$100)-ROW('Master Stock'!$C$2)+1)/(('Master Stock'!$H$2:$H$100="OCCUPIED")*('Master Stock'!$J$2:$J$100&lt;&gt;"")*('Master Stock'!$K$2:$K$100="")*('Master Stock'!$J$2:$J$100&lt;TODAY()-30)),68)),"")</f>
        <v/>
      </c>
      <c r="M76" s="49">
        <f>IFERROR(INDEX('Master Stock'!$D$2:$D$100,AGGREGATE(15,6,(ROW('Master Stock'!$C$2:$C$100)-ROW('Master Stock'!$C$2)+1)/(('Master Stock'!$H$2:$H$100="OCCUPIED")*('Master Stock'!$J$2:$J$100&lt;&gt;"")*('Master Stock'!$K$2:$K$100="")*('Master Stock'!$J$2:$J$100&lt;TODAY()-30)),68)),"")</f>
        <v/>
      </c>
      <c r="N76" s="52">
        <f>IFERROR(INDEX('Master Stock'!$J$2:$J$100,AGGREGATE(15,6,(ROW('Master Stock'!$C$2:$C$100)-ROW('Master Stock'!$C$2)+1)/(('Master Stock'!$H$2:$H$100="OCCUPIED")*('Master Stock'!$J$2:$J$100&lt;&gt;"")*('Master Stock'!$K$2:$K$100="")*('Master Stock'!$J$2:$J$100&lt;TODAY()-30)),68)),"")</f>
        <v/>
      </c>
      <c r="O76" s="51">
        <f>IF(N76="","",MAX(0,TODAY()-(IF(ISNUMBER(N76),N76,IFERROR(DATE(2000+VALUE(RIGHT(N76,2)),VALUE(MID(N76,4,2)),VALUE(LEFT(N76,2))),"")))))</f>
        <v/>
      </c>
    </row>
    <row r="77" ht="15.75" customHeight="1" s="42">
      <c r="A77" s="44">
        <f>IFERROR(INDEX('Master Stock'!$C$2:$C$100,MATCH(ROWS($A$9:A77),'Master Stock'!$N$2:$N$100,0)),"")</f>
        <v/>
      </c>
      <c r="B77" s="44">
        <f>IFERROR(INDEX('Master Stock'!$D$2:$D$100,MATCH(ROWS($A$9:A77),'Master Stock'!$N$2:$N$100,0)),"")</f>
        <v/>
      </c>
      <c r="C77" s="53">
        <f>IFERROR(INDEX('Master Stock'!$B$2:$B$100,MATCH(ROWS($A$9:A77),'Master Stock'!$N$2:$N$100,0)),"")</f>
        <v/>
      </c>
      <c r="D77" s="53">
        <f>IFERROR(INDEX('Master Stock'!$J$2:$J$100,MATCH(ROWS($A$9:A77),'Master Stock'!$N$2:$N$100,0)),"")</f>
        <v/>
      </c>
      <c r="E77" s="44">
        <f>IF(D77="","",MAX(0,TODAY()-(IF(ISNUMBER(D77),D77,IFERROR(DATE(2000+VALUE(RIGHT(D77,2)),VALUE(MID(D77,4,2)),VALUE(LEFT(D77,2))),"")))))</f>
        <v/>
      </c>
      <c r="F77" s="83" t="n"/>
      <c r="G77" s="44">
        <f>IFERROR(INDEX('Master Stock'!$C$2:$C$100,MATCH(ROWS($G$9:G77),'Master Stock'!$P$2:$P$100,0)),"")</f>
        <v/>
      </c>
      <c r="H77" s="44">
        <f>IFERROR(INDEX('Master Stock'!$D$2:$D$100,MATCH(ROWS($G$9:G77),'Master Stock'!$P$2:$P$100,0)),"")</f>
        <v/>
      </c>
      <c r="I77" s="53">
        <f>IFERROR(INDEX('Master Stock'!$J$2:$J$100,MATCH(ROWS($G$9:G77),'Master Stock'!$P$2:$P$100,0)),"")</f>
        <v/>
      </c>
      <c r="J77" s="44">
        <f>IF(I77="","",MAX(0,TODAY()-(IF(ISNUMBER(I77),I77,IFERROR(DATE(2000+VALUE(RIGHT(I77,2)),VALUE(MID(I77,4,2)),VALUE(LEFT(I77,2))),"")))))</f>
        <v/>
      </c>
      <c r="K77" s="92" t="n"/>
      <c r="L77" s="49">
        <f>IFERROR(INDEX('Master Stock'!$C$2:$C$100,AGGREGATE(15,6,(ROW('Master Stock'!$C$2:$C$100)-ROW('Master Stock'!$C$2)+1)/(('Master Stock'!$H$2:$H$100="OCCUPIED")*('Master Stock'!$J$2:$J$100&lt;&gt;"")*('Master Stock'!$K$2:$K$100="")*('Master Stock'!$J$2:$J$100&lt;TODAY()-30)),69)),"")</f>
        <v/>
      </c>
      <c r="M77" s="49">
        <f>IFERROR(INDEX('Master Stock'!$D$2:$D$100,AGGREGATE(15,6,(ROW('Master Stock'!$C$2:$C$100)-ROW('Master Stock'!$C$2)+1)/(('Master Stock'!$H$2:$H$100="OCCUPIED")*('Master Stock'!$J$2:$J$100&lt;&gt;"")*('Master Stock'!$K$2:$K$100="")*('Master Stock'!$J$2:$J$100&lt;TODAY()-30)),69)),"")</f>
        <v/>
      </c>
      <c r="N77" s="52">
        <f>IFERROR(INDEX('Master Stock'!$J$2:$J$100,AGGREGATE(15,6,(ROW('Master Stock'!$C$2:$C$100)-ROW('Master Stock'!$C$2)+1)/(('Master Stock'!$H$2:$H$100="OCCUPIED")*('Master Stock'!$J$2:$J$100&lt;&gt;"")*('Master Stock'!$K$2:$K$100="")*('Master Stock'!$J$2:$J$100&lt;TODAY()-30)),69)),"")</f>
        <v/>
      </c>
      <c r="O77" s="51">
        <f>IF(N77="","",MAX(0,TODAY()-(IF(ISNUMBER(N77),N77,IFERROR(DATE(2000+VALUE(RIGHT(N77,2)),VALUE(MID(N77,4,2)),VALUE(LEFT(N77,2))),"")))))</f>
        <v/>
      </c>
    </row>
    <row r="78" ht="15.75" customHeight="1" s="42">
      <c r="A78" s="44">
        <f>IFERROR(INDEX('Master Stock'!$C$2:$C$100,MATCH(ROWS($A$9:A78),'Master Stock'!$N$2:$N$100,0)),"")</f>
        <v/>
      </c>
      <c r="B78" s="44">
        <f>IFERROR(INDEX('Master Stock'!$D$2:$D$100,MATCH(ROWS($A$9:A78),'Master Stock'!$N$2:$N$100,0)),"")</f>
        <v/>
      </c>
      <c r="C78" s="53">
        <f>IFERROR(INDEX('Master Stock'!$B$2:$B$100,MATCH(ROWS($A$9:A78),'Master Stock'!$N$2:$N$100,0)),"")</f>
        <v/>
      </c>
      <c r="D78" s="53">
        <f>IFERROR(INDEX('Master Stock'!$J$2:$J$100,MATCH(ROWS($A$9:A78),'Master Stock'!$N$2:$N$100,0)),"")</f>
        <v/>
      </c>
      <c r="E78" s="44">
        <f>IF(D78="","",MAX(0,TODAY()-(IF(ISNUMBER(D78),D78,IFERROR(DATE(2000+VALUE(RIGHT(D78,2)),VALUE(MID(D78,4,2)),VALUE(LEFT(D78,2))),"")))))</f>
        <v/>
      </c>
      <c r="F78" s="83" t="n"/>
      <c r="G78" s="44">
        <f>IFERROR(INDEX('Master Stock'!$C$2:$C$100,MATCH(ROWS($G$9:G78),'Master Stock'!$P$2:$P$100,0)),"")</f>
        <v/>
      </c>
      <c r="H78" s="44">
        <f>IFERROR(INDEX('Master Stock'!$D$2:$D$100,MATCH(ROWS($G$9:G78),'Master Stock'!$P$2:$P$100,0)),"")</f>
        <v/>
      </c>
      <c r="I78" s="53">
        <f>IFERROR(INDEX('Master Stock'!$J$2:$J$100,MATCH(ROWS($G$9:G78),'Master Stock'!$P$2:$P$100,0)),"")</f>
        <v/>
      </c>
      <c r="J78" s="44">
        <f>IF(I78="","",MAX(0,TODAY()-(IF(ISNUMBER(I78),I78,IFERROR(DATE(2000+VALUE(RIGHT(I78,2)),VALUE(MID(I78,4,2)),VALUE(LEFT(I78,2))),"")))))</f>
        <v/>
      </c>
      <c r="K78" s="92" t="n"/>
      <c r="L78" s="49">
        <f>IFERROR(INDEX('Master Stock'!$C$2:$C$100,AGGREGATE(15,6,(ROW('Master Stock'!$C$2:$C$100)-ROW('Master Stock'!$C$2)+1)/(('Master Stock'!$H$2:$H$100="OCCUPIED")*('Master Stock'!$J$2:$J$100&lt;&gt;"")*('Master Stock'!$K$2:$K$100="")*('Master Stock'!$J$2:$J$100&lt;TODAY()-30)),70)),"")</f>
        <v/>
      </c>
      <c r="M78" s="49">
        <f>IFERROR(INDEX('Master Stock'!$D$2:$D$100,AGGREGATE(15,6,(ROW('Master Stock'!$C$2:$C$100)-ROW('Master Stock'!$C$2)+1)/(('Master Stock'!$H$2:$H$100="OCCUPIED")*('Master Stock'!$J$2:$J$100&lt;&gt;"")*('Master Stock'!$K$2:$K$100="")*('Master Stock'!$J$2:$J$100&lt;TODAY()-30)),70)),"")</f>
        <v/>
      </c>
      <c r="N78" s="52">
        <f>IFERROR(INDEX('Master Stock'!$J$2:$J$100,AGGREGATE(15,6,(ROW('Master Stock'!$C$2:$C$100)-ROW('Master Stock'!$C$2)+1)/(('Master Stock'!$H$2:$H$100="OCCUPIED")*('Master Stock'!$J$2:$J$100&lt;&gt;"")*('Master Stock'!$K$2:$K$100="")*('Master Stock'!$J$2:$J$100&lt;TODAY()-30)),70)),"")</f>
        <v/>
      </c>
      <c r="O78" s="51">
        <f>IF(N78="","",MAX(0,TODAY()-(IF(ISNUMBER(N78),N78,IFERROR(DATE(2000+VALUE(RIGHT(N78,2)),VALUE(MID(N78,4,2)),VALUE(LEFT(N78,2))),"")))))</f>
        <v/>
      </c>
    </row>
    <row r="79" ht="15.75" customHeight="1" s="42">
      <c r="A79" s="44">
        <f>IFERROR(INDEX('Master Stock'!$C$2:$C$100,MATCH(ROWS($A$9:A79),'Master Stock'!$N$2:$N$100,0)),"")</f>
        <v/>
      </c>
      <c r="B79" s="44">
        <f>IFERROR(INDEX('Master Stock'!$D$2:$D$100,MATCH(ROWS($A$9:A79),'Master Stock'!$N$2:$N$100,0)),"")</f>
        <v/>
      </c>
      <c r="C79" s="53">
        <f>IFERROR(INDEX('Master Stock'!$B$2:$B$100,MATCH(ROWS($A$9:A79),'Master Stock'!$N$2:$N$100,0)),"")</f>
        <v/>
      </c>
      <c r="D79" s="53">
        <f>IFERROR(INDEX('Master Stock'!$J$2:$J$100,MATCH(ROWS($A$9:A79),'Master Stock'!$N$2:$N$100,0)),"")</f>
        <v/>
      </c>
      <c r="E79" s="44">
        <f>IF(D79="","",MAX(0,TODAY()-(IF(ISNUMBER(D79),D79,IFERROR(DATE(2000+VALUE(RIGHT(D79,2)),VALUE(MID(D79,4,2)),VALUE(LEFT(D79,2))),"")))))</f>
        <v/>
      </c>
      <c r="F79" s="83" t="n"/>
      <c r="G79" s="44">
        <f>IFERROR(INDEX('Master Stock'!$C$2:$C$100,MATCH(ROWS($G$9:G79),'Master Stock'!$P$2:$P$100,0)),"")</f>
        <v/>
      </c>
      <c r="H79" s="44">
        <f>IFERROR(INDEX('Master Stock'!$D$2:$D$100,MATCH(ROWS($G$9:G79),'Master Stock'!$P$2:$P$100,0)),"")</f>
        <v/>
      </c>
      <c r="I79" s="53">
        <f>IFERROR(INDEX('Master Stock'!$J$2:$J$100,MATCH(ROWS($G$9:G79),'Master Stock'!$P$2:$P$100,0)),"")</f>
        <v/>
      </c>
      <c r="J79" s="44">
        <f>IF(I79="","",MAX(0,TODAY()-(IF(ISNUMBER(I79),I79,IFERROR(DATE(2000+VALUE(RIGHT(I79,2)),VALUE(MID(I79,4,2)),VALUE(LEFT(I79,2))),"")))))</f>
        <v/>
      </c>
      <c r="K79" s="92" t="n"/>
      <c r="L79" s="49">
        <f>IFERROR(INDEX('Master Stock'!$C$2:$C$100,AGGREGATE(15,6,(ROW('Master Stock'!$C$2:$C$100)-ROW('Master Stock'!$C$2)+1)/(('Master Stock'!$H$2:$H$100="OCCUPIED")*('Master Stock'!$J$2:$J$100&lt;&gt;"")*('Master Stock'!$K$2:$K$100="")*('Master Stock'!$J$2:$J$100&lt;TODAY()-30)),71)),"")</f>
        <v/>
      </c>
      <c r="M79" s="49">
        <f>IFERROR(INDEX('Master Stock'!$D$2:$D$100,AGGREGATE(15,6,(ROW('Master Stock'!$C$2:$C$100)-ROW('Master Stock'!$C$2)+1)/(('Master Stock'!$H$2:$H$100="OCCUPIED")*('Master Stock'!$J$2:$J$100&lt;&gt;"")*('Master Stock'!$K$2:$K$100="")*('Master Stock'!$J$2:$J$100&lt;TODAY()-30)),71)),"")</f>
        <v/>
      </c>
      <c r="N79" s="52">
        <f>IFERROR(INDEX('Master Stock'!$J$2:$J$100,AGGREGATE(15,6,(ROW('Master Stock'!$C$2:$C$100)-ROW('Master Stock'!$C$2)+1)/(('Master Stock'!$H$2:$H$100="OCCUPIED")*('Master Stock'!$J$2:$J$100&lt;&gt;"")*('Master Stock'!$K$2:$K$100="")*('Master Stock'!$J$2:$J$100&lt;TODAY()-30)),71)),"")</f>
        <v/>
      </c>
      <c r="O79" s="51">
        <f>IF(N79="","",MAX(0,TODAY()-(IF(ISNUMBER(N79),N79,IFERROR(DATE(2000+VALUE(RIGHT(N79,2)),VALUE(MID(N79,4,2)),VALUE(LEFT(N79,2))),"")))))</f>
        <v/>
      </c>
    </row>
    <row r="80" ht="15.75" customHeight="1" s="42">
      <c r="A80" s="44">
        <f>IFERROR(INDEX('Master Stock'!$C$2:$C$100,MATCH(ROWS($A$9:A80),'Master Stock'!$N$2:$N$100,0)),"")</f>
        <v/>
      </c>
      <c r="B80" s="44">
        <f>IFERROR(INDEX('Master Stock'!$D$2:$D$100,MATCH(ROWS($A$9:A80),'Master Stock'!$N$2:$N$100,0)),"")</f>
        <v/>
      </c>
      <c r="C80" s="53">
        <f>IFERROR(INDEX('Master Stock'!$B$2:$B$100,MATCH(ROWS($A$9:A80),'Master Stock'!$N$2:$N$100,0)),"")</f>
        <v/>
      </c>
      <c r="D80" s="53">
        <f>IFERROR(INDEX('Master Stock'!$J$2:$J$100,MATCH(ROWS($A$9:A80),'Master Stock'!$N$2:$N$100,0)),"")</f>
        <v/>
      </c>
      <c r="E80" s="44">
        <f>IF(D80="","",MAX(0,TODAY()-(IF(ISNUMBER(D80),D80,IFERROR(DATE(2000+VALUE(RIGHT(D80,2)),VALUE(MID(D80,4,2)),VALUE(LEFT(D80,2))),"")))))</f>
        <v/>
      </c>
      <c r="F80" s="83" t="n"/>
      <c r="G80" s="44">
        <f>IFERROR(INDEX('Master Stock'!$C$2:$C$100,MATCH(ROWS($G$9:G80),'Master Stock'!$P$2:$P$100,0)),"")</f>
        <v/>
      </c>
      <c r="H80" s="44">
        <f>IFERROR(INDEX('Master Stock'!$D$2:$D$100,MATCH(ROWS($G$9:G80),'Master Stock'!$P$2:$P$100,0)),"")</f>
        <v/>
      </c>
      <c r="I80" s="53">
        <f>IFERROR(INDEX('Master Stock'!$J$2:$J$100,MATCH(ROWS($G$9:G80),'Master Stock'!$P$2:$P$100,0)),"")</f>
        <v/>
      </c>
      <c r="J80" s="44">
        <f>IF(I80="","",MAX(0,TODAY()-(IF(ISNUMBER(I80),I80,IFERROR(DATE(2000+VALUE(RIGHT(I80,2)),VALUE(MID(I80,4,2)),VALUE(LEFT(I80,2))),"")))))</f>
        <v/>
      </c>
      <c r="K80" s="92" t="n"/>
      <c r="L80" s="49">
        <f>IFERROR(INDEX('Master Stock'!$C$2:$C$100,AGGREGATE(15,6,(ROW('Master Stock'!$C$2:$C$100)-ROW('Master Stock'!$C$2)+1)/(('Master Stock'!$H$2:$H$100="OCCUPIED")*('Master Stock'!$J$2:$J$100&lt;&gt;"")*('Master Stock'!$K$2:$K$100="")*('Master Stock'!$J$2:$J$100&lt;TODAY()-30)),72)),"")</f>
        <v/>
      </c>
      <c r="M80" s="49">
        <f>IFERROR(INDEX('Master Stock'!$D$2:$D$100,AGGREGATE(15,6,(ROW('Master Stock'!$C$2:$C$100)-ROW('Master Stock'!$C$2)+1)/(('Master Stock'!$H$2:$H$100="OCCUPIED")*('Master Stock'!$J$2:$J$100&lt;&gt;"")*('Master Stock'!$K$2:$K$100="")*('Master Stock'!$J$2:$J$100&lt;TODAY()-30)),72)),"")</f>
        <v/>
      </c>
      <c r="N80" s="52">
        <f>IFERROR(INDEX('Master Stock'!$J$2:$J$100,AGGREGATE(15,6,(ROW('Master Stock'!$C$2:$C$100)-ROW('Master Stock'!$C$2)+1)/(('Master Stock'!$H$2:$H$100="OCCUPIED")*('Master Stock'!$J$2:$J$100&lt;&gt;"")*('Master Stock'!$K$2:$K$100="")*('Master Stock'!$J$2:$J$100&lt;TODAY()-30)),72)),"")</f>
        <v/>
      </c>
      <c r="O80" s="51">
        <f>IF(N80="","",MAX(0,TODAY()-(IF(ISNUMBER(N80),N80,IFERROR(DATE(2000+VALUE(RIGHT(N80,2)),VALUE(MID(N80,4,2)),VALUE(LEFT(N80,2))),"")))))</f>
        <v/>
      </c>
    </row>
    <row r="81" ht="15.75" customHeight="1" s="42">
      <c r="A81" s="44">
        <f>IFERROR(INDEX('Master Stock'!$C$2:$C$100,MATCH(ROWS($A$9:A81),'Master Stock'!$N$2:$N$100,0)),"")</f>
        <v/>
      </c>
      <c r="B81" s="44">
        <f>IFERROR(INDEX('Master Stock'!$D$2:$D$100,MATCH(ROWS($A$9:A81),'Master Stock'!$N$2:$N$100,0)),"")</f>
        <v/>
      </c>
      <c r="C81" s="53">
        <f>IFERROR(INDEX('Master Stock'!$B$2:$B$100,MATCH(ROWS($A$9:A81),'Master Stock'!$N$2:$N$100,0)),"")</f>
        <v/>
      </c>
      <c r="D81" s="53">
        <f>IFERROR(INDEX('Master Stock'!$J$2:$J$100,MATCH(ROWS($A$9:A81),'Master Stock'!$N$2:$N$100,0)),"")</f>
        <v/>
      </c>
      <c r="E81" s="44">
        <f>IF(D81="","",MAX(0,TODAY()-(IF(ISNUMBER(D81),D81,IFERROR(DATE(2000+VALUE(RIGHT(D81,2)),VALUE(MID(D81,4,2)),VALUE(LEFT(D81,2))),"")))))</f>
        <v/>
      </c>
      <c r="F81" s="83" t="n"/>
      <c r="G81" s="44">
        <f>IFERROR(INDEX('Master Stock'!$C$2:$C$100,MATCH(ROWS($G$9:G81),'Master Stock'!$P$2:$P$100,0)),"")</f>
        <v/>
      </c>
      <c r="H81" s="44">
        <f>IFERROR(INDEX('Master Stock'!$D$2:$D$100,MATCH(ROWS($G$9:G81),'Master Stock'!$P$2:$P$100,0)),"")</f>
        <v/>
      </c>
      <c r="I81" s="53">
        <f>IFERROR(INDEX('Master Stock'!$J$2:$J$100,MATCH(ROWS($G$9:G81),'Master Stock'!$P$2:$P$100,0)),"")</f>
        <v/>
      </c>
      <c r="J81" s="44">
        <f>IF(I81="","",MAX(0,TODAY()-(IF(ISNUMBER(I81),I81,IFERROR(DATE(2000+VALUE(RIGHT(I81,2)),VALUE(MID(I81,4,2)),VALUE(LEFT(I81,2))),"")))))</f>
        <v/>
      </c>
      <c r="K81" s="92" t="n"/>
      <c r="L81" s="49">
        <f>IFERROR(INDEX('Master Stock'!$C$2:$C$100,AGGREGATE(15,6,(ROW('Master Stock'!$C$2:$C$100)-ROW('Master Stock'!$C$2)+1)/(('Master Stock'!$H$2:$H$100="OCCUPIED")*('Master Stock'!$J$2:$J$100&lt;&gt;"")*('Master Stock'!$K$2:$K$100="")*('Master Stock'!$J$2:$J$100&lt;TODAY()-30)),73)),"")</f>
        <v/>
      </c>
      <c r="M81" s="49">
        <f>IFERROR(INDEX('Master Stock'!$D$2:$D$100,AGGREGATE(15,6,(ROW('Master Stock'!$C$2:$C$100)-ROW('Master Stock'!$C$2)+1)/(('Master Stock'!$H$2:$H$100="OCCUPIED")*('Master Stock'!$J$2:$J$100&lt;&gt;"")*('Master Stock'!$K$2:$K$100="")*('Master Stock'!$J$2:$J$100&lt;TODAY()-30)),73)),"")</f>
        <v/>
      </c>
      <c r="N81" s="52">
        <f>IFERROR(INDEX('Master Stock'!$J$2:$J$100,AGGREGATE(15,6,(ROW('Master Stock'!$C$2:$C$100)-ROW('Master Stock'!$C$2)+1)/(('Master Stock'!$H$2:$H$100="OCCUPIED")*('Master Stock'!$J$2:$J$100&lt;&gt;"")*('Master Stock'!$K$2:$K$100="")*('Master Stock'!$J$2:$J$100&lt;TODAY()-30)),73)),"")</f>
        <v/>
      </c>
      <c r="O81" s="51">
        <f>IF(N81="","",MAX(0,TODAY()-(IF(ISNUMBER(N81),N81,IFERROR(DATE(2000+VALUE(RIGHT(N81,2)),VALUE(MID(N81,4,2)),VALUE(LEFT(N81,2))),"")))))</f>
        <v/>
      </c>
    </row>
    <row r="82" ht="15.75" customHeight="1" s="42">
      <c r="A82" s="44">
        <f>IFERROR(INDEX('Master Stock'!$C$2:$C$100,MATCH(ROWS($A$9:A82),'Master Stock'!$N$2:$N$100,0)),"")</f>
        <v/>
      </c>
      <c r="B82" s="44">
        <f>IFERROR(INDEX('Master Stock'!$D$2:$D$100,MATCH(ROWS($A$9:A82),'Master Stock'!$N$2:$N$100,0)),"")</f>
        <v/>
      </c>
      <c r="C82" s="53">
        <f>IFERROR(INDEX('Master Stock'!$B$2:$B$100,MATCH(ROWS($A$9:A82),'Master Stock'!$N$2:$N$100,0)),"")</f>
        <v/>
      </c>
      <c r="D82" s="53">
        <f>IFERROR(INDEX('Master Stock'!$J$2:$J$100,MATCH(ROWS($A$9:A82),'Master Stock'!$N$2:$N$100,0)),"")</f>
        <v/>
      </c>
      <c r="E82" s="44">
        <f>IF(D82="","",MAX(0,TODAY()-(IF(ISNUMBER(D82),D82,IFERROR(DATE(2000+VALUE(RIGHT(D82,2)),VALUE(MID(D82,4,2)),VALUE(LEFT(D82,2))),"")))))</f>
        <v/>
      </c>
      <c r="F82" s="83" t="n"/>
      <c r="G82" s="44">
        <f>IFERROR(INDEX('Master Stock'!$C$2:$C$100,MATCH(ROWS($G$9:G82),'Master Stock'!$P$2:$P$100,0)),"")</f>
        <v/>
      </c>
      <c r="H82" s="44">
        <f>IFERROR(INDEX('Master Stock'!$D$2:$D$100,MATCH(ROWS($G$9:G82),'Master Stock'!$P$2:$P$100,0)),"")</f>
        <v/>
      </c>
      <c r="I82" s="53">
        <f>IFERROR(INDEX('Master Stock'!$J$2:$J$100,MATCH(ROWS($G$9:G82),'Master Stock'!$P$2:$P$100,0)),"")</f>
        <v/>
      </c>
      <c r="J82" s="44">
        <f>IF(I82="","",MAX(0,TODAY()-(IF(ISNUMBER(I82),I82,IFERROR(DATE(2000+VALUE(RIGHT(I82,2)),VALUE(MID(I82,4,2)),VALUE(LEFT(I82,2))),"")))))</f>
        <v/>
      </c>
      <c r="K82" s="92" t="n"/>
      <c r="L82" s="49">
        <f>IFERROR(INDEX('Master Stock'!$C$2:$C$100,AGGREGATE(15,6,(ROW('Master Stock'!$C$2:$C$100)-ROW('Master Stock'!$C$2)+1)/(('Master Stock'!$H$2:$H$100="OCCUPIED")*('Master Stock'!$J$2:$J$100&lt;&gt;"")*('Master Stock'!$K$2:$K$100="")*('Master Stock'!$J$2:$J$100&lt;TODAY()-30)),74)),"")</f>
        <v/>
      </c>
      <c r="M82" s="49">
        <f>IFERROR(INDEX('Master Stock'!$D$2:$D$100,AGGREGATE(15,6,(ROW('Master Stock'!$C$2:$C$100)-ROW('Master Stock'!$C$2)+1)/(('Master Stock'!$H$2:$H$100="OCCUPIED")*('Master Stock'!$J$2:$J$100&lt;&gt;"")*('Master Stock'!$K$2:$K$100="")*('Master Stock'!$J$2:$J$100&lt;TODAY()-30)),74)),"")</f>
        <v/>
      </c>
      <c r="N82" s="52">
        <f>IFERROR(INDEX('Master Stock'!$J$2:$J$100,AGGREGATE(15,6,(ROW('Master Stock'!$C$2:$C$100)-ROW('Master Stock'!$C$2)+1)/(('Master Stock'!$H$2:$H$100="OCCUPIED")*('Master Stock'!$J$2:$J$100&lt;&gt;"")*('Master Stock'!$K$2:$K$100="")*('Master Stock'!$J$2:$J$100&lt;TODAY()-30)),74)),"")</f>
        <v/>
      </c>
      <c r="O82" s="51">
        <f>IF(N82="","",MAX(0,TODAY()-(IF(ISNUMBER(N82),N82,IFERROR(DATE(2000+VALUE(RIGHT(N82,2)),VALUE(MID(N82,4,2)),VALUE(LEFT(N82,2))),"")))))</f>
        <v/>
      </c>
    </row>
    <row r="83" ht="15.75" customHeight="1" s="42">
      <c r="A83" s="44">
        <f>IFERROR(INDEX('Master Stock'!$C$2:$C$100,MATCH(ROWS($A$9:A83),'Master Stock'!$N$2:$N$100,0)),"")</f>
        <v/>
      </c>
      <c r="B83" s="44">
        <f>IFERROR(INDEX('Master Stock'!$D$2:$D$100,MATCH(ROWS($A$9:A83),'Master Stock'!$N$2:$N$100,0)),"")</f>
        <v/>
      </c>
      <c r="C83" s="53">
        <f>IFERROR(INDEX('Master Stock'!$B$2:$B$100,MATCH(ROWS($A$9:A83),'Master Stock'!$N$2:$N$100,0)),"")</f>
        <v/>
      </c>
      <c r="D83" s="53">
        <f>IFERROR(INDEX('Master Stock'!$J$2:$J$100,MATCH(ROWS($A$9:A83),'Master Stock'!$N$2:$N$100,0)),"")</f>
        <v/>
      </c>
      <c r="E83" s="44">
        <f>IF(D83="","",MAX(0,TODAY()-(IF(ISNUMBER(D83),D83,IFERROR(DATE(2000+VALUE(RIGHT(D83,2)),VALUE(MID(D83,4,2)),VALUE(LEFT(D83,2))),"")))))</f>
        <v/>
      </c>
      <c r="F83" s="83" t="n"/>
      <c r="G83" s="44">
        <f>IFERROR(INDEX('Master Stock'!$C$2:$C$100,MATCH(ROWS($G$9:G83),'Master Stock'!$P$2:$P$100,0)),"")</f>
        <v/>
      </c>
      <c r="H83" s="44">
        <f>IFERROR(INDEX('Master Stock'!$D$2:$D$100,MATCH(ROWS($G$9:G83),'Master Stock'!$P$2:$P$100,0)),"")</f>
        <v/>
      </c>
      <c r="I83" s="53">
        <f>IFERROR(INDEX('Master Stock'!$J$2:$J$100,MATCH(ROWS($G$9:G83),'Master Stock'!$P$2:$P$100,0)),"")</f>
        <v/>
      </c>
      <c r="J83" s="44">
        <f>IF(I83="","",MAX(0,TODAY()-(IF(ISNUMBER(I83),I83,IFERROR(DATE(2000+VALUE(RIGHT(I83,2)),VALUE(MID(I83,4,2)),VALUE(LEFT(I83,2))),"")))))</f>
        <v/>
      </c>
      <c r="K83" s="92" t="n"/>
      <c r="L83" s="49">
        <f>IFERROR(INDEX('Master Stock'!$C$2:$C$100,AGGREGATE(15,6,(ROW('Master Stock'!$C$2:$C$100)-ROW('Master Stock'!$C$2)+1)/(('Master Stock'!$H$2:$H$100="OCCUPIED")*('Master Stock'!$J$2:$J$100&lt;&gt;"")*('Master Stock'!$K$2:$K$100="")*('Master Stock'!$J$2:$J$100&lt;TODAY()-30)),75)),"")</f>
        <v/>
      </c>
      <c r="M83" s="49">
        <f>IFERROR(INDEX('Master Stock'!$D$2:$D$100,AGGREGATE(15,6,(ROW('Master Stock'!$C$2:$C$100)-ROW('Master Stock'!$C$2)+1)/(('Master Stock'!$H$2:$H$100="OCCUPIED")*('Master Stock'!$J$2:$J$100&lt;&gt;"")*('Master Stock'!$K$2:$K$100="")*('Master Stock'!$J$2:$J$100&lt;TODAY()-30)),75)),"")</f>
        <v/>
      </c>
      <c r="N83" s="52">
        <f>IFERROR(INDEX('Master Stock'!$J$2:$J$100,AGGREGATE(15,6,(ROW('Master Stock'!$C$2:$C$100)-ROW('Master Stock'!$C$2)+1)/(('Master Stock'!$H$2:$H$100="OCCUPIED")*('Master Stock'!$J$2:$J$100&lt;&gt;"")*('Master Stock'!$K$2:$K$100="")*('Master Stock'!$J$2:$J$100&lt;TODAY()-30)),75)),"")</f>
        <v/>
      </c>
      <c r="O83" s="51">
        <f>IF(N83="","",MAX(0,TODAY()-(IF(ISNUMBER(N83),N83,IFERROR(DATE(2000+VALUE(RIGHT(N83,2)),VALUE(MID(N83,4,2)),VALUE(LEFT(N83,2))),"")))))</f>
        <v/>
      </c>
    </row>
    <row r="84" ht="15.75" customHeight="1" s="42">
      <c r="A84" s="44">
        <f>IFERROR(INDEX('Master Stock'!$C$2:$C$100,MATCH(ROWS($A$9:A84),'Master Stock'!$N$2:$N$100,0)),"")</f>
        <v/>
      </c>
      <c r="B84" s="44">
        <f>IFERROR(INDEX('Master Stock'!$D$2:$D$100,MATCH(ROWS($A$9:A84),'Master Stock'!$N$2:$N$100,0)),"")</f>
        <v/>
      </c>
      <c r="C84" s="53">
        <f>IFERROR(INDEX('Master Stock'!$B$2:$B$100,MATCH(ROWS($A$9:A84),'Master Stock'!$N$2:$N$100,0)),"")</f>
        <v/>
      </c>
      <c r="D84" s="53">
        <f>IFERROR(INDEX('Master Stock'!$J$2:$J$100,MATCH(ROWS($A$9:A84),'Master Stock'!$N$2:$N$100,0)),"")</f>
        <v/>
      </c>
      <c r="E84" s="44">
        <f>IF(D84="","",MAX(0,TODAY()-(IF(ISNUMBER(D84),D84,IFERROR(DATE(2000+VALUE(RIGHT(D84,2)),VALUE(MID(D84,4,2)),VALUE(LEFT(D84,2))),"")))))</f>
        <v/>
      </c>
      <c r="F84" s="83" t="n"/>
      <c r="G84" s="44">
        <f>IFERROR(INDEX('Master Stock'!$C$2:$C$100,MATCH(ROWS($G$9:G84),'Master Stock'!$P$2:$P$100,0)),"")</f>
        <v/>
      </c>
      <c r="H84" s="44">
        <f>IFERROR(INDEX('Master Stock'!$D$2:$D$100,MATCH(ROWS($G$9:G84),'Master Stock'!$P$2:$P$100,0)),"")</f>
        <v/>
      </c>
      <c r="I84" s="53">
        <f>IFERROR(INDEX('Master Stock'!$J$2:$J$100,MATCH(ROWS($G$9:G84),'Master Stock'!$P$2:$P$100,0)),"")</f>
        <v/>
      </c>
      <c r="J84" s="44">
        <f>IF(I84="","",MAX(0,TODAY()-(IF(ISNUMBER(I84),I84,IFERROR(DATE(2000+VALUE(RIGHT(I84,2)),VALUE(MID(I84,4,2)),VALUE(LEFT(I84,2))),"")))))</f>
        <v/>
      </c>
      <c r="K84" s="92" t="n"/>
      <c r="L84" s="49">
        <f>IFERROR(INDEX('Master Stock'!$C$2:$C$100,AGGREGATE(15,6,(ROW('Master Stock'!$C$2:$C$100)-ROW('Master Stock'!$C$2)+1)/(('Master Stock'!$H$2:$H$100="OCCUPIED")*('Master Stock'!$J$2:$J$100&lt;&gt;"")*('Master Stock'!$K$2:$K$100="")*('Master Stock'!$J$2:$J$100&lt;TODAY()-30)),76)),"")</f>
        <v/>
      </c>
      <c r="M84" s="49">
        <f>IFERROR(INDEX('Master Stock'!$D$2:$D$100,AGGREGATE(15,6,(ROW('Master Stock'!$C$2:$C$100)-ROW('Master Stock'!$C$2)+1)/(('Master Stock'!$H$2:$H$100="OCCUPIED")*('Master Stock'!$J$2:$J$100&lt;&gt;"")*('Master Stock'!$K$2:$K$100="")*('Master Stock'!$J$2:$J$100&lt;TODAY()-30)),76)),"")</f>
        <v/>
      </c>
      <c r="N84" s="52">
        <f>IFERROR(INDEX('Master Stock'!$J$2:$J$100,AGGREGATE(15,6,(ROW('Master Stock'!$C$2:$C$100)-ROW('Master Stock'!$C$2)+1)/(('Master Stock'!$H$2:$H$100="OCCUPIED")*('Master Stock'!$J$2:$J$100&lt;&gt;"")*('Master Stock'!$K$2:$K$100="")*('Master Stock'!$J$2:$J$100&lt;TODAY()-30)),76)),"")</f>
        <v/>
      </c>
      <c r="O84" s="51">
        <f>IF(N84="","",MAX(0,TODAY()-(IF(ISNUMBER(N84),N84,IFERROR(DATE(2000+VALUE(RIGHT(N84,2)),VALUE(MID(N84,4,2)),VALUE(LEFT(N84,2))),"")))))</f>
        <v/>
      </c>
    </row>
    <row r="85" ht="15.75" customHeight="1" s="42">
      <c r="A85" s="44">
        <f>IFERROR(INDEX('Master Stock'!$C$2:$C$100,MATCH(ROWS($A$9:A85),'Master Stock'!$N$2:$N$100,0)),"")</f>
        <v/>
      </c>
      <c r="B85" s="44">
        <f>IFERROR(INDEX('Master Stock'!$D$2:$D$100,MATCH(ROWS($A$9:A85),'Master Stock'!$N$2:$N$100,0)),"")</f>
        <v/>
      </c>
      <c r="C85" s="53">
        <f>IFERROR(INDEX('Master Stock'!$B$2:$B$100,MATCH(ROWS($A$9:A85),'Master Stock'!$N$2:$N$100,0)),"")</f>
        <v/>
      </c>
      <c r="D85" s="53">
        <f>IFERROR(INDEX('Master Stock'!$J$2:$J$100,MATCH(ROWS($A$9:A85),'Master Stock'!$N$2:$N$100,0)),"")</f>
        <v/>
      </c>
      <c r="E85" s="44">
        <f>IF(D85="","",MAX(0,TODAY()-(IF(ISNUMBER(D85),D85,IFERROR(DATE(2000+VALUE(RIGHT(D85,2)),VALUE(MID(D85,4,2)),VALUE(LEFT(D85,2))),"")))))</f>
        <v/>
      </c>
      <c r="F85" s="83" t="n"/>
      <c r="G85" s="44">
        <f>IFERROR(INDEX('Master Stock'!$C$2:$C$100,MATCH(ROWS($G$9:G85),'Master Stock'!$P$2:$P$100,0)),"")</f>
        <v/>
      </c>
      <c r="H85" s="44">
        <f>IFERROR(INDEX('Master Stock'!$D$2:$D$100,MATCH(ROWS($G$9:G85),'Master Stock'!$P$2:$P$100,0)),"")</f>
        <v/>
      </c>
      <c r="I85" s="53">
        <f>IFERROR(INDEX('Master Stock'!$J$2:$J$100,MATCH(ROWS($G$9:G85),'Master Stock'!$P$2:$P$100,0)),"")</f>
        <v/>
      </c>
      <c r="J85" s="44">
        <f>IF(I85="","",MAX(0,TODAY()-(IF(ISNUMBER(I85),I85,IFERROR(DATE(2000+VALUE(RIGHT(I85,2)),VALUE(MID(I85,4,2)),VALUE(LEFT(I85,2))),"")))))</f>
        <v/>
      </c>
      <c r="K85" s="92" t="n"/>
      <c r="L85" s="49">
        <f>IFERROR(INDEX('Master Stock'!$C$2:$C$100,AGGREGATE(15,6,(ROW('Master Stock'!$C$2:$C$100)-ROW('Master Stock'!$C$2)+1)/(('Master Stock'!$H$2:$H$100="OCCUPIED")*('Master Stock'!$J$2:$J$100&lt;&gt;"")*('Master Stock'!$K$2:$K$100="")*('Master Stock'!$J$2:$J$100&lt;TODAY()-30)),77)),"")</f>
        <v/>
      </c>
      <c r="M85" s="49">
        <f>IFERROR(INDEX('Master Stock'!$D$2:$D$100,AGGREGATE(15,6,(ROW('Master Stock'!$C$2:$C$100)-ROW('Master Stock'!$C$2)+1)/(('Master Stock'!$H$2:$H$100="OCCUPIED")*('Master Stock'!$J$2:$J$100&lt;&gt;"")*('Master Stock'!$K$2:$K$100="")*('Master Stock'!$J$2:$J$100&lt;TODAY()-30)),77)),"")</f>
        <v/>
      </c>
      <c r="N85" s="52">
        <f>IFERROR(INDEX('Master Stock'!$J$2:$J$100,AGGREGATE(15,6,(ROW('Master Stock'!$C$2:$C$100)-ROW('Master Stock'!$C$2)+1)/(('Master Stock'!$H$2:$H$100="OCCUPIED")*('Master Stock'!$J$2:$J$100&lt;&gt;"")*('Master Stock'!$K$2:$K$100="")*('Master Stock'!$J$2:$J$100&lt;TODAY()-30)),77)),"")</f>
        <v/>
      </c>
      <c r="O85" s="51">
        <f>IF(N85="","",MAX(0,TODAY()-(IF(ISNUMBER(N85),N85,IFERROR(DATE(2000+VALUE(RIGHT(N85,2)),VALUE(MID(N85,4,2)),VALUE(LEFT(N85,2))),"")))))</f>
        <v/>
      </c>
    </row>
    <row r="86" ht="15.75" customHeight="1" s="42">
      <c r="A86" s="44">
        <f>IFERROR(INDEX('Master Stock'!$C$2:$C$100,MATCH(ROWS($A$9:A86),'Master Stock'!$N$2:$N$100,0)),"")</f>
        <v/>
      </c>
      <c r="B86" s="44">
        <f>IFERROR(INDEX('Master Stock'!$D$2:$D$100,MATCH(ROWS($A$9:A86),'Master Stock'!$N$2:$N$100,0)),"")</f>
        <v/>
      </c>
      <c r="C86" s="53">
        <f>IFERROR(INDEX('Master Stock'!$B$2:$B$100,MATCH(ROWS($A$9:A86),'Master Stock'!$N$2:$N$100,0)),"")</f>
        <v/>
      </c>
      <c r="D86" s="53">
        <f>IFERROR(INDEX('Master Stock'!$J$2:$J$100,MATCH(ROWS($A$9:A86),'Master Stock'!$N$2:$N$100,0)),"")</f>
        <v/>
      </c>
      <c r="E86" s="44">
        <f>IF(D86="","",MAX(0,TODAY()-(IF(ISNUMBER(D86),D86,IFERROR(DATE(2000+VALUE(RIGHT(D86,2)),VALUE(MID(D86,4,2)),VALUE(LEFT(D86,2))),"")))))</f>
        <v/>
      </c>
      <c r="F86" s="83" t="n"/>
      <c r="G86" s="44">
        <f>IFERROR(INDEX('Master Stock'!$C$2:$C$100,MATCH(ROWS($G$9:G86),'Master Stock'!$P$2:$P$100,0)),"")</f>
        <v/>
      </c>
      <c r="H86" s="44">
        <f>IFERROR(INDEX('Master Stock'!$D$2:$D$100,MATCH(ROWS($G$9:G86),'Master Stock'!$P$2:$P$100,0)),"")</f>
        <v/>
      </c>
      <c r="I86" s="53">
        <f>IFERROR(INDEX('Master Stock'!$J$2:$J$100,MATCH(ROWS($G$9:G86),'Master Stock'!$P$2:$P$100,0)),"")</f>
        <v/>
      </c>
      <c r="J86" s="44">
        <f>IF(I86="","",MAX(0,TODAY()-(IF(ISNUMBER(I86),I86,IFERROR(DATE(2000+VALUE(RIGHT(I86,2)),VALUE(MID(I86,4,2)),VALUE(LEFT(I86,2))),"")))))</f>
        <v/>
      </c>
      <c r="K86" s="92" t="n"/>
      <c r="L86" s="49">
        <f>IFERROR(INDEX('Master Stock'!$C$2:$C$100,AGGREGATE(15,6,(ROW('Master Stock'!$C$2:$C$100)-ROW('Master Stock'!$C$2)+1)/(('Master Stock'!$H$2:$H$100="OCCUPIED")*('Master Stock'!$J$2:$J$100&lt;&gt;"")*('Master Stock'!$K$2:$K$100="")*('Master Stock'!$J$2:$J$100&lt;TODAY()-30)),78)),"")</f>
        <v/>
      </c>
      <c r="M86" s="49">
        <f>IFERROR(INDEX('Master Stock'!$D$2:$D$100,AGGREGATE(15,6,(ROW('Master Stock'!$C$2:$C$100)-ROW('Master Stock'!$C$2)+1)/(('Master Stock'!$H$2:$H$100="OCCUPIED")*('Master Stock'!$J$2:$J$100&lt;&gt;"")*('Master Stock'!$K$2:$K$100="")*('Master Stock'!$J$2:$J$100&lt;TODAY()-30)),78)),"")</f>
        <v/>
      </c>
      <c r="N86" s="52">
        <f>IFERROR(INDEX('Master Stock'!$J$2:$J$100,AGGREGATE(15,6,(ROW('Master Stock'!$C$2:$C$100)-ROW('Master Stock'!$C$2)+1)/(('Master Stock'!$H$2:$H$100="OCCUPIED")*('Master Stock'!$J$2:$J$100&lt;&gt;"")*('Master Stock'!$K$2:$K$100="")*('Master Stock'!$J$2:$J$100&lt;TODAY()-30)),78)),"")</f>
        <v/>
      </c>
      <c r="O86" s="51">
        <f>IF(N86="","",MAX(0,TODAY()-(IF(ISNUMBER(N86),N86,IFERROR(DATE(2000+VALUE(RIGHT(N86,2)),VALUE(MID(N86,4,2)),VALUE(LEFT(N86,2))),"")))))</f>
        <v/>
      </c>
    </row>
    <row r="87" ht="15.75" customHeight="1" s="42">
      <c r="A87" s="44">
        <f>IFERROR(INDEX('Master Stock'!$C$2:$C$100,MATCH(ROWS($A$9:A87),'Master Stock'!$N$2:$N$100,0)),"")</f>
        <v/>
      </c>
      <c r="B87" s="44">
        <f>IFERROR(INDEX('Master Stock'!$D$2:$D$100,MATCH(ROWS($A$9:A87),'Master Stock'!$N$2:$N$100,0)),"")</f>
        <v/>
      </c>
      <c r="C87" s="53">
        <f>IFERROR(INDEX('Master Stock'!$B$2:$B$100,MATCH(ROWS($A$9:A87),'Master Stock'!$N$2:$N$100,0)),"")</f>
        <v/>
      </c>
      <c r="D87" s="53">
        <f>IFERROR(INDEX('Master Stock'!$J$2:$J$100,MATCH(ROWS($A$9:A87),'Master Stock'!$N$2:$N$100,0)),"")</f>
        <v/>
      </c>
      <c r="E87" s="44">
        <f>IF(D87="","",MAX(0,TODAY()-(IF(ISNUMBER(D87),D87,IFERROR(DATE(2000+VALUE(RIGHT(D87,2)),VALUE(MID(D87,4,2)),VALUE(LEFT(D87,2))),"")))))</f>
        <v/>
      </c>
      <c r="F87" s="83" t="n"/>
      <c r="G87" s="44">
        <f>IFERROR(INDEX('Master Stock'!$C$2:$C$100,MATCH(ROWS($G$9:G87),'Master Stock'!$P$2:$P$100,0)),"")</f>
        <v/>
      </c>
      <c r="H87" s="44">
        <f>IFERROR(INDEX('Master Stock'!$D$2:$D$100,MATCH(ROWS($G$9:G87),'Master Stock'!$P$2:$P$100,0)),"")</f>
        <v/>
      </c>
      <c r="I87" s="53">
        <f>IFERROR(INDEX('Master Stock'!$J$2:$J$100,MATCH(ROWS($G$9:G87),'Master Stock'!$P$2:$P$100,0)),"")</f>
        <v/>
      </c>
      <c r="J87" s="44">
        <f>IF(I87="","",MAX(0,TODAY()-(IF(ISNUMBER(I87),I87,IFERROR(DATE(2000+VALUE(RIGHT(I87,2)),VALUE(MID(I87,4,2)),VALUE(LEFT(I87,2))),"")))))</f>
        <v/>
      </c>
      <c r="K87" s="92" t="n"/>
      <c r="L87" s="49">
        <f>IFERROR(INDEX('Master Stock'!$C$2:$C$100,AGGREGATE(15,6,(ROW('Master Stock'!$C$2:$C$100)-ROW('Master Stock'!$C$2)+1)/(('Master Stock'!$H$2:$H$100="OCCUPIED")*('Master Stock'!$J$2:$J$100&lt;&gt;"")*('Master Stock'!$K$2:$K$100="")*('Master Stock'!$J$2:$J$100&lt;TODAY()-30)),79)),"")</f>
        <v/>
      </c>
      <c r="M87" s="49">
        <f>IFERROR(INDEX('Master Stock'!$D$2:$D$100,AGGREGATE(15,6,(ROW('Master Stock'!$C$2:$C$100)-ROW('Master Stock'!$C$2)+1)/(('Master Stock'!$H$2:$H$100="OCCUPIED")*('Master Stock'!$J$2:$J$100&lt;&gt;"")*('Master Stock'!$K$2:$K$100="")*('Master Stock'!$J$2:$J$100&lt;TODAY()-30)),79)),"")</f>
        <v/>
      </c>
      <c r="N87" s="52">
        <f>IFERROR(INDEX('Master Stock'!$J$2:$J$100,AGGREGATE(15,6,(ROW('Master Stock'!$C$2:$C$100)-ROW('Master Stock'!$C$2)+1)/(('Master Stock'!$H$2:$H$100="OCCUPIED")*('Master Stock'!$J$2:$J$100&lt;&gt;"")*('Master Stock'!$K$2:$K$100="")*('Master Stock'!$J$2:$J$100&lt;TODAY()-30)),79)),"")</f>
        <v/>
      </c>
      <c r="O87" s="51">
        <f>IF(N87="","",MAX(0,TODAY()-(IF(ISNUMBER(N87),N87,IFERROR(DATE(2000+VALUE(RIGHT(N87,2)),VALUE(MID(N87,4,2)),VALUE(LEFT(N87,2))),"")))))</f>
        <v/>
      </c>
    </row>
    <row r="88" ht="15.75" customHeight="1" s="42">
      <c r="A88" s="44">
        <f>IFERROR(INDEX('Master Stock'!$C$2:$C$100,MATCH(ROWS($A$9:A88),'Master Stock'!$N$2:$N$100,0)),"")</f>
        <v/>
      </c>
      <c r="B88" s="44">
        <f>IFERROR(INDEX('Master Stock'!$D$2:$D$100,MATCH(ROWS($A$9:A88),'Master Stock'!$N$2:$N$100,0)),"")</f>
        <v/>
      </c>
      <c r="C88" s="53">
        <f>IFERROR(INDEX('Master Stock'!$B$2:$B$100,MATCH(ROWS($A$9:A88),'Master Stock'!$N$2:$N$100,0)),"")</f>
        <v/>
      </c>
      <c r="D88" s="53">
        <f>IFERROR(INDEX('Master Stock'!$J$2:$J$100,MATCH(ROWS($A$9:A88),'Master Stock'!$N$2:$N$100,0)),"")</f>
        <v/>
      </c>
      <c r="E88" s="44">
        <f>IF(D88="","",MAX(0,TODAY()-(IF(ISNUMBER(D88),D88,IFERROR(DATE(2000+VALUE(RIGHT(D88,2)),VALUE(MID(D88,4,2)),VALUE(LEFT(D88,2))),"")))))</f>
        <v/>
      </c>
      <c r="F88" s="83" t="n"/>
      <c r="G88" s="44">
        <f>IFERROR(INDEX('Master Stock'!$C$2:$C$100,MATCH(ROWS($G$9:G88),'Master Stock'!$P$2:$P$100,0)),"")</f>
        <v/>
      </c>
      <c r="H88" s="44">
        <f>IFERROR(INDEX('Master Stock'!$D$2:$D$100,MATCH(ROWS($G$9:G88),'Master Stock'!$P$2:$P$100,0)),"")</f>
        <v/>
      </c>
      <c r="I88" s="53">
        <f>IFERROR(INDEX('Master Stock'!$J$2:$J$100,MATCH(ROWS($G$9:G88),'Master Stock'!$P$2:$P$100,0)),"")</f>
        <v/>
      </c>
      <c r="J88" s="44">
        <f>IF(I88="","",MAX(0,TODAY()-(IF(ISNUMBER(I88),I88,IFERROR(DATE(2000+VALUE(RIGHT(I88,2)),VALUE(MID(I88,4,2)),VALUE(LEFT(I88,2))),"")))))</f>
        <v/>
      </c>
      <c r="K88" s="92" t="n"/>
      <c r="L88" s="49">
        <f>IFERROR(INDEX('Master Stock'!$C$2:$C$100,AGGREGATE(15,6,(ROW('Master Stock'!$C$2:$C$100)-ROW('Master Stock'!$C$2)+1)/(('Master Stock'!$H$2:$H$100="OCCUPIED")*('Master Stock'!$J$2:$J$100&lt;&gt;"")*('Master Stock'!$K$2:$K$100="")*('Master Stock'!$J$2:$J$100&lt;TODAY()-30)),80)),"")</f>
        <v/>
      </c>
      <c r="M88" s="49">
        <f>IFERROR(INDEX('Master Stock'!$D$2:$D$100,AGGREGATE(15,6,(ROW('Master Stock'!$C$2:$C$100)-ROW('Master Stock'!$C$2)+1)/(('Master Stock'!$H$2:$H$100="OCCUPIED")*('Master Stock'!$J$2:$J$100&lt;&gt;"")*('Master Stock'!$K$2:$K$100="")*('Master Stock'!$J$2:$J$100&lt;TODAY()-30)),80)),"")</f>
        <v/>
      </c>
      <c r="N88" s="52">
        <f>IFERROR(INDEX('Master Stock'!$J$2:$J$100,AGGREGATE(15,6,(ROW('Master Stock'!$C$2:$C$100)-ROW('Master Stock'!$C$2)+1)/(('Master Stock'!$H$2:$H$100="OCCUPIED")*('Master Stock'!$J$2:$J$100&lt;&gt;"")*('Master Stock'!$K$2:$K$100="")*('Master Stock'!$J$2:$J$100&lt;TODAY()-30)),80)),"")</f>
        <v/>
      </c>
      <c r="O88" s="51">
        <f>IF(N88="","",MAX(0,TODAY()-(IF(ISNUMBER(N88),N88,IFERROR(DATE(2000+VALUE(RIGHT(N88,2)),VALUE(MID(N88,4,2)),VALUE(LEFT(N88,2))),"")))))</f>
        <v/>
      </c>
    </row>
    <row r="89" ht="15.75" customHeight="1" s="42">
      <c r="A89" s="44">
        <f>IFERROR(INDEX('Master Stock'!$C$2:$C$100,MATCH(ROWS($A$9:A89),'Master Stock'!$N$2:$N$100,0)),"")</f>
        <v/>
      </c>
      <c r="B89" s="44">
        <f>IFERROR(INDEX('Master Stock'!$D$2:$D$100,MATCH(ROWS($A$9:A89),'Master Stock'!$N$2:$N$100,0)),"")</f>
        <v/>
      </c>
      <c r="C89" s="53">
        <f>IFERROR(INDEX('Master Stock'!$B$2:$B$100,MATCH(ROWS($A$9:A89),'Master Stock'!$N$2:$N$100,0)),"")</f>
        <v/>
      </c>
      <c r="D89" s="53">
        <f>IFERROR(INDEX('Master Stock'!$J$2:$J$100,MATCH(ROWS($A$9:A89),'Master Stock'!$N$2:$N$100,0)),"")</f>
        <v/>
      </c>
      <c r="E89" s="44">
        <f>IF(D89="","",MAX(0,TODAY()-(IF(ISNUMBER(D89),D89,IFERROR(DATE(2000+VALUE(RIGHT(D89,2)),VALUE(MID(D89,4,2)),VALUE(LEFT(D89,2))),"")))))</f>
        <v/>
      </c>
      <c r="F89" s="83" t="n"/>
      <c r="G89" s="44">
        <f>IFERROR(INDEX('Master Stock'!$C$2:$C$100,MATCH(ROWS($G$9:G89),'Master Stock'!$P$2:$P$100,0)),"")</f>
        <v/>
      </c>
      <c r="H89" s="44">
        <f>IFERROR(INDEX('Master Stock'!$D$2:$D$100,MATCH(ROWS($G$9:G89),'Master Stock'!$P$2:$P$100,0)),"")</f>
        <v/>
      </c>
      <c r="I89" s="53">
        <f>IFERROR(INDEX('Master Stock'!$J$2:$J$100,MATCH(ROWS($G$9:G89),'Master Stock'!$P$2:$P$100,0)),"")</f>
        <v/>
      </c>
      <c r="J89" s="44">
        <f>IF(I89="","",MAX(0,TODAY()-(IF(ISNUMBER(I89),I89,IFERROR(DATE(2000+VALUE(RIGHT(I89,2)),VALUE(MID(I89,4,2)),VALUE(LEFT(I89,2))),"")))))</f>
        <v/>
      </c>
      <c r="K89" s="92" t="n"/>
      <c r="L89" s="49">
        <f>IFERROR(INDEX('Master Stock'!$C$2:$C$100,AGGREGATE(15,6,(ROW('Master Stock'!$C$2:$C$100)-ROW('Master Stock'!$C$2)+1)/(('Master Stock'!$H$2:$H$100="OCCUPIED")*('Master Stock'!$J$2:$J$100&lt;&gt;"")*('Master Stock'!$K$2:$K$100="")*('Master Stock'!$J$2:$J$100&lt;TODAY()-30)),81)),"")</f>
        <v/>
      </c>
      <c r="M89" s="49">
        <f>IFERROR(INDEX('Master Stock'!$D$2:$D$100,AGGREGATE(15,6,(ROW('Master Stock'!$C$2:$C$100)-ROW('Master Stock'!$C$2)+1)/(('Master Stock'!$H$2:$H$100="OCCUPIED")*('Master Stock'!$J$2:$J$100&lt;&gt;"")*('Master Stock'!$K$2:$K$100="")*('Master Stock'!$J$2:$J$100&lt;TODAY()-30)),81)),"")</f>
        <v/>
      </c>
      <c r="N89" s="52">
        <f>IFERROR(INDEX('Master Stock'!$J$2:$J$100,AGGREGATE(15,6,(ROW('Master Stock'!$C$2:$C$100)-ROW('Master Stock'!$C$2)+1)/(('Master Stock'!$H$2:$H$100="OCCUPIED")*('Master Stock'!$J$2:$J$100&lt;&gt;"")*('Master Stock'!$K$2:$K$100="")*('Master Stock'!$J$2:$J$100&lt;TODAY()-30)),81)),"")</f>
        <v/>
      </c>
      <c r="O89" s="51">
        <f>IF(N89="","",MAX(0,TODAY()-(IF(ISNUMBER(N89),N89,IFERROR(DATE(2000+VALUE(RIGHT(N89,2)),VALUE(MID(N89,4,2)),VALUE(LEFT(N89,2))),"")))))</f>
        <v/>
      </c>
    </row>
    <row r="90" ht="15.75" customHeight="1" s="42">
      <c r="A90" s="44">
        <f>IFERROR(INDEX('Master Stock'!$C$2:$C$100,MATCH(ROWS($A$9:A90),'Master Stock'!$N$2:$N$100,0)),"")</f>
        <v/>
      </c>
      <c r="B90" s="44">
        <f>IFERROR(INDEX('Master Stock'!$D$2:$D$100,MATCH(ROWS($A$9:A90),'Master Stock'!$N$2:$N$100,0)),"")</f>
        <v/>
      </c>
      <c r="C90" s="53">
        <f>IFERROR(INDEX('Master Stock'!$B$2:$B$100,MATCH(ROWS($A$9:A90),'Master Stock'!$N$2:$N$100,0)),"")</f>
        <v/>
      </c>
      <c r="D90" s="53">
        <f>IFERROR(INDEX('Master Stock'!$J$2:$J$100,MATCH(ROWS($A$9:A90),'Master Stock'!$N$2:$N$100,0)),"")</f>
        <v/>
      </c>
      <c r="E90" s="44">
        <f>IF(D90="","",MAX(0,TODAY()-(IF(ISNUMBER(D90),D90,IFERROR(DATE(2000+VALUE(RIGHT(D90,2)),VALUE(MID(D90,4,2)),VALUE(LEFT(D90,2))),"")))))</f>
        <v/>
      </c>
      <c r="F90" s="83" t="n"/>
      <c r="G90" s="44">
        <f>IFERROR(INDEX('Master Stock'!$C$2:$C$100,MATCH(ROWS($G$9:G90),'Master Stock'!$P$2:$P$100,0)),"")</f>
        <v/>
      </c>
      <c r="H90" s="44">
        <f>IFERROR(INDEX('Master Stock'!$D$2:$D$100,MATCH(ROWS($G$9:G90),'Master Stock'!$P$2:$P$100,0)),"")</f>
        <v/>
      </c>
      <c r="I90" s="53">
        <f>IFERROR(INDEX('Master Stock'!$J$2:$J$100,MATCH(ROWS($G$9:G90),'Master Stock'!$P$2:$P$100,0)),"")</f>
        <v/>
      </c>
      <c r="J90" s="44">
        <f>IF(I90="","",MAX(0,TODAY()-(IF(ISNUMBER(I90),I90,IFERROR(DATE(2000+VALUE(RIGHT(I90,2)),VALUE(MID(I90,4,2)),VALUE(LEFT(I90,2))),"")))))</f>
        <v/>
      </c>
      <c r="K90" s="92" t="n"/>
      <c r="L90" s="49">
        <f>IFERROR(INDEX('Master Stock'!$C$2:$C$100,AGGREGATE(15,6,(ROW('Master Stock'!$C$2:$C$100)-ROW('Master Stock'!$C$2)+1)/(('Master Stock'!$H$2:$H$100="OCCUPIED")*('Master Stock'!$J$2:$J$100&lt;&gt;"")*('Master Stock'!$K$2:$K$100="")*('Master Stock'!$J$2:$J$100&lt;TODAY()-30)),82)),"")</f>
        <v/>
      </c>
      <c r="M90" s="49">
        <f>IFERROR(INDEX('Master Stock'!$D$2:$D$100,AGGREGATE(15,6,(ROW('Master Stock'!$C$2:$C$100)-ROW('Master Stock'!$C$2)+1)/(('Master Stock'!$H$2:$H$100="OCCUPIED")*('Master Stock'!$J$2:$J$100&lt;&gt;"")*('Master Stock'!$K$2:$K$100="")*('Master Stock'!$J$2:$J$100&lt;TODAY()-30)),82)),"")</f>
        <v/>
      </c>
      <c r="N90" s="52">
        <f>IFERROR(INDEX('Master Stock'!$J$2:$J$100,AGGREGATE(15,6,(ROW('Master Stock'!$C$2:$C$100)-ROW('Master Stock'!$C$2)+1)/(('Master Stock'!$H$2:$H$100="OCCUPIED")*('Master Stock'!$J$2:$J$100&lt;&gt;"")*('Master Stock'!$K$2:$K$100="")*('Master Stock'!$J$2:$J$100&lt;TODAY()-30)),82)),"")</f>
        <v/>
      </c>
      <c r="O90" s="51">
        <f>IF(N90="","",MAX(0,TODAY()-(IF(ISNUMBER(N90),N90,IFERROR(DATE(2000+VALUE(RIGHT(N90,2)),VALUE(MID(N90,4,2)),VALUE(LEFT(N90,2))),"")))))</f>
        <v/>
      </c>
    </row>
    <row r="91" ht="15.75" customHeight="1" s="42">
      <c r="A91" s="44">
        <f>IFERROR(INDEX('Master Stock'!$C$2:$C$100,MATCH(ROWS($A$9:A91),'Master Stock'!$N$2:$N$100,0)),"")</f>
        <v/>
      </c>
      <c r="B91" s="44">
        <f>IFERROR(INDEX('Master Stock'!$D$2:$D$100,MATCH(ROWS($A$9:A91),'Master Stock'!$N$2:$N$100,0)),"")</f>
        <v/>
      </c>
      <c r="C91" s="53">
        <f>IFERROR(INDEX('Master Stock'!$B$2:$B$100,MATCH(ROWS($A$9:A91),'Master Stock'!$N$2:$N$100,0)),"")</f>
        <v/>
      </c>
      <c r="D91" s="53">
        <f>IFERROR(INDEX('Master Stock'!$J$2:$J$100,MATCH(ROWS($A$9:A91),'Master Stock'!$N$2:$N$100,0)),"")</f>
        <v/>
      </c>
      <c r="E91" s="44">
        <f>IF(D91="","",MAX(0,TODAY()-(IF(ISNUMBER(D91),D91,IFERROR(DATE(2000+VALUE(RIGHT(D91,2)),VALUE(MID(D91,4,2)),VALUE(LEFT(D91,2))),"")))))</f>
        <v/>
      </c>
      <c r="F91" s="83" t="n"/>
      <c r="G91" s="44">
        <f>IFERROR(INDEX('Master Stock'!$C$2:$C$100,MATCH(ROWS($G$9:G91),'Master Stock'!$P$2:$P$100,0)),"")</f>
        <v/>
      </c>
      <c r="H91" s="44">
        <f>IFERROR(INDEX('Master Stock'!$D$2:$D$100,MATCH(ROWS($G$9:G91),'Master Stock'!$P$2:$P$100,0)),"")</f>
        <v/>
      </c>
      <c r="I91" s="53">
        <f>IFERROR(INDEX('Master Stock'!$J$2:$J$100,MATCH(ROWS($G$9:G91),'Master Stock'!$P$2:$P$100,0)),"")</f>
        <v/>
      </c>
      <c r="J91" s="44">
        <f>IF(I91="","",MAX(0,TODAY()-(IF(ISNUMBER(I91),I91,IFERROR(DATE(2000+VALUE(RIGHT(I91,2)),VALUE(MID(I91,4,2)),VALUE(LEFT(I91,2))),"")))))</f>
        <v/>
      </c>
      <c r="K91" s="92" t="n"/>
      <c r="L91" s="49">
        <f>IFERROR(INDEX('Master Stock'!$C$2:$C$100,AGGREGATE(15,6,(ROW('Master Stock'!$C$2:$C$100)-ROW('Master Stock'!$C$2)+1)/(('Master Stock'!$H$2:$H$100="OCCUPIED")*('Master Stock'!$J$2:$J$100&lt;&gt;"")*('Master Stock'!$K$2:$K$100="")*('Master Stock'!$J$2:$J$100&lt;TODAY()-30)),83)),"")</f>
        <v/>
      </c>
      <c r="M91" s="49">
        <f>IFERROR(INDEX('Master Stock'!$D$2:$D$100,AGGREGATE(15,6,(ROW('Master Stock'!$C$2:$C$100)-ROW('Master Stock'!$C$2)+1)/(('Master Stock'!$H$2:$H$100="OCCUPIED")*('Master Stock'!$J$2:$J$100&lt;&gt;"")*('Master Stock'!$K$2:$K$100="")*('Master Stock'!$J$2:$J$100&lt;TODAY()-30)),83)),"")</f>
        <v/>
      </c>
      <c r="N91" s="52">
        <f>IFERROR(INDEX('Master Stock'!$J$2:$J$100,AGGREGATE(15,6,(ROW('Master Stock'!$C$2:$C$100)-ROW('Master Stock'!$C$2)+1)/(('Master Stock'!$H$2:$H$100="OCCUPIED")*('Master Stock'!$J$2:$J$100&lt;&gt;"")*('Master Stock'!$K$2:$K$100="")*('Master Stock'!$J$2:$J$100&lt;TODAY()-30)),83)),"")</f>
        <v/>
      </c>
      <c r="O91" s="51">
        <f>IF(N91="","",MAX(0,TODAY()-(IF(ISNUMBER(N91),N91,IFERROR(DATE(2000+VALUE(RIGHT(N91,2)),VALUE(MID(N91,4,2)),VALUE(LEFT(N91,2))),"")))))</f>
        <v/>
      </c>
    </row>
    <row r="92" ht="15.75" customHeight="1" s="42">
      <c r="A92" s="44">
        <f>IFERROR(INDEX('Master Stock'!$C$2:$C$100,MATCH(ROWS($A$9:A92),'Master Stock'!$N$2:$N$100,0)),"")</f>
        <v/>
      </c>
      <c r="B92" s="44">
        <f>IFERROR(INDEX('Master Stock'!$D$2:$D$100,MATCH(ROWS($A$9:A92),'Master Stock'!$N$2:$N$100,0)),"")</f>
        <v/>
      </c>
      <c r="C92" s="53">
        <f>IFERROR(INDEX('Master Stock'!$B$2:$B$100,MATCH(ROWS($A$9:A92),'Master Stock'!$N$2:$N$100,0)),"")</f>
        <v/>
      </c>
      <c r="D92" s="53">
        <f>IFERROR(INDEX('Master Stock'!$J$2:$J$100,MATCH(ROWS($A$9:A92),'Master Stock'!$N$2:$N$100,0)),"")</f>
        <v/>
      </c>
      <c r="E92" s="44">
        <f>IF(D92="","",MAX(0,TODAY()-(IF(ISNUMBER(D92),D92,IFERROR(DATE(2000+VALUE(RIGHT(D92,2)),VALUE(MID(D92,4,2)),VALUE(LEFT(D92,2))),"")))))</f>
        <v/>
      </c>
      <c r="F92" s="83" t="n"/>
      <c r="G92" s="44">
        <f>IFERROR(INDEX('Master Stock'!$C$2:$C$100,MATCH(ROWS($G$9:G92),'Master Stock'!$P$2:$P$100,0)),"")</f>
        <v/>
      </c>
      <c r="H92" s="44">
        <f>IFERROR(INDEX('Master Stock'!$D$2:$D$100,MATCH(ROWS($G$9:G92),'Master Stock'!$P$2:$P$100,0)),"")</f>
        <v/>
      </c>
      <c r="I92" s="53">
        <f>IFERROR(INDEX('Master Stock'!$J$2:$J$100,MATCH(ROWS($G$9:G92),'Master Stock'!$P$2:$P$100,0)),"")</f>
        <v/>
      </c>
      <c r="J92" s="44">
        <f>IF(I92="","",MAX(0,TODAY()-(IF(ISNUMBER(I92),I92,IFERROR(DATE(2000+VALUE(RIGHT(I92,2)),VALUE(MID(I92,4,2)),VALUE(LEFT(I92,2))),"")))))</f>
        <v/>
      </c>
      <c r="K92" s="92" t="n"/>
      <c r="L92" s="49">
        <f>IFERROR(INDEX('Master Stock'!$C$2:$C$100,AGGREGATE(15,6,(ROW('Master Stock'!$C$2:$C$100)-ROW('Master Stock'!$C$2)+1)/(('Master Stock'!$H$2:$H$100="OCCUPIED")*('Master Stock'!$J$2:$J$100&lt;&gt;"")*('Master Stock'!$K$2:$K$100="")*('Master Stock'!$J$2:$J$100&lt;TODAY()-30)),84)),"")</f>
        <v/>
      </c>
      <c r="M92" s="49">
        <f>IFERROR(INDEX('Master Stock'!$D$2:$D$100,AGGREGATE(15,6,(ROW('Master Stock'!$C$2:$C$100)-ROW('Master Stock'!$C$2)+1)/(('Master Stock'!$H$2:$H$100="OCCUPIED")*('Master Stock'!$J$2:$J$100&lt;&gt;"")*('Master Stock'!$K$2:$K$100="")*('Master Stock'!$J$2:$J$100&lt;TODAY()-30)),84)),"")</f>
        <v/>
      </c>
      <c r="N92" s="52">
        <f>IFERROR(INDEX('Master Stock'!$J$2:$J$100,AGGREGATE(15,6,(ROW('Master Stock'!$C$2:$C$100)-ROW('Master Stock'!$C$2)+1)/(('Master Stock'!$H$2:$H$100="OCCUPIED")*('Master Stock'!$J$2:$J$100&lt;&gt;"")*('Master Stock'!$K$2:$K$100="")*('Master Stock'!$J$2:$J$100&lt;TODAY()-30)),84)),"")</f>
        <v/>
      </c>
      <c r="O92" s="51">
        <f>IF(N92="","",MAX(0,TODAY()-(IF(ISNUMBER(N92),N92,IFERROR(DATE(2000+VALUE(RIGHT(N92,2)),VALUE(MID(N92,4,2)),VALUE(LEFT(N92,2))),"")))))</f>
        <v/>
      </c>
    </row>
    <row r="93" ht="15.75" customHeight="1" s="42">
      <c r="A93" s="44">
        <f>IFERROR(INDEX('Master Stock'!$C$2:$C$100,MATCH(ROWS($A$9:A93),'Master Stock'!$N$2:$N$100,0)),"")</f>
        <v/>
      </c>
      <c r="B93" s="44">
        <f>IFERROR(INDEX('Master Stock'!$D$2:$D$100,MATCH(ROWS($A$9:A93),'Master Stock'!$N$2:$N$100,0)),"")</f>
        <v/>
      </c>
      <c r="C93" s="53">
        <f>IFERROR(INDEX('Master Stock'!$B$2:$B$100,MATCH(ROWS($A$9:A93),'Master Stock'!$N$2:$N$100,0)),"")</f>
        <v/>
      </c>
      <c r="D93" s="53">
        <f>IFERROR(INDEX('Master Stock'!$J$2:$J$100,MATCH(ROWS($A$9:A93),'Master Stock'!$N$2:$N$100,0)),"")</f>
        <v/>
      </c>
      <c r="E93" s="44">
        <f>IF(D93="","",MAX(0,TODAY()-(IF(ISNUMBER(D93),D93,IFERROR(DATE(2000+VALUE(RIGHT(D93,2)),VALUE(MID(D93,4,2)),VALUE(LEFT(D93,2))),"")))))</f>
        <v/>
      </c>
      <c r="F93" s="83" t="n"/>
      <c r="G93" s="44">
        <f>IFERROR(INDEX('Master Stock'!$C$2:$C$100,MATCH(ROWS($G$9:G93),'Master Stock'!$P$2:$P$100,0)),"")</f>
        <v/>
      </c>
      <c r="H93" s="44">
        <f>IFERROR(INDEX('Master Stock'!$D$2:$D$100,MATCH(ROWS($G$9:G93),'Master Stock'!$P$2:$P$100,0)),"")</f>
        <v/>
      </c>
      <c r="I93" s="53">
        <f>IFERROR(INDEX('Master Stock'!$J$2:$J$100,MATCH(ROWS($G$9:G93),'Master Stock'!$P$2:$P$100,0)),"")</f>
        <v/>
      </c>
      <c r="J93" s="44">
        <f>IF(I93="","",MAX(0,TODAY()-(IF(ISNUMBER(I93),I93,IFERROR(DATE(2000+VALUE(RIGHT(I93,2)),VALUE(MID(I93,4,2)),VALUE(LEFT(I93,2))),"")))))</f>
        <v/>
      </c>
      <c r="K93" s="92" t="n"/>
      <c r="L93" s="49">
        <f>IFERROR(INDEX('Master Stock'!$C$2:$C$100,AGGREGATE(15,6,(ROW('Master Stock'!$C$2:$C$100)-ROW('Master Stock'!$C$2)+1)/(('Master Stock'!$H$2:$H$100="OCCUPIED")*('Master Stock'!$J$2:$J$100&lt;&gt;"")*('Master Stock'!$K$2:$K$100="")*('Master Stock'!$J$2:$J$100&lt;TODAY()-30)),85)),"")</f>
        <v/>
      </c>
      <c r="M93" s="49">
        <f>IFERROR(INDEX('Master Stock'!$D$2:$D$100,AGGREGATE(15,6,(ROW('Master Stock'!$C$2:$C$100)-ROW('Master Stock'!$C$2)+1)/(('Master Stock'!$H$2:$H$100="OCCUPIED")*('Master Stock'!$J$2:$J$100&lt;&gt;"")*('Master Stock'!$K$2:$K$100="")*('Master Stock'!$J$2:$J$100&lt;TODAY()-30)),85)),"")</f>
        <v/>
      </c>
      <c r="N93" s="52">
        <f>IFERROR(INDEX('Master Stock'!$J$2:$J$100,AGGREGATE(15,6,(ROW('Master Stock'!$C$2:$C$100)-ROW('Master Stock'!$C$2)+1)/(('Master Stock'!$H$2:$H$100="OCCUPIED")*('Master Stock'!$J$2:$J$100&lt;&gt;"")*('Master Stock'!$K$2:$K$100="")*('Master Stock'!$J$2:$J$100&lt;TODAY()-30)),85)),"")</f>
        <v/>
      </c>
      <c r="O93" s="51">
        <f>IF(N93="","",MAX(0,TODAY()-(IF(ISNUMBER(N93),N93,IFERROR(DATE(2000+VALUE(RIGHT(N93,2)),VALUE(MID(N93,4,2)),VALUE(LEFT(N93,2))),"")))))</f>
        <v/>
      </c>
    </row>
    <row r="94" ht="15.75" customHeight="1" s="42">
      <c r="A94" s="44">
        <f>IFERROR(INDEX('Master Stock'!$C$2:$C$100,MATCH(ROWS($A$9:A94),'Master Stock'!$N$2:$N$100,0)),"")</f>
        <v/>
      </c>
      <c r="B94" s="44">
        <f>IFERROR(INDEX('Master Stock'!$D$2:$D$100,MATCH(ROWS($A$9:A94),'Master Stock'!$N$2:$N$100,0)),"")</f>
        <v/>
      </c>
      <c r="C94" s="53">
        <f>IFERROR(INDEX('Master Stock'!$B$2:$B$100,MATCH(ROWS($A$9:A94),'Master Stock'!$N$2:$N$100,0)),"")</f>
        <v/>
      </c>
      <c r="D94" s="53">
        <f>IFERROR(INDEX('Master Stock'!$J$2:$J$100,MATCH(ROWS($A$9:A94),'Master Stock'!$N$2:$N$100,0)),"")</f>
        <v/>
      </c>
      <c r="E94" s="44">
        <f>IF(D94="","",MAX(0,TODAY()-(IF(ISNUMBER(D94),D94,IFERROR(DATE(2000+VALUE(RIGHT(D94,2)),VALUE(MID(D94,4,2)),VALUE(LEFT(D94,2))),"")))))</f>
        <v/>
      </c>
      <c r="F94" s="83" t="n"/>
      <c r="G94" s="44">
        <f>IFERROR(INDEX('Master Stock'!$C$2:$C$100,MATCH(ROWS($G$9:G94),'Master Stock'!$P$2:$P$100,0)),"")</f>
        <v/>
      </c>
      <c r="H94" s="44">
        <f>IFERROR(INDEX('Master Stock'!$D$2:$D$100,MATCH(ROWS($G$9:G94),'Master Stock'!$P$2:$P$100,0)),"")</f>
        <v/>
      </c>
      <c r="I94" s="53">
        <f>IFERROR(INDEX('Master Stock'!$J$2:$J$100,MATCH(ROWS($G$9:G94),'Master Stock'!$P$2:$P$100,0)),"")</f>
        <v/>
      </c>
      <c r="J94" s="44">
        <f>IF(I94="","",MAX(0,TODAY()-(IF(ISNUMBER(I94),I94,IFERROR(DATE(2000+VALUE(RIGHT(I94,2)),VALUE(MID(I94,4,2)),VALUE(LEFT(I94,2))),"")))))</f>
        <v/>
      </c>
      <c r="K94" s="92" t="n"/>
      <c r="L94" s="49">
        <f>IFERROR(INDEX('Master Stock'!$C$2:$C$100,AGGREGATE(15,6,(ROW('Master Stock'!$C$2:$C$100)-ROW('Master Stock'!$C$2)+1)/(('Master Stock'!$H$2:$H$100="OCCUPIED")*('Master Stock'!$J$2:$J$100&lt;&gt;"")*('Master Stock'!$K$2:$K$100="")*('Master Stock'!$J$2:$J$100&lt;TODAY()-30)),86)),"")</f>
        <v/>
      </c>
      <c r="M94" s="49">
        <f>IFERROR(INDEX('Master Stock'!$D$2:$D$100,AGGREGATE(15,6,(ROW('Master Stock'!$C$2:$C$100)-ROW('Master Stock'!$C$2)+1)/(('Master Stock'!$H$2:$H$100="OCCUPIED")*('Master Stock'!$J$2:$J$100&lt;&gt;"")*('Master Stock'!$K$2:$K$100="")*('Master Stock'!$J$2:$J$100&lt;TODAY()-30)),86)),"")</f>
        <v/>
      </c>
      <c r="N94" s="52">
        <f>IFERROR(INDEX('Master Stock'!$J$2:$J$100,AGGREGATE(15,6,(ROW('Master Stock'!$C$2:$C$100)-ROW('Master Stock'!$C$2)+1)/(('Master Stock'!$H$2:$H$100="OCCUPIED")*('Master Stock'!$J$2:$J$100&lt;&gt;"")*('Master Stock'!$K$2:$K$100="")*('Master Stock'!$J$2:$J$100&lt;TODAY()-30)),86)),"")</f>
        <v/>
      </c>
      <c r="O94" s="51">
        <f>IF(N94="","",MAX(0,TODAY()-(IF(ISNUMBER(N94),N94,IFERROR(DATE(2000+VALUE(RIGHT(N94,2)),VALUE(MID(N94,4,2)),VALUE(LEFT(N94,2))),"")))))</f>
        <v/>
      </c>
    </row>
    <row r="95" ht="15.75" customHeight="1" s="42">
      <c r="A95" s="44">
        <f>IFERROR(INDEX('Master Stock'!$C$2:$C$100,MATCH(ROWS($A$9:A95),'Master Stock'!$N$2:$N$100,0)),"")</f>
        <v/>
      </c>
      <c r="B95" s="44">
        <f>IFERROR(INDEX('Master Stock'!$D$2:$D$100,MATCH(ROWS($A$9:A95),'Master Stock'!$N$2:$N$100,0)),"")</f>
        <v/>
      </c>
      <c r="C95" s="53">
        <f>IFERROR(INDEX('Master Stock'!$B$2:$B$100,MATCH(ROWS($A$9:A95),'Master Stock'!$N$2:$N$100,0)),"")</f>
        <v/>
      </c>
      <c r="D95" s="53">
        <f>IFERROR(INDEX('Master Stock'!$J$2:$J$100,MATCH(ROWS($A$9:A95),'Master Stock'!$N$2:$N$100,0)),"")</f>
        <v/>
      </c>
      <c r="E95" s="44">
        <f>IF(D95="","",MAX(0,TODAY()-(IF(ISNUMBER(D95),D95,IFERROR(DATE(2000+VALUE(RIGHT(D95,2)),VALUE(MID(D95,4,2)),VALUE(LEFT(D95,2))),"")))))</f>
        <v/>
      </c>
      <c r="F95" s="83" t="n"/>
      <c r="G95" s="44">
        <f>IFERROR(INDEX('Master Stock'!$C$2:$C$100,MATCH(ROWS($G$9:G95),'Master Stock'!$P$2:$P$100,0)),"")</f>
        <v/>
      </c>
      <c r="H95" s="44">
        <f>IFERROR(INDEX('Master Stock'!$D$2:$D$100,MATCH(ROWS($G$9:G95),'Master Stock'!$P$2:$P$100,0)),"")</f>
        <v/>
      </c>
      <c r="I95" s="53">
        <f>IFERROR(INDEX('Master Stock'!$J$2:$J$100,MATCH(ROWS($G$9:G95),'Master Stock'!$P$2:$P$100,0)),"")</f>
        <v/>
      </c>
      <c r="J95" s="44">
        <f>IF(I95="","",MAX(0,TODAY()-(IF(ISNUMBER(I95),I95,IFERROR(DATE(2000+VALUE(RIGHT(I95,2)),VALUE(MID(I95,4,2)),VALUE(LEFT(I95,2))),"")))))</f>
        <v/>
      </c>
      <c r="K95" s="92" t="n"/>
      <c r="L95" s="49">
        <f>IFERROR(INDEX('Master Stock'!$C$2:$C$100,AGGREGATE(15,6,(ROW('Master Stock'!$C$2:$C$100)-ROW('Master Stock'!$C$2)+1)/(('Master Stock'!$H$2:$H$100="OCCUPIED")*('Master Stock'!$J$2:$J$100&lt;&gt;"")*('Master Stock'!$K$2:$K$100="")*('Master Stock'!$J$2:$J$100&lt;TODAY()-30)),87)),"")</f>
        <v/>
      </c>
      <c r="M95" s="49">
        <f>IFERROR(INDEX('Master Stock'!$D$2:$D$100,AGGREGATE(15,6,(ROW('Master Stock'!$C$2:$C$100)-ROW('Master Stock'!$C$2)+1)/(('Master Stock'!$H$2:$H$100="OCCUPIED")*('Master Stock'!$J$2:$J$100&lt;&gt;"")*('Master Stock'!$K$2:$K$100="")*('Master Stock'!$J$2:$J$100&lt;TODAY()-30)),87)),"")</f>
        <v/>
      </c>
      <c r="N95" s="52">
        <f>IFERROR(INDEX('Master Stock'!$J$2:$J$100,AGGREGATE(15,6,(ROW('Master Stock'!$C$2:$C$100)-ROW('Master Stock'!$C$2)+1)/(('Master Stock'!$H$2:$H$100="OCCUPIED")*('Master Stock'!$J$2:$J$100&lt;&gt;"")*('Master Stock'!$K$2:$K$100="")*('Master Stock'!$J$2:$J$100&lt;TODAY()-30)),87)),"")</f>
        <v/>
      </c>
      <c r="O95" s="51">
        <f>IF(N95="","",MAX(0,TODAY()-(IF(ISNUMBER(N95),N95,IFERROR(DATE(2000+VALUE(RIGHT(N95,2)),VALUE(MID(N95,4,2)),VALUE(LEFT(N95,2))),"")))))</f>
        <v/>
      </c>
    </row>
    <row r="96" ht="15.75" customHeight="1" s="42">
      <c r="A96" s="44">
        <f>IFERROR(INDEX('Master Stock'!$C$2:$C$100,MATCH(ROWS($A$9:A96),'Master Stock'!$N$2:$N$100,0)),"")</f>
        <v/>
      </c>
      <c r="B96" s="44">
        <f>IFERROR(INDEX('Master Stock'!$D$2:$D$100,MATCH(ROWS($A$9:A96),'Master Stock'!$N$2:$N$100,0)),"")</f>
        <v/>
      </c>
      <c r="C96" s="53">
        <f>IFERROR(INDEX('Master Stock'!$B$2:$B$100,MATCH(ROWS($A$9:A96),'Master Stock'!$N$2:$N$100,0)),"")</f>
        <v/>
      </c>
      <c r="D96" s="53">
        <f>IFERROR(INDEX('Master Stock'!$J$2:$J$100,MATCH(ROWS($A$9:A96),'Master Stock'!$N$2:$N$100,0)),"")</f>
        <v/>
      </c>
      <c r="E96" s="44">
        <f>IF(D96="","",MAX(0,TODAY()-(IF(ISNUMBER(D96),D96,IFERROR(DATE(2000+VALUE(RIGHT(D96,2)),VALUE(MID(D96,4,2)),VALUE(LEFT(D96,2))),"")))))</f>
        <v/>
      </c>
      <c r="F96" s="83" t="n"/>
      <c r="G96" s="44">
        <f>IFERROR(INDEX('Master Stock'!$C$2:$C$100,MATCH(ROWS($G$9:G96),'Master Stock'!$P$2:$P$100,0)),"")</f>
        <v/>
      </c>
      <c r="H96" s="44">
        <f>IFERROR(INDEX('Master Stock'!$D$2:$D$100,MATCH(ROWS($G$9:G96),'Master Stock'!$P$2:$P$100,0)),"")</f>
        <v/>
      </c>
      <c r="I96" s="53">
        <f>IFERROR(INDEX('Master Stock'!$J$2:$J$100,MATCH(ROWS($G$9:G96),'Master Stock'!$P$2:$P$100,0)),"")</f>
        <v/>
      </c>
      <c r="J96" s="44">
        <f>IF(I96="","",MAX(0,TODAY()-(IF(ISNUMBER(I96),I96,IFERROR(DATE(2000+VALUE(RIGHT(I96,2)),VALUE(MID(I96,4,2)),VALUE(LEFT(I96,2))),"")))))</f>
        <v/>
      </c>
      <c r="K96" s="92" t="n"/>
      <c r="L96" s="49">
        <f>IFERROR(INDEX('Master Stock'!$C$2:$C$100,AGGREGATE(15,6,(ROW('Master Stock'!$C$2:$C$100)-ROW('Master Stock'!$C$2)+1)/(('Master Stock'!$H$2:$H$100="OCCUPIED")*('Master Stock'!$J$2:$J$100&lt;&gt;"")*('Master Stock'!$K$2:$K$100="")*('Master Stock'!$J$2:$J$100&lt;TODAY()-30)),88)),"")</f>
        <v/>
      </c>
      <c r="M96" s="49">
        <f>IFERROR(INDEX('Master Stock'!$D$2:$D$100,AGGREGATE(15,6,(ROW('Master Stock'!$C$2:$C$100)-ROW('Master Stock'!$C$2)+1)/(('Master Stock'!$H$2:$H$100="OCCUPIED")*('Master Stock'!$J$2:$J$100&lt;&gt;"")*('Master Stock'!$K$2:$K$100="")*('Master Stock'!$J$2:$J$100&lt;TODAY()-30)),88)),"")</f>
        <v/>
      </c>
      <c r="N96" s="52">
        <f>IFERROR(INDEX('Master Stock'!$J$2:$J$100,AGGREGATE(15,6,(ROW('Master Stock'!$C$2:$C$100)-ROW('Master Stock'!$C$2)+1)/(('Master Stock'!$H$2:$H$100="OCCUPIED")*('Master Stock'!$J$2:$J$100&lt;&gt;"")*('Master Stock'!$K$2:$K$100="")*('Master Stock'!$J$2:$J$100&lt;TODAY()-30)),88)),"")</f>
        <v/>
      </c>
      <c r="O96" s="51">
        <f>IF(N96="","",MAX(0,TODAY()-(IF(ISNUMBER(N96),N96,IFERROR(DATE(2000+VALUE(RIGHT(N96,2)),VALUE(MID(N96,4,2)),VALUE(LEFT(N96,2))),"")))))</f>
        <v/>
      </c>
    </row>
    <row r="97" ht="15.75" customHeight="1" s="42">
      <c r="A97" s="44">
        <f>IFERROR(INDEX('Master Stock'!$C$2:$C$100,MATCH(ROWS($A$9:A97),'Master Stock'!$N$2:$N$100,0)),"")</f>
        <v/>
      </c>
      <c r="B97" s="44">
        <f>IFERROR(INDEX('Master Stock'!$D$2:$D$100,MATCH(ROWS($A$9:A97),'Master Stock'!$N$2:$N$100,0)),"")</f>
        <v/>
      </c>
      <c r="C97" s="53">
        <f>IFERROR(INDEX('Master Stock'!$B$2:$B$100,MATCH(ROWS($A$9:A97),'Master Stock'!$N$2:$N$100,0)),"")</f>
        <v/>
      </c>
      <c r="D97" s="53">
        <f>IFERROR(INDEX('Master Stock'!$J$2:$J$100,MATCH(ROWS($A$9:A97),'Master Stock'!$N$2:$N$100,0)),"")</f>
        <v/>
      </c>
      <c r="E97" s="44">
        <f>IF(D97="","",MAX(0,TODAY()-(IF(ISNUMBER(D97),D97,IFERROR(DATE(2000+VALUE(RIGHT(D97,2)),VALUE(MID(D97,4,2)),VALUE(LEFT(D97,2))),"")))))</f>
        <v/>
      </c>
      <c r="F97" s="83" t="n"/>
      <c r="G97" s="44">
        <f>IFERROR(INDEX('Master Stock'!$C$2:$C$100,MATCH(ROWS($G$9:G97),'Master Stock'!$P$2:$P$100,0)),"")</f>
        <v/>
      </c>
      <c r="H97" s="44">
        <f>IFERROR(INDEX('Master Stock'!$D$2:$D$100,MATCH(ROWS($G$9:G97),'Master Stock'!$P$2:$P$100,0)),"")</f>
        <v/>
      </c>
      <c r="I97" s="53">
        <f>IFERROR(INDEX('Master Stock'!$J$2:$J$100,MATCH(ROWS($G$9:G97),'Master Stock'!$P$2:$P$100,0)),"")</f>
        <v/>
      </c>
      <c r="J97" s="44">
        <f>IF(I97="","",MAX(0,TODAY()-(IF(ISNUMBER(I97),I97,IFERROR(DATE(2000+VALUE(RIGHT(I97,2)),VALUE(MID(I97,4,2)),VALUE(LEFT(I97,2))),"")))))</f>
        <v/>
      </c>
      <c r="K97" s="92" t="n"/>
      <c r="L97" s="49">
        <f>IFERROR(INDEX('Master Stock'!$C$2:$C$100,AGGREGATE(15,6,(ROW('Master Stock'!$C$2:$C$100)-ROW('Master Stock'!$C$2)+1)/(('Master Stock'!$H$2:$H$100="OCCUPIED")*('Master Stock'!$J$2:$J$100&lt;&gt;"")*('Master Stock'!$K$2:$K$100="")*('Master Stock'!$J$2:$J$100&lt;TODAY()-30)),89)),"")</f>
        <v/>
      </c>
      <c r="M97" s="49">
        <f>IFERROR(INDEX('Master Stock'!$D$2:$D$100,AGGREGATE(15,6,(ROW('Master Stock'!$C$2:$C$100)-ROW('Master Stock'!$C$2)+1)/(('Master Stock'!$H$2:$H$100="OCCUPIED")*('Master Stock'!$J$2:$J$100&lt;&gt;"")*('Master Stock'!$K$2:$K$100="")*('Master Stock'!$J$2:$J$100&lt;TODAY()-30)),89)),"")</f>
        <v/>
      </c>
      <c r="N97" s="52">
        <f>IFERROR(INDEX('Master Stock'!$J$2:$J$100,AGGREGATE(15,6,(ROW('Master Stock'!$C$2:$C$100)-ROW('Master Stock'!$C$2)+1)/(('Master Stock'!$H$2:$H$100="OCCUPIED")*('Master Stock'!$J$2:$J$100&lt;&gt;"")*('Master Stock'!$K$2:$K$100="")*('Master Stock'!$J$2:$J$100&lt;TODAY()-30)),89)),"")</f>
        <v/>
      </c>
      <c r="O97" s="51">
        <f>IF(N97="","",MAX(0,TODAY()-(IF(ISNUMBER(N97),N97,IFERROR(DATE(2000+VALUE(RIGHT(N97,2)),VALUE(MID(N97,4,2)),VALUE(LEFT(N97,2))),"")))))</f>
        <v/>
      </c>
    </row>
    <row r="98" ht="15.75" customHeight="1" s="42">
      <c r="A98" s="44">
        <f>IFERROR(INDEX('Master Stock'!$C$2:$C$100,MATCH(ROWS($A$9:A98),'Master Stock'!$N$2:$N$100,0)),"")</f>
        <v/>
      </c>
      <c r="B98" s="44">
        <f>IFERROR(INDEX('Master Stock'!$D$2:$D$100,MATCH(ROWS($A$9:A98),'Master Stock'!$N$2:$N$100,0)),"")</f>
        <v/>
      </c>
      <c r="C98" s="53">
        <f>IFERROR(INDEX('Master Stock'!$B$2:$B$100,MATCH(ROWS($A$9:A98),'Master Stock'!$N$2:$N$100,0)),"")</f>
        <v/>
      </c>
      <c r="D98" s="53">
        <f>IFERROR(INDEX('Master Stock'!$J$2:$J$100,MATCH(ROWS($A$9:A98),'Master Stock'!$N$2:$N$100,0)),"")</f>
        <v/>
      </c>
      <c r="E98" s="44">
        <f>IF(D98="","",MAX(0,TODAY()-(IF(ISNUMBER(D98),D98,IFERROR(DATE(2000+VALUE(RIGHT(D98,2)),VALUE(MID(D98,4,2)),VALUE(LEFT(D98,2))),"")))))</f>
        <v/>
      </c>
      <c r="F98" s="83" t="n"/>
      <c r="G98" s="44">
        <f>IFERROR(INDEX('Master Stock'!$C$2:$C$100,MATCH(ROWS($G$9:G98),'Master Stock'!$P$2:$P$100,0)),"")</f>
        <v/>
      </c>
      <c r="H98" s="44">
        <f>IFERROR(INDEX('Master Stock'!$D$2:$D$100,MATCH(ROWS($G$9:G98),'Master Stock'!$P$2:$P$100,0)),"")</f>
        <v/>
      </c>
      <c r="I98" s="53">
        <f>IFERROR(INDEX('Master Stock'!$J$2:$J$100,MATCH(ROWS($G$9:G98),'Master Stock'!$P$2:$P$100,0)),"")</f>
        <v/>
      </c>
      <c r="J98" s="44">
        <f>IF(I98="","",MAX(0,TODAY()-(IF(ISNUMBER(I98),I98,IFERROR(DATE(2000+VALUE(RIGHT(I98,2)),VALUE(MID(I98,4,2)),VALUE(LEFT(I98,2))),"")))))</f>
        <v/>
      </c>
      <c r="K98" s="92" t="n"/>
      <c r="L98" s="49">
        <f>IFERROR(INDEX('Master Stock'!$C$2:$C$100,AGGREGATE(15,6,(ROW('Master Stock'!$C$2:$C$100)-ROW('Master Stock'!$C$2)+1)/(('Master Stock'!$H$2:$H$100="OCCUPIED")*('Master Stock'!$J$2:$J$100&lt;&gt;"")*('Master Stock'!$K$2:$K$100="")*('Master Stock'!$J$2:$J$100&lt;TODAY()-30)),90)),"")</f>
        <v/>
      </c>
      <c r="M98" s="49">
        <f>IFERROR(INDEX('Master Stock'!$D$2:$D$100,AGGREGATE(15,6,(ROW('Master Stock'!$C$2:$C$100)-ROW('Master Stock'!$C$2)+1)/(('Master Stock'!$H$2:$H$100="OCCUPIED")*('Master Stock'!$J$2:$J$100&lt;&gt;"")*('Master Stock'!$K$2:$K$100="")*('Master Stock'!$J$2:$J$100&lt;TODAY()-30)),90)),"")</f>
        <v/>
      </c>
      <c r="N98" s="52">
        <f>IFERROR(INDEX('Master Stock'!$J$2:$J$100,AGGREGATE(15,6,(ROW('Master Stock'!$C$2:$C$100)-ROW('Master Stock'!$C$2)+1)/(('Master Stock'!$H$2:$H$100="OCCUPIED")*('Master Stock'!$J$2:$J$100&lt;&gt;"")*('Master Stock'!$K$2:$K$100="")*('Master Stock'!$J$2:$J$100&lt;TODAY()-30)),90)),"")</f>
        <v/>
      </c>
      <c r="O98" s="51">
        <f>IF(N98="","",MAX(0,TODAY()-(IF(ISNUMBER(N98),N98,IFERROR(DATE(2000+VALUE(RIGHT(N98,2)),VALUE(MID(N98,4,2)),VALUE(LEFT(N98,2))),"")))))</f>
        <v/>
      </c>
    </row>
    <row r="99" ht="15.75" customHeight="1" s="42">
      <c r="A99" s="44">
        <f>IFERROR(INDEX('Master Stock'!$C$2:$C$100,MATCH(ROWS($A$9:A99),'Master Stock'!$N$2:$N$100,0)),"")</f>
        <v/>
      </c>
      <c r="B99" s="44">
        <f>IFERROR(INDEX('Master Stock'!$D$2:$D$100,MATCH(ROWS($A$9:A99),'Master Stock'!$N$2:$N$100,0)),"")</f>
        <v/>
      </c>
      <c r="C99" s="53">
        <f>IFERROR(INDEX('Master Stock'!$B$2:$B$100,MATCH(ROWS($A$9:A99),'Master Stock'!$N$2:$N$100,0)),"")</f>
        <v/>
      </c>
      <c r="D99" s="53">
        <f>IFERROR(INDEX('Master Stock'!$J$2:$J$100,MATCH(ROWS($A$9:A99),'Master Stock'!$N$2:$N$100,0)),"")</f>
        <v/>
      </c>
      <c r="E99" s="44">
        <f>IF(D99="","",MAX(0,TODAY()-(IF(ISNUMBER(D99),D99,IFERROR(DATE(2000+VALUE(RIGHT(D99,2)),VALUE(MID(D99,4,2)),VALUE(LEFT(D99,2))),"")))))</f>
        <v/>
      </c>
      <c r="F99" s="83" t="n"/>
      <c r="G99" s="44">
        <f>IFERROR(INDEX('Master Stock'!$C$2:$C$100,MATCH(ROWS($G$9:G99),'Master Stock'!$P$2:$P$100,0)),"")</f>
        <v/>
      </c>
      <c r="H99" s="44">
        <f>IFERROR(INDEX('Master Stock'!$D$2:$D$100,MATCH(ROWS($G$9:G99),'Master Stock'!$P$2:$P$100,0)),"")</f>
        <v/>
      </c>
      <c r="I99" s="53">
        <f>IFERROR(INDEX('Master Stock'!$J$2:$J$100,MATCH(ROWS($G$9:G99),'Master Stock'!$P$2:$P$100,0)),"")</f>
        <v/>
      </c>
      <c r="J99" s="44">
        <f>IF(I99="","",MAX(0,TODAY()-(IF(ISNUMBER(I99),I99,IFERROR(DATE(2000+VALUE(RIGHT(I99,2)),VALUE(MID(I99,4,2)),VALUE(LEFT(I99,2))),"")))))</f>
        <v/>
      </c>
      <c r="K99" s="92" t="n"/>
      <c r="L99" s="49">
        <f>IFERROR(INDEX('Master Stock'!$C$2:$C$100,AGGREGATE(15,6,(ROW('Master Stock'!$C$2:$C$100)-ROW('Master Stock'!$C$2)+1)/(('Master Stock'!$H$2:$H$100="OCCUPIED")*('Master Stock'!$J$2:$J$100&lt;&gt;"")*('Master Stock'!$K$2:$K$100="")*('Master Stock'!$J$2:$J$100&lt;TODAY()-30)),91)),"")</f>
        <v/>
      </c>
      <c r="M99" s="49">
        <f>IFERROR(INDEX('Master Stock'!$D$2:$D$100,AGGREGATE(15,6,(ROW('Master Stock'!$C$2:$C$100)-ROW('Master Stock'!$C$2)+1)/(('Master Stock'!$H$2:$H$100="OCCUPIED")*('Master Stock'!$J$2:$J$100&lt;&gt;"")*('Master Stock'!$K$2:$K$100="")*('Master Stock'!$J$2:$J$100&lt;TODAY()-30)),91)),"")</f>
        <v/>
      </c>
      <c r="N99" s="52">
        <f>IFERROR(INDEX('Master Stock'!$J$2:$J$100,AGGREGATE(15,6,(ROW('Master Stock'!$C$2:$C$100)-ROW('Master Stock'!$C$2)+1)/(('Master Stock'!$H$2:$H$100="OCCUPIED")*('Master Stock'!$J$2:$J$100&lt;&gt;"")*('Master Stock'!$K$2:$K$100="")*('Master Stock'!$J$2:$J$100&lt;TODAY()-30)),91)),"")</f>
        <v/>
      </c>
      <c r="O99" s="51">
        <f>IF(N99="","",MAX(0,TODAY()-(IF(ISNUMBER(N99),N99,IFERROR(DATE(2000+VALUE(RIGHT(N99,2)),VALUE(MID(N99,4,2)),VALUE(LEFT(N99,2))),"")))))</f>
        <v/>
      </c>
    </row>
    <row r="100" ht="15.75" customHeight="1" s="42">
      <c r="A100" s="44">
        <f>IFERROR(INDEX('Master Stock'!$C$2:$C$100,MATCH(ROWS($A$9:A100),'Master Stock'!$N$2:$N$100,0)),"")</f>
        <v/>
      </c>
      <c r="B100" s="44">
        <f>IFERROR(INDEX('Master Stock'!$D$2:$D$100,MATCH(ROWS($A$9:A100),'Master Stock'!$N$2:$N$100,0)),"")</f>
        <v/>
      </c>
      <c r="C100" s="53">
        <f>IFERROR(INDEX('Master Stock'!$B$2:$B$100,MATCH(ROWS($A$9:A100),'Master Stock'!$N$2:$N$100,0)),"")</f>
        <v/>
      </c>
      <c r="D100" s="53">
        <f>IFERROR(INDEX('Master Stock'!$J$2:$J$100,MATCH(ROWS($A$9:A100),'Master Stock'!$N$2:$N$100,0)),"")</f>
        <v/>
      </c>
      <c r="E100" s="44">
        <f>IF(D100="","",MAX(0,TODAY()-(IF(ISNUMBER(D100),D100,IFERROR(DATE(2000+VALUE(RIGHT(D100,2)),VALUE(MID(D100,4,2)),VALUE(LEFT(D100,2))),"")))))</f>
        <v/>
      </c>
      <c r="F100" s="83" t="n"/>
      <c r="G100" s="44">
        <f>IFERROR(INDEX('Master Stock'!$C$2:$C$100,MATCH(ROWS($G$9:G100),'Master Stock'!$P$2:$P$100,0)),"")</f>
        <v/>
      </c>
      <c r="H100" s="44">
        <f>IFERROR(INDEX('Master Stock'!$D$2:$D$100,MATCH(ROWS($G$9:G100),'Master Stock'!$P$2:$P$100,0)),"")</f>
        <v/>
      </c>
      <c r="I100" s="53">
        <f>IFERROR(INDEX('Master Stock'!$J$2:$J$100,MATCH(ROWS($G$9:G100),'Master Stock'!$P$2:$P$100,0)),"")</f>
        <v/>
      </c>
      <c r="J100" s="44">
        <f>IF(I100="","",MAX(0,TODAY()-(IF(ISNUMBER(I100),I100,IFERROR(DATE(2000+VALUE(RIGHT(I100,2)),VALUE(MID(I100,4,2)),VALUE(LEFT(I100,2))),"")))))</f>
        <v/>
      </c>
      <c r="K100" s="92" t="n"/>
      <c r="L100" s="49">
        <f>IFERROR(INDEX('Master Stock'!$C$2:$C$100,AGGREGATE(15,6,(ROW('Master Stock'!$C$2:$C$100)-ROW('Master Stock'!$C$2)+1)/(('Master Stock'!$H$2:$H$100="OCCUPIED")*('Master Stock'!$J$2:$J$100&lt;&gt;"")*('Master Stock'!$K$2:$K$100="")*('Master Stock'!$J$2:$J$100&lt;TODAY()-30)),92)),"")</f>
        <v/>
      </c>
      <c r="M100" s="49">
        <f>IFERROR(INDEX('Master Stock'!$D$2:$D$100,AGGREGATE(15,6,(ROW('Master Stock'!$C$2:$C$100)-ROW('Master Stock'!$C$2)+1)/(('Master Stock'!$H$2:$H$100="OCCUPIED")*('Master Stock'!$J$2:$J$100&lt;&gt;"")*('Master Stock'!$K$2:$K$100="")*('Master Stock'!$J$2:$J$100&lt;TODAY()-30)),92)),"")</f>
        <v/>
      </c>
      <c r="N100" s="52">
        <f>IFERROR(INDEX('Master Stock'!$J$2:$J$100,AGGREGATE(15,6,(ROW('Master Stock'!$C$2:$C$100)-ROW('Master Stock'!$C$2)+1)/(('Master Stock'!$H$2:$H$100="OCCUPIED")*('Master Stock'!$J$2:$J$100&lt;&gt;"")*('Master Stock'!$K$2:$K$100="")*('Master Stock'!$J$2:$J$100&lt;TODAY()-30)),92)),"")</f>
        <v/>
      </c>
      <c r="O100" s="51">
        <f>IF(N100="","",MAX(0,TODAY()-(IF(ISNUMBER(N100),N100,IFERROR(DATE(2000+VALUE(RIGHT(N100,2)),VALUE(MID(N100,4,2)),VALUE(LEFT(N100,2))),"")))))</f>
        <v/>
      </c>
    </row>
    <row r="101" ht="15.75" customHeight="1" s="42">
      <c r="A101" s="92" t="n"/>
      <c r="B101" s="92" t="n"/>
      <c r="C101" s="93" t="n"/>
      <c r="D101" s="93" t="n"/>
      <c r="E101" s="92" t="n"/>
      <c r="F101" s="92" t="n"/>
      <c r="G101" s="92" t="n"/>
      <c r="H101" s="92" t="n"/>
      <c r="I101" s="93" t="n"/>
      <c r="J101" s="92" t="n"/>
      <c r="K101" s="92" t="n"/>
      <c r="L101" s="49">
        <f>IFERROR(INDEX('Master Stock'!$C$2:$C$100,AGGREGATE(15,6,(ROW('Master Stock'!$C$2:$C$100)-ROW('Master Stock'!$C$2)+1)/(('Master Stock'!$H$2:$H$100="OCCUPIED")*('Master Stock'!$J$2:$J$100&lt;&gt;"")*('Master Stock'!$K$2:$K$100="")*('Master Stock'!$J$2:$J$100&lt;TODAY()-30)),93)),"")</f>
        <v/>
      </c>
      <c r="M101" s="49">
        <f>IFERROR(INDEX('Master Stock'!$D$2:$D$100,AGGREGATE(15,6,(ROW('Master Stock'!$C$2:$C$100)-ROW('Master Stock'!$C$2)+1)/(('Master Stock'!$H$2:$H$100="OCCUPIED")*('Master Stock'!$J$2:$J$100&lt;&gt;"")*('Master Stock'!$K$2:$K$100="")*('Master Stock'!$J$2:$J$100&lt;TODAY()-30)),93)),"")</f>
        <v/>
      </c>
      <c r="N101" s="52">
        <f>IFERROR(INDEX('Master Stock'!$J$2:$J$100,AGGREGATE(15,6,(ROW('Master Stock'!$C$2:$C$100)-ROW('Master Stock'!$C$2)+1)/(('Master Stock'!$H$2:$H$100="OCCUPIED")*('Master Stock'!$J$2:$J$100&lt;&gt;"")*('Master Stock'!$K$2:$K$100="")*('Master Stock'!$J$2:$J$100&lt;TODAY()-30)),93)),"")</f>
        <v/>
      </c>
      <c r="O101" s="51">
        <f>IF(N101="","",MAX(0,TODAY()-(IF(ISNUMBER(N101),N101,IFERROR(DATE(2000+VALUE(RIGHT(N101,2)),VALUE(MID(N101,4,2)),VALUE(LEFT(N101,2))),"")))))</f>
        <v/>
      </c>
    </row>
    <row r="102" ht="15.75" customHeight="1" s="42">
      <c r="A102" s="92" t="n"/>
      <c r="B102" s="92" t="n"/>
      <c r="C102" s="93" t="n"/>
      <c r="D102" s="93" t="n"/>
      <c r="E102" s="92" t="n"/>
      <c r="F102" s="92" t="n"/>
      <c r="G102" s="92" t="n"/>
      <c r="H102" s="92" t="n"/>
      <c r="I102" s="93" t="n"/>
      <c r="J102" s="92" t="n"/>
      <c r="K102" s="92" t="n"/>
      <c r="L102" s="49">
        <f>IFERROR(INDEX('Master Stock'!$C$2:$C$100,AGGREGATE(15,6,(ROW('Master Stock'!$C$2:$C$100)-ROW('Master Stock'!$C$2)+1)/(('Master Stock'!$H$2:$H$100="OCCUPIED")*('Master Stock'!$J$2:$J$100&lt;&gt;"")*('Master Stock'!$K$2:$K$100="")*('Master Stock'!$J$2:$J$100&lt;TODAY()-30)),94)),"")</f>
        <v/>
      </c>
      <c r="M102" s="49">
        <f>IFERROR(INDEX('Master Stock'!$D$2:$D$100,AGGREGATE(15,6,(ROW('Master Stock'!$C$2:$C$100)-ROW('Master Stock'!$C$2)+1)/(('Master Stock'!$H$2:$H$100="OCCUPIED")*('Master Stock'!$J$2:$J$100&lt;&gt;"")*('Master Stock'!$K$2:$K$100="")*('Master Stock'!$J$2:$J$100&lt;TODAY()-30)),94)),"")</f>
        <v/>
      </c>
      <c r="N102" s="52">
        <f>IFERROR(INDEX('Master Stock'!$J$2:$J$100,AGGREGATE(15,6,(ROW('Master Stock'!$C$2:$C$100)-ROW('Master Stock'!$C$2)+1)/(('Master Stock'!$H$2:$H$100="OCCUPIED")*('Master Stock'!$J$2:$J$100&lt;&gt;"")*('Master Stock'!$K$2:$K$100="")*('Master Stock'!$J$2:$J$100&lt;TODAY()-30)),94)),"")</f>
        <v/>
      </c>
      <c r="O102" s="51">
        <f>IF(N102="","",MAX(0,TODAY()-(IF(ISNUMBER(N102),N102,IFERROR(DATE(2000+VALUE(RIGHT(N102,2)),VALUE(MID(N102,4,2)),VALUE(LEFT(N102,2))),"")))))</f>
        <v/>
      </c>
    </row>
    <row r="103" ht="15.75" customHeight="1" s="42">
      <c r="A103" s="92" t="n"/>
      <c r="B103" s="92" t="n"/>
      <c r="C103" s="93" t="n"/>
      <c r="D103" s="93" t="n"/>
      <c r="E103" s="92" t="n"/>
      <c r="F103" s="92" t="n"/>
      <c r="G103" s="92" t="n"/>
      <c r="H103" s="92" t="n"/>
      <c r="I103" s="93" t="n"/>
      <c r="J103" s="92" t="n"/>
      <c r="K103" s="92" t="n"/>
      <c r="L103" s="49">
        <f>IFERROR(INDEX('Master Stock'!$C$2:$C$100,AGGREGATE(15,6,(ROW('Master Stock'!$C$2:$C$100)-ROW('Master Stock'!$C$2)+1)/(('Master Stock'!$H$2:$H$100="OCCUPIED")*('Master Stock'!$J$2:$J$100&lt;&gt;"")*('Master Stock'!$K$2:$K$100="")*('Master Stock'!$J$2:$J$100&lt;TODAY()-30)),95)),"")</f>
        <v/>
      </c>
      <c r="M103" s="49">
        <f>IFERROR(INDEX('Master Stock'!$D$2:$D$100,AGGREGATE(15,6,(ROW('Master Stock'!$C$2:$C$100)-ROW('Master Stock'!$C$2)+1)/(('Master Stock'!$H$2:$H$100="OCCUPIED")*('Master Stock'!$J$2:$J$100&lt;&gt;"")*('Master Stock'!$K$2:$K$100="")*('Master Stock'!$J$2:$J$100&lt;TODAY()-30)),95)),"")</f>
        <v/>
      </c>
      <c r="N103" s="52">
        <f>IFERROR(INDEX('Master Stock'!$J$2:$J$100,AGGREGATE(15,6,(ROW('Master Stock'!$C$2:$C$100)-ROW('Master Stock'!$C$2)+1)/(('Master Stock'!$H$2:$H$100="OCCUPIED")*('Master Stock'!$J$2:$J$100&lt;&gt;"")*('Master Stock'!$K$2:$K$100="")*('Master Stock'!$J$2:$J$100&lt;TODAY()-30)),95)),"")</f>
        <v/>
      </c>
      <c r="O103" s="51">
        <f>IF(N103="","",MAX(0,TODAY()-(IF(ISNUMBER(N103),N103,IFERROR(DATE(2000+VALUE(RIGHT(N103,2)),VALUE(MID(N103,4,2)),VALUE(LEFT(N103,2))),"")))))</f>
        <v/>
      </c>
    </row>
    <row r="104" ht="15.75" customHeight="1" s="42">
      <c r="A104" s="92" t="n"/>
      <c r="B104" s="92" t="n"/>
      <c r="C104" s="93" t="n"/>
      <c r="D104" s="93" t="n"/>
      <c r="E104" s="92" t="n"/>
      <c r="F104" s="92" t="n"/>
      <c r="G104" s="92" t="n"/>
      <c r="H104" s="92" t="n"/>
      <c r="I104" s="93" t="n"/>
      <c r="J104" s="92" t="n"/>
      <c r="K104" s="92" t="n"/>
      <c r="L104" s="49">
        <f>IFERROR(INDEX('Master Stock'!$C$2:$C$100,AGGREGATE(15,6,(ROW('Master Stock'!$C$2:$C$100)-ROW('Master Stock'!$C$2)+1)/(('Master Stock'!$H$2:$H$100="OCCUPIED")*('Master Stock'!$J$2:$J$100&lt;&gt;"")*('Master Stock'!$K$2:$K$100="")*('Master Stock'!$J$2:$J$100&lt;TODAY()-30)),96)),"")</f>
        <v/>
      </c>
      <c r="M104" s="49">
        <f>IFERROR(INDEX('Master Stock'!$D$2:$D$100,AGGREGATE(15,6,(ROW('Master Stock'!$C$2:$C$100)-ROW('Master Stock'!$C$2)+1)/(('Master Stock'!$H$2:$H$100="OCCUPIED")*('Master Stock'!$J$2:$J$100&lt;&gt;"")*('Master Stock'!$K$2:$K$100="")*('Master Stock'!$J$2:$J$100&lt;TODAY()-30)),96)),"")</f>
        <v/>
      </c>
      <c r="N104" s="52">
        <f>IFERROR(INDEX('Master Stock'!$J$2:$J$100,AGGREGATE(15,6,(ROW('Master Stock'!$C$2:$C$100)-ROW('Master Stock'!$C$2)+1)/(('Master Stock'!$H$2:$H$100="OCCUPIED")*('Master Stock'!$J$2:$J$100&lt;&gt;"")*('Master Stock'!$K$2:$K$100="")*('Master Stock'!$J$2:$J$100&lt;TODAY()-30)),96)),"")</f>
        <v/>
      </c>
      <c r="O104" s="51">
        <f>IF(N104="","",MAX(0,TODAY()-(IF(ISNUMBER(N104),N104,IFERROR(DATE(2000+VALUE(RIGHT(N104,2)),VALUE(MID(N104,4,2)),VALUE(LEFT(N104,2))),"")))))</f>
        <v/>
      </c>
    </row>
    <row r="105" ht="15.75" customHeight="1" s="42">
      <c r="A105" s="92" t="n"/>
      <c r="B105" s="92" t="n"/>
      <c r="C105" s="93" t="n"/>
      <c r="D105" s="93" t="n"/>
      <c r="E105" s="92" t="n"/>
      <c r="F105" s="92" t="n"/>
      <c r="G105" s="92" t="n"/>
      <c r="H105" s="92" t="n"/>
      <c r="I105" s="93" t="n"/>
      <c r="J105" s="92" t="n"/>
      <c r="K105" s="92" t="n"/>
      <c r="L105" s="49">
        <f>IFERROR(INDEX('Master Stock'!$C$2:$C$100,AGGREGATE(15,6,(ROW('Master Stock'!$C$2:$C$100)-ROW('Master Stock'!$C$2)+1)/(('Master Stock'!$H$2:$H$100="OCCUPIED")*('Master Stock'!$J$2:$J$100&lt;&gt;"")*('Master Stock'!$K$2:$K$100="")*('Master Stock'!$J$2:$J$100&lt;TODAY()-30)),97)),"")</f>
        <v/>
      </c>
      <c r="M105" s="49">
        <f>IFERROR(INDEX('Master Stock'!$D$2:$D$100,AGGREGATE(15,6,(ROW('Master Stock'!$C$2:$C$100)-ROW('Master Stock'!$C$2)+1)/(('Master Stock'!$H$2:$H$100="OCCUPIED")*('Master Stock'!$J$2:$J$100&lt;&gt;"")*('Master Stock'!$K$2:$K$100="")*('Master Stock'!$J$2:$J$100&lt;TODAY()-30)),97)),"")</f>
        <v/>
      </c>
      <c r="N105" s="52">
        <f>IFERROR(INDEX('Master Stock'!$J$2:$J$100,AGGREGATE(15,6,(ROW('Master Stock'!$C$2:$C$100)-ROW('Master Stock'!$C$2)+1)/(('Master Stock'!$H$2:$H$100="OCCUPIED")*('Master Stock'!$J$2:$J$100&lt;&gt;"")*('Master Stock'!$K$2:$K$100="")*('Master Stock'!$J$2:$J$100&lt;TODAY()-30)),97)),"")</f>
        <v/>
      </c>
      <c r="O105" s="51">
        <f>IF(N105="","",MAX(0,TODAY()-(IF(ISNUMBER(N105),N105,IFERROR(DATE(2000+VALUE(RIGHT(N105,2)),VALUE(MID(N105,4,2)),VALUE(LEFT(N105,2))),"")))))</f>
        <v/>
      </c>
    </row>
    <row r="106" ht="15.75" customHeight="1" s="42">
      <c r="A106" s="92" t="n"/>
      <c r="B106" s="92" t="n"/>
      <c r="C106" s="93" t="n"/>
      <c r="D106" s="93" t="n"/>
      <c r="E106" s="92" t="n"/>
      <c r="F106" s="92" t="n"/>
      <c r="G106" s="92" t="n"/>
      <c r="H106" s="92" t="n"/>
      <c r="I106" s="93" t="n"/>
      <c r="J106" s="92" t="n"/>
      <c r="K106" s="92" t="n"/>
      <c r="L106" s="49">
        <f>IFERROR(INDEX('Master Stock'!$C$2:$C$100,AGGREGATE(15,6,(ROW('Master Stock'!$C$2:$C$100)-ROW('Master Stock'!$C$2)+1)/(('Master Stock'!$H$2:$H$100="OCCUPIED")*('Master Stock'!$J$2:$J$100&lt;&gt;"")*('Master Stock'!$K$2:$K$100="")*('Master Stock'!$J$2:$J$100&lt;TODAY()-30)),98)),"")</f>
        <v/>
      </c>
      <c r="M106" s="49">
        <f>IFERROR(INDEX('Master Stock'!$D$2:$D$100,AGGREGATE(15,6,(ROW('Master Stock'!$C$2:$C$100)-ROW('Master Stock'!$C$2)+1)/(('Master Stock'!$H$2:$H$100="OCCUPIED")*('Master Stock'!$J$2:$J$100&lt;&gt;"")*('Master Stock'!$K$2:$K$100="")*('Master Stock'!$J$2:$J$100&lt;TODAY()-30)),98)),"")</f>
        <v/>
      </c>
      <c r="N106" s="52">
        <f>IFERROR(INDEX('Master Stock'!$J$2:$J$100,AGGREGATE(15,6,(ROW('Master Stock'!$C$2:$C$100)-ROW('Master Stock'!$C$2)+1)/(('Master Stock'!$H$2:$H$100="OCCUPIED")*('Master Stock'!$J$2:$J$100&lt;&gt;"")*('Master Stock'!$K$2:$K$100="")*('Master Stock'!$J$2:$J$100&lt;TODAY()-30)),98)),"")</f>
        <v/>
      </c>
      <c r="O106" s="51">
        <f>IF(N106="","",MAX(0,TODAY()-(IF(ISNUMBER(N106),N106,IFERROR(DATE(2000+VALUE(RIGHT(N106,2)),VALUE(MID(N106,4,2)),VALUE(LEFT(N106,2))),"")))))</f>
        <v/>
      </c>
    </row>
    <row r="107" ht="15.75" customHeight="1" s="42">
      <c r="A107" s="92" t="n"/>
      <c r="B107" s="92" t="n"/>
      <c r="C107" s="93" t="n"/>
      <c r="D107" s="93" t="n"/>
      <c r="E107" s="92" t="n"/>
      <c r="F107" s="92" t="n"/>
      <c r="G107" s="92" t="n"/>
      <c r="H107" s="92" t="n"/>
      <c r="I107" s="93" t="n"/>
      <c r="J107" s="92" t="n"/>
      <c r="K107" s="92" t="n"/>
      <c r="L107" s="49">
        <f>IFERROR(INDEX('Master Stock'!$C$2:$C$100,AGGREGATE(15,6,(ROW('Master Stock'!$C$2:$C$100)-ROW('Master Stock'!$C$2)+1)/(('Master Stock'!$H$2:$H$100="OCCUPIED")*('Master Stock'!$J$2:$J$100&lt;&gt;"")*('Master Stock'!$K$2:$K$100="")*('Master Stock'!$J$2:$J$100&lt;TODAY()-30)),99)),"")</f>
        <v/>
      </c>
      <c r="M107" s="49">
        <f>IFERROR(INDEX('Master Stock'!$D$2:$D$100,AGGREGATE(15,6,(ROW('Master Stock'!$C$2:$C$100)-ROW('Master Stock'!$C$2)+1)/(('Master Stock'!$H$2:$H$100="OCCUPIED")*('Master Stock'!$J$2:$J$100&lt;&gt;"")*('Master Stock'!$K$2:$K$100="")*('Master Stock'!$J$2:$J$100&lt;TODAY()-30)),99)),"")</f>
        <v/>
      </c>
      <c r="N107" s="52">
        <f>IFERROR(INDEX('Master Stock'!$J$2:$J$100,AGGREGATE(15,6,(ROW('Master Stock'!$C$2:$C$100)-ROW('Master Stock'!$C$2)+1)/(('Master Stock'!$H$2:$H$100="OCCUPIED")*('Master Stock'!$J$2:$J$100&lt;&gt;"")*('Master Stock'!$K$2:$K$100="")*('Master Stock'!$J$2:$J$100&lt;TODAY()-30)),99)),"")</f>
        <v/>
      </c>
      <c r="O107" s="51">
        <f>IF(N107="","",MAX(0,TODAY()-(IF(ISNUMBER(N107),N107,IFERROR(DATE(2000+VALUE(RIGHT(N107,2)),VALUE(MID(N107,4,2)),VALUE(LEFT(N107,2))),"")))))</f>
        <v/>
      </c>
    </row>
    <row r="108" ht="15.75" customHeight="1" s="42">
      <c r="A108" s="92" t="n"/>
      <c r="B108" s="92" t="n"/>
      <c r="C108" s="93" t="n"/>
      <c r="D108" s="93" t="n"/>
      <c r="E108" s="92" t="n"/>
      <c r="F108" s="92" t="n"/>
      <c r="G108" s="92" t="n"/>
      <c r="H108" s="92" t="n"/>
      <c r="I108" s="93" t="n"/>
      <c r="J108" s="92" t="n"/>
      <c r="K108" s="92" t="n"/>
      <c r="L108" s="49">
        <f>IFERROR(INDEX('Master Stock'!$C$2:$C$100,AGGREGATE(15,6,(ROW('Master Stock'!$C$2:$C$100)-ROW('Master Stock'!$C$2)+1)/(('Master Stock'!$H$2:$H$100="OCCUPIED")*('Master Stock'!$J$2:$J$100&lt;&gt;"")*('Master Stock'!$K$2:$K$100="")*('Master Stock'!$J$2:$J$100&lt;TODAY()-30)),100)),"")</f>
        <v/>
      </c>
      <c r="M108" s="49">
        <f>IFERROR(INDEX('Master Stock'!$D$2:$D$100,AGGREGATE(15,6,(ROW('Master Stock'!$C$2:$C$100)-ROW('Master Stock'!$C$2)+1)/(('Master Stock'!$H$2:$H$100="OCCUPIED")*('Master Stock'!$J$2:$J$100&lt;&gt;"")*('Master Stock'!$K$2:$K$100="")*('Master Stock'!$J$2:$J$100&lt;TODAY()-30)),100)),"")</f>
        <v/>
      </c>
      <c r="N108" s="52">
        <f>IFERROR(INDEX('Master Stock'!$J$2:$J$100,AGGREGATE(15,6,(ROW('Master Stock'!$C$2:$C$100)-ROW('Master Stock'!$C$2)+1)/(('Master Stock'!$H$2:$H$100="OCCUPIED")*('Master Stock'!$J$2:$J$100&lt;&gt;"")*('Master Stock'!$K$2:$K$100="")*('Master Stock'!$J$2:$J$100&lt;TODAY()-30)),100)),"")</f>
        <v/>
      </c>
      <c r="O108" s="51">
        <f>IF(N108="","",MAX(0,TODAY()-(IF(ISNUMBER(N108),N108,IFERROR(DATE(2000+VALUE(RIGHT(N108,2)),VALUE(MID(N108,4,2)),VALUE(LEFT(N108,2))),"")))))</f>
        <v/>
      </c>
    </row>
    <row r="109" ht="15.75" customHeight="1" s="42"/>
    <row r="110" ht="15.75" customHeight="1" s="42"/>
    <row r="111" ht="15.75" customHeight="1" s="42"/>
    <row r="112" ht="15.75" customHeight="1" s="42"/>
    <row r="113" ht="15.75" customHeight="1" s="42"/>
    <row r="114" ht="15.75" customHeight="1" s="42"/>
    <row r="115" ht="15.75" customHeight="1" s="42"/>
    <row r="116" ht="15.75" customHeight="1" s="42"/>
    <row r="117" ht="15.75" customHeight="1" s="42"/>
    <row r="118" ht="15.75" customHeight="1" s="42"/>
    <row r="119" ht="15.75" customHeight="1" s="42"/>
    <row r="120" ht="15.75" customHeight="1" s="42"/>
    <row r="121" ht="15.75" customHeight="1" s="42"/>
    <row r="122" ht="15.75" customHeight="1" s="42"/>
    <row r="123" ht="15.75" customHeight="1" s="42"/>
    <row r="124" ht="15.75" customHeight="1" s="42"/>
    <row r="125" ht="15.75" customHeight="1" s="42"/>
    <row r="126" ht="15.75" customHeight="1" s="42"/>
    <row r="127" ht="15.75" customHeight="1" s="42"/>
    <row r="128" ht="15.75" customHeight="1" s="42"/>
    <row r="129" ht="15.75" customHeight="1" s="42"/>
    <row r="130" ht="15.75" customHeight="1" s="42"/>
    <row r="131" ht="15.75" customHeight="1" s="42"/>
    <row r="132" ht="15.75" customHeight="1" s="42"/>
    <row r="133" ht="15.75" customHeight="1" s="42"/>
    <row r="134" ht="15.75" customHeight="1" s="42"/>
    <row r="135" ht="15.75" customHeight="1" s="42"/>
    <row r="136" ht="15.75" customHeight="1" s="42"/>
    <row r="137" ht="15.75" customHeight="1" s="42"/>
    <row r="138" ht="15.75" customHeight="1" s="42"/>
    <row r="139" ht="15.75" customHeight="1" s="42"/>
    <row r="140" ht="15.75" customHeight="1" s="42"/>
    <row r="141" ht="15.75" customHeight="1" s="42"/>
    <row r="142" ht="15.75" customHeight="1" s="42"/>
    <row r="143" ht="15.75" customHeight="1" s="42"/>
    <row r="144" ht="15.75" customHeight="1" s="42"/>
    <row r="145" ht="15.75" customHeight="1" s="42"/>
    <row r="146" ht="15.75" customHeight="1" s="42"/>
    <row r="147" ht="15.75" customHeight="1" s="42"/>
    <row r="148" ht="15.75" customHeight="1" s="42"/>
    <row r="149" ht="15.75" customHeight="1" s="42"/>
    <row r="150" ht="15.75" customHeight="1" s="42"/>
    <row r="151" ht="15.75" customHeight="1" s="42"/>
    <row r="152" ht="15.75" customHeight="1" s="42"/>
    <row r="153" ht="15.75" customHeight="1" s="42"/>
    <row r="154" ht="15.75" customHeight="1" s="42"/>
    <row r="155" ht="15.75" customHeight="1" s="42"/>
    <row r="156" ht="15.75" customHeight="1" s="42"/>
    <row r="157" ht="15.75" customHeight="1" s="42"/>
    <row r="158" ht="15.75" customHeight="1" s="42"/>
    <row r="159" ht="15.75" customHeight="1" s="42"/>
    <row r="160" ht="15.75" customHeight="1" s="42"/>
    <row r="161" ht="15.75" customHeight="1" s="42"/>
    <row r="162" ht="15.75" customHeight="1" s="42"/>
    <row r="163" ht="15.75" customHeight="1" s="42"/>
    <row r="164" ht="15.75" customHeight="1" s="42"/>
    <row r="165" ht="15.75" customHeight="1" s="42"/>
    <row r="166" ht="15.75" customHeight="1" s="42"/>
    <row r="167" ht="15.75" customHeight="1" s="42"/>
    <row r="168" ht="15.75" customHeight="1" s="42"/>
    <row r="169" ht="15.75" customHeight="1" s="42"/>
    <row r="170" ht="15.75" customHeight="1" s="42"/>
    <row r="171" ht="15.75" customHeight="1" s="42"/>
    <row r="172" ht="15.75" customHeight="1" s="42"/>
    <row r="173" ht="15.75" customHeight="1" s="42"/>
    <row r="174" ht="15.75" customHeight="1" s="42"/>
    <row r="175" ht="15.75" customHeight="1" s="42"/>
    <row r="176" ht="15.75" customHeight="1" s="42"/>
    <row r="177" ht="15.75" customHeight="1" s="42"/>
    <row r="178" ht="15.75" customHeight="1" s="42"/>
    <row r="179" ht="15.75" customHeight="1" s="42"/>
    <row r="180" ht="15.75" customHeight="1" s="42"/>
    <row r="181" ht="15.75" customHeight="1" s="42"/>
    <row r="182" ht="15.75" customHeight="1" s="42"/>
    <row r="183" ht="15.75" customHeight="1" s="42"/>
    <row r="184" ht="15.75" customHeight="1" s="42"/>
    <row r="185" ht="15.75" customHeight="1" s="42"/>
    <row r="186" ht="15.75" customHeight="1" s="42"/>
    <row r="187" ht="15.75" customHeight="1" s="42"/>
    <row r="188" ht="15.75" customHeight="1" s="42"/>
    <row r="189" ht="15.75" customHeight="1" s="42"/>
    <row r="190" ht="15.75" customHeight="1" s="42"/>
    <row r="191" ht="15.75" customHeight="1" s="42"/>
    <row r="192" ht="15.75" customHeight="1" s="42"/>
    <row r="193" ht="15.75" customHeight="1" s="42"/>
    <row r="194" ht="15.75" customHeight="1" s="42"/>
    <row r="195" ht="15.75" customHeight="1" s="42"/>
    <row r="196" ht="15.75" customHeight="1" s="42"/>
    <row r="197" ht="15.75" customHeight="1" s="42"/>
    <row r="198" ht="15.75" customHeight="1" s="42"/>
    <row r="199" ht="15.75" customHeight="1" s="42"/>
    <row r="200" ht="15.75" customHeight="1" s="42"/>
    <row r="201" ht="15.75" customHeight="1" s="42"/>
    <row r="202" ht="15.75" customHeight="1" s="42"/>
    <row r="203" ht="15.75" customHeight="1" s="42"/>
    <row r="204" ht="15.75" customHeight="1" s="42"/>
    <row r="205" ht="15.75" customHeight="1" s="42"/>
    <row r="206" ht="15.75" customHeight="1" s="42"/>
    <row r="207" ht="15.75" customHeight="1" s="42"/>
    <row r="208" ht="15.75" customHeight="1" s="42"/>
    <row r="209" ht="15.75" customHeight="1" s="42"/>
    <row r="210" ht="15.75" customHeight="1" s="42"/>
    <row r="211" ht="15.75" customHeight="1" s="42"/>
    <row r="212" ht="15.75" customHeight="1" s="42"/>
    <row r="213" ht="15.75" customHeight="1" s="42"/>
    <row r="214" ht="15.75" customHeight="1" s="42"/>
    <row r="215" ht="15.75" customHeight="1" s="42"/>
    <row r="216" ht="15.75" customHeight="1" s="42"/>
    <row r="217" ht="15.75" customHeight="1" s="42"/>
    <row r="218" ht="15.75" customHeight="1" s="42"/>
    <row r="219" ht="15.75" customHeight="1" s="42"/>
    <row r="220" ht="15.75" customHeight="1" s="42"/>
    <row r="221" ht="15.75" customHeight="1" s="42"/>
    <row r="222" ht="15.75" customHeight="1" s="42"/>
    <row r="223" ht="15.75" customHeight="1" s="42"/>
    <row r="224" ht="15.75" customHeight="1" s="42"/>
    <row r="225" ht="15.75" customHeight="1" s="42"/>
    <row r="226" ht="15.75" customHeight="1" s="42"/>
    <row r="227" ht="15.75" customHeight="1" s="42"/>
    <row r="228" ht="15.75" customHeight="1" s="42"/>
    <row r="229" ht="15.75" customHeight="1" s="42"/>
    <row r="230" ht="15.75" customHeight="1" s="42"/>
    <row r="231" ht="15.75" customHeight="1" s="42"/>
    <row r="232" ht="15.75" customHeight="1" s="42"/>
    <row r="233" ht="15.75" customHeight="1" s="42"/>
    <row r="234" ht="15.75" customHeight="1" s="42"/>
    <row r="235" ht="15.75" customHeight="1" s="42"/>
    <row r="236" ht="15.75" customHeight="1" s="42"/>
    <row r="237" ht="15.75" customHeight="1" s="42"/>
    <row r="238" ht="15.75" customHeight="1" s="42"/>
    <row r="239" ht="15.75" customHeight="1" s="42"/>
    <row r="240" ht="15.75" customHeight="1" s="42"/>
    <row r="241" ht="15.75" customHeight="1" s="42"/>
    <row r="242" ht="15.75" customHeight="1" s="42"/>
    <row r="243" ht="15.75" customHeight="1" s="42"/>
    <row r="244" ht="15.75" customHeight="1" s="42"/>
    <row r="245" ht="15.75" customHeight="1" s="42"/>
    <row r="246" ht="15.75" customHeight="1" s="42"/>
    <row r="247" ht="15.75" customHeight="1" s="42"/>
    <row r="248" ht="15.75" customHeight="1" s="42"/>
    <row r="249" ht="15.75" customHeight="1" s="42"/>
    <row r="250" ht="15.75" customHeight="1" s="42"/>
    <row r="251" ht="15.75" customHeight="1" s="42"/>
    <row r="252" ht="15.75" customHeight="1" s="42"/>
    <row r="253" ht="15.75" customHeight="1" s="42"/>
    <row r="254" ht="15.75" customHeight="1" s="42"/>
    <row r="255" ht="15.75" customHeight="1" s="42"/>
    <row r="256" ht="15.75" customHeight="1" s="42"/>
    <row r="257" ht="15.75" customHeight="1" s="42"/>
    <row r="258" ht="15.75" customHeight="1" s="42"/>
    <row r="259" ht="15.75" customHeight="1" s="42"/>
    <row r="260" ht="15.75" customHeight="1" s="42"/>
    <row r="261" ht="15.75" customHeight="1" s="42"/>
    <row r="262" ht="15.75" customHeight="1" s="42"/>
    <row r="263" ht="15.75" customHeight="1" s="42"/>
    <row r="264" ht="15.75" customHeight="1" s="42"/>
    <row r="265" ht="15.75" customHeight="1" s="42"/>
    <row r="266" ht="15.75" customHeight="1" s="42"/>
    <row r="267" ht="15.75" customHeight="1" s="42"/>
    <row r="268" ht="15.75" customHeight="1" s="42"/>
    <row r="269" ht="15.75" customHeight="1" s="42"/>
    <row r="270" ht="15.75" customHeight="1" s="42"/>
    <row r="271" ht="15.75" customHeight="1" s="42"/>
    <row r="272" ht="15.75" customHeight="1" s="42"/>
    <row r="273" ht="15.75" customHeight="1" s="42"/>
    <row r="274" ht="15.75" customHeight="1" s="42"/>
    <row r="275" ht="15.75" customHeight="1" s="42"/>
    <row r="276" ht="15.75" customHeight="1" s="42"/>
    <row r="277" ht="15.75" customHeight="1" s="42"/>
    <row r="278" ht="15.75" customHeight="1" s="42"/>
    <row r="279" ht="15.75" customHeight="1" s="42"/>
    <row r="280" ht="15.75" customHeight="1" s="42"/>
    <row r="281" ht="15.75" customHeight="1" s="42"/>
    <row r="282" ht="15.75" customHeight="1" s="42"/>
    <row r="283" ht="15.75" customHeight="1" s="42"/>
    <row r="284" ht="15.75" customHeight="1" s="42"/>
    <row r="285" ht="15.75" customHeight="1" s="42"/>
    <row r="286" ht="15.75" customHeight="1" s="42"/>
    <row r="287" ht="15.75" customHeight="1" s="42"/>
    <row r="288" ht="15.75" customHeight="1" s="42"/>
    <row r="289" ht="15.75" customHeight="1" s="42"/>
    <row r="290" ht="15.75" customHeight="1" s="42"/>
    <row r="291" ht="15.75" customHeight="1" s="42"/>
    <row r="292" ht="15.75" customHeight="1" s="42"/>
    <row r="293" ht="15.75" customHeight="1" s="42"/>
    <row r="294" ht="15.75" customHeight="1" s="42"/>
    <row r="295" ht="15.75" customHeight="1" s="42"/>
    <row r="296" ht="15.75" customHeight="1" s="42"/>
    <row r="297" ht="15.75" customHeight="1" s="42"/>
    <row r="298" ht="15.75" customHeight="1" s="42"/>
    <row r="299" ht="15.75" customHeight="1" s="42"/>
    <row r="300" ht="15.75" customHeight="1" s="42"/>
    <row r="301" ht="15.75" customHeight="1" s="42"/>
    <row r="302" ht="15.75" customHeight="1" s="42"/>
    <row r="303" ht="15.75" customHeight="1" s="42"/>
    <row r="304" ht="15.75" customHeight="1" s="42"/>
    <row r="305" ht="15.75" customHeight="1" s="42"/>
    <row r="306" ht="15.75" customHeight="1" s="42"/>
    <row r="307" ht="15.75" customHeight="1" s="42"/>
    <row r="308" ht="15.75" customHeight="1" s="42"/>
    <row r="309" ht="15.75" customHeight="1" s="42"/>
    <row r="310" ht="15.75" customHeight="1" s="42"/>
    <row r="311" ht="15.75" customHeight="1" s="42"/>
    <row r="312" ht="15.75" customHeight="1" s="42"/>
    <row r="313" ht="15.75" customHeight="1" s="42"/>
    <row r="314" ht="15.75" customHeight="1" s="42"/>
    <row r="315" ht="15.75" customHeight="1" s="42"/>
    <row r="316" ht="15.75" customHeight="1" s="42"/>
    <row r="317" ht="15.75" customHeight="1" s="42"/>
    <row r="318" ht="15.75" customHeight="1" s="42"/>
    <row r="319" ht="15.75" customHeight="1" s="42"/>
    <row r="320" ht="15.75" customHeight="1" s="42"/>
    <row r="321" ht="15.75" customHeight="1" s="42"/>
    <row r="322" ht="15.75" customHeight="1" s="42"/>
    <row r="323" ht="15.75" customHeight="1" s="42"/>
    <row r="324" ht="15.75" customHeight="1" s="42"/>
    <row r="325" ht="15.75" customHeight="1" s="42"/>
    <row r="326" ht="15.75" customHeight="1" s="42"/>
    <row r="327" ht="15.75" customHeight="1" s="42"/>
    <row r="328" ht="15.75" customHeight="1" s="42"/>
    <row r="329" ht="15.75" customHeight="1" s="42"/>
    <row r="330" ht="15.75" customHeight="1" s="42"/>
    <row r="331" ht="15.75" customHeight="1" s="42"/>
    <row r="332" ht="15.75" customHeight="1" s="42"/>
    <row r="333" ht="15.75" customHeight="1" s="42"/>
    <row r="334" ht="15.75" customHeight="1" s="42"/>
    <row r="335" ht="15.75" customHeight="1" s="42"/>
    <row r="336" ht="15.75" customHeight="1" s="42"/>
    <row r="337" ht="15.75" customHeight="1" s="42"/>
    <row r="338" ht="15.75" customHeight="1" s="42"/>
    <row r="339" ht="15.75" customHeight="1" s="42"/>
    <row r="340" ht="15.75" customHeight="1" s="42"/>
    <row r="341" ht="15.75" customHeight="1" s="42"/>
    <row r="342" ht="15.75" customHeight="1" s="42"/>
    <row r="343" ht="15.75" customHeight="1" s="42"/>
    <row r="344" ht="15.75" customHeight="1" s="42"/>
    <row r="345" ht="15.75" customHeight="1" s="42"/>
    <row r="346" ht="15.75" customHeight="1" s="42"/>
    <row r="347" ht="15.75" customHeight="1" s="42"/>
    <row r="348" ht="15.75" customHeight="1" s="42"/>
    <row r="349" ht="15.75" customHeight="1" s="42"/>
    <row r="350" ht="15.75" customHeight="1" s="42"/>
    <row r="351" ht="15.75" customHeight="1" s="42"/>
    <row r="352" ht="15.75" customHeight="1" s="42"/>
    <row r="353" ht="15.75" customHeight="1" s="42"/>
    <row r="354" ht="15.75" customHeight="1" s="42"/>
    <row r="355" ht="15.75" customHeight="1" s="42"/>
    <row r="356" ht="15.75" customHeight="1" s="42"/>
    <row r="357" ht="15.75" customHeight="1" s="42"/>
    <row r="358" ht="15.75" customHeight="1" s="42"/>
    <row r="359" ht="15.75" customHeight="1" s="42"/>
    <row r="360" ht="15.75" customHeight="1" s="42"/>
    <row r="361" ht="15.75" customHeight="1" s="42"/>
    <row r="362" ht="15.75" customHeight="1" s="42"/>
    <row r="363" ht="15.75" customHeight="1" s="42"/>
    <row r="364" ht="15.75" customHeight="1" s="42"/>
    <row r="365" ht="15.75" customHeight="1" s="42"/>
    <row r="366" ht="15.75" customHeight="1" s="42"/>
    <row r="367" ht="15.75" customHeight="1" s="42"/>
    <row r="368" ht="15.75" customHeight="1" s="42"/>
    <row r="369" ht="15.75" customHeight="1" s="42"/>
    <row r="370" ht="15.75" customHeight="1" s="42"/>
    <row r="371" ht="15.75" customHeight="1" s="42"/>
    <row r="372" ht="15.75" customHeight="1" s="42"/>
    <row r="373" ht="15.75" customHeight="1" s="42"/>
    <row r="374" ht="15.75" customHeight="1" s="42"/>
    <row r="375" ht="15.75" customHeight="1" s="42"/>
    <row r="376" ht="15.75" customHeight="1" s="42"/>
    <row r="377" ht="15.75" customHeight="1" s="42"/>
    <row r="378" ht="15.75" customHeight="1" s="42"/>
    <row r="379" ht="15.75" customHeight="1" s="42"/>
    <row r="380" ht="15.75" customHeight="1" s="42"/>
    <row r="381" ht="15.75" customHeight="1" s="42"/>
    <row r="382" ht="15.75" customHeight="1" s="42"/>
    <row r="383" ht="15.75" customHeight="1" s="42"/>
    <row r="384" ht="15.75" customHeight="1" s="42"/>
    <row r="385" ht="15.75" customHeight="1" s="42"/>
    <row r="386" ht="15.75" customHeight="1" s="42"/>
    <row r="387" ht="15.75" customHeight="1" s="42"/>
    <row r="388" ht="15.75" customHeight="1" s="42"/>
    <row r="389" ht="15.75" customHeight="1" s="42"/>
    <row r="390" ht="15.75" customHeight="1" s="42"/>
    <row r="391" ht="15.75" customHeight="1" s="42"/>
    <row r="392" ht="15.75" customHeight="1" s="42"/>
    <row r="393" ht="15.75" customHeight="1" s="42"/>
    <row r="394" ht="15.75" customHeight="1" s="42"/>
    <row r="395" ht="15.75" customHeight="1" s="42"/>
    <row r="396" ht="15.75" customHeight="1" s="42"/>
    <row r="397" ht="15.75" customHeight="1" s="42"/>
    <row r="398" ht="15.75" customHeight="1" s="42"/>
    <row r="399" ht="15.75" customHeight="1" s="42"/>
    <row r="400" ht="15.75" customHeight="1" s="42"/>
    <row r="401" ht="15.75" customHeight="1" s="42"/>
    <row r="402" ht="15.75" customHeight="1" s="42"/>
    <row r="403" ht="15.75" customHeight="1" s="42"/>
    <row r="404" ht="15.75" customHeight="1" s="42"/>
    <row r="405" ht="15.75" customHeight="1" s="42"/>
    <row r="406" ht="15.75" customHeight="1" s="42"/>
    <row r="407" ht="15.75" customHeight="1" s="42"/>
    <row r="408" ht="15.75" customHeight="1" s="42"/>
    <row r="409" ht="15.75" customHeight="1" s="42"/>
    <row r="410" ht="15.75" customHeight="1" s="42"/>
    <row r="411" ht="15.75" customHeight="1" s="42"/>
    <row r="412" ht="15.75" customHeight="1" s="42"/>
    <row r="413" ht="15.75" customHeight="1" s="42"/>
    <row r="414" ht="15.75" customHeight="1" s="42"/>
    <row r="415" ht="15.75" customHeight="1" s="42"/>
    <row r="416" ht="15.75" customHeight="1" s="42"/>
    <row r="417" ht="15.75" customHeight="1" s="42"/>
    <row r="418" ht="15.75" customHeight="1" s="42"/>
    <row r="419" ht="15.75" customHeight="1" s="42"/>
    <row r="420" ht="15.75" customHeight="1" s="42"/>
    <row r="421" ht="15.75" customHeight="1" s="42"/>
    <row r="422" ht="15.75" customHeight="1" s="42"/>
    <row r="423" ht="15.75" customHeight="1" s="42"/>
    <row r="424" ht="15.75" customHeight="1" s="42"/>
    <row r="425" ht="15.75" customHeight="1" s="42"/>
    <row r="426" ht="15.75" customHeight="1" s="42"/>
    <row r="427" ht="15.75" customHeight="1" s="42"/>
    <row r="428" ht="15.75" customHeight="1" s="42"/>
    <row r="429" ht="15.75" customHeight="1" s="42"/>
    <row r="430" ht="15.75" customHeight="1" s="42"/>
    <row r="431" ht="15.75" customHeight="1" s="42"/>
    <row r="432" ht="15.75" customHeight="1" s="42"/>
    <row r="433" ht="15.75" customHeight="1" s="42"/>
    <row r="434" ht="15.75" customHeight="1" s="42"/>
    <row r="435" ht="15.75" customHeight="1" s="42"/>
    <row r="436" ht="15.75" customHeight="1" s="42"/>
    <row r="437" ht="15.75" customHeight="1" s="42"/>
    <row r="438" ht="15.75" customHeight="1" s="42"/>
    <row r="439" ht="15.75" customHeight="1" s="42"/>
    <row r="440" ht="15.75" customHeight="1" s="42"/>
    <row r="441" ht="15.75" customHeight="1" s="42"/>
    <row r="442" ht="15.75" customHeight="1" s="42"/>
    <row r="443" ht="15.75" customHeight="1" s="42"/>
    <row r="444" ht="15.75" customHeight="1" s="42"/>
    <row r="445" ht="15.75" customHeight="1" s="42"/>
    <row r="446" ht="15.75" customHeight="1" s="42"/>
    <row r="447" ht="15.75" customHeight="1" s="42"/>
    <row r="448" ht="15.75" customHeight="1" s="42"/>
    <row r="449" ht="15.75" customHeight="1" s="42"/>
    <row r="450" ht="15.75" customHeight="1" s="42"/>
    <row r="451" ht="15.75" customHeight="1" s="42"/>
    <row r="452" ht="15.75" customHeight="1" s="42"/>
    <row r="453" ht="15.75" customHeight="1" s="42"/>
    <row r="454" ht="15.75" customHeight="1" s="42"/>
    <row r="455" ht="15.75" customHeight="1" s="42"/>
    <row r="456" ht="15.75" customHeight="1" s="42"/>
    <row r="457" ht="15.75" customHeight="1" s="42"/>
    <row r="458" ht="15.75" customHeight="1" s="42"/>
    <row r="459" ht="15.75" customHeight="1" s="42"/>
    <row r="460" ht="15.75" customHeight="1" s="42"/>
    <row r="461" ht="15.75" customHeight="1" s="42"/>
    <row r="462" ht="15.75" customHeight="1" s="42"/>
    <row r="463" ht="15.75" customHeight="1" s="42"/>
    <row r="464" ht="15.75" customHeight="1" s="42"/>
    <row r="465" ht="15.75" customHeight="1" s="42"/>
    <row r="466" ht="15.75" customHeight="1" s="42"/>
    <row r="467" ht="15.75" customHeight="1" s="42"/>
    <row r="468" ht="15.75" customHeight="1" s="42"/>
    <row r="469" ht="15.75" customHeight="1" s="42"/>
    <row r="470" ht="15.75" customHeight="1" s="42"/>
    <row r="471" ht="15.75" customHeight="1" s="42"/>
    <row r="472" ht="15.75" customHeight="1" s="42"/>
    <row r="473" ht="15.75" customHeight="1" s="42"/>
    <row r="474" ht="15.75" customHeight="1" s="42"/>
    <row r="475" ht="15.75" customHeight="1" s="42"/>
    <row r="476" ht="15.75" customHeight="1" s="42"/>
    <row r="477" ht="15.75" customHeight="1" s="42"/>
    <row r="478" ht="15.75" customHeight="1" s="42"/>
    <row r="479" ht="15.75" customHeight="1" s="42"/>
    <row r="480" ht="15.75" customHeight="1" s="42"/>
    <row r="481" ht="15.75" customHeight="1" s="42"/>
    <row r="482" ht="15.75" customHeight="1" s="42"/>
    <row r="483" ht="15.75" customHeight="1" s="42"/>
    <row r="484" ht="15.75" customHeight="1" s="42"/>
    <row r="485" ht="15.75" customHeight="1" s="42"/>
    <row r="486" ht="15.75" customHeight="1" s="42"/>
    <row r="487" ht="15.75" customHeight="1" s="42"/>
    <row r="488" ht="15.75" customHeight="1" s="42"/>
    <row r="489" ht="15.75" customHeight="1" s="42"/>
    <row r="490" ht="15.75" customHeight="1" s="42"/>
    <row r="491" ht="15.75" customHeight="1" s="42"/>
    <row r="492" ht="15.75" customHeight="1" s="42"/>
    <row r="493" ht="15.75" customHeight="1" s="42"/>
    <row r="494" ht="15.75" customHeight="1" s="42"/>
    <row r="495" ht="15.75" customHeight="1" s="42"/>
    <row r="496" ht="15.75" customHeight="1" s="42"/>
    <row r="497" ht="15.75" customHeight="1" s="42"/>
    <row r="498" ht="15.75" customHeight="1" s="42"/>
    <row r="499" ht="15.75" customHeight="1" s="42"/>
    <row r="500" ht="15.75" customHeight="1" s="42"/>
    <row r="501" ht="15.75" customHeight="1" s="42"/>
    <row r="502" ht="15.75" customHeight="1" s="42"/>
    <row r="503" ht="15.75" customHeight="1" s="42"/>
    <row r="504" ht="15.75" customHeight="1" s="42"/>
    <row r="505" ht="15.75" customHeight="1" s="42"/>
    <row r="506" ht="15.75" customHeight="1" s="42"/>
    <row r="507" ht="15.75" customHeight="1" s="42"/>
    <row r="508" ht="15.75" customHeight="1" s="42"/>
    <row r="509" ht="15.75" customHeight="1" s="42"/>
    <row r="510" ht="15.75" customHeight="1" s="42"/>
    <row r="511" ht="15.75" customHeight="1" s="42"/>
    <row r="512" ht="15.75" customHeight="1" s="42"/>
    <row r="513" ht="15.75" customHeight="1" s="42"/>
    <row r="514" ht="15.75" customHeight="1" s="42"/>
    <row r="515" ht="15.75" customHeight="1" s="42"/>
    <row r="516" ht="15.75" customHeight="1" s="42"/>
    <row r="517" ht="15.75" customHeight="1" s="42"/>
    <row r="518" ht="15.75" customHeight="1" s="42"/>
    <row r="519" ht="15.75" customHeight="1" s="42"/>
    <row r="520" ht="15.75" customHeight="1" s="42"/>
    <row r="521" ht="15.75" customHeight="1" s="42"/>
    <row r="522" ht="15.75" customHeight="1" s="42"/>
    <row r="523" ht="15.75" customHeight="1" s="42"/>
    <row r="524" ht="15.75" customHeight="1" s="42"/>
    <row r="525" ht="15.75" customHeight="1" s="42"/>
    <row r="526" ht="15.75" customHeight="1" s="42"/>
    <row r="527" ht="15.75" customHeight="1" s="42"/>
    <row r="528" ht="15.75" customHeight="1" s="42"/>
    <row r="529" ht="15.75" customHeight="1" s="42"/>
    <row r="530" ht="15.75" customHeight="1" s="42"/>
    <row r="531" ht="15.75" customHeight="1" s="42"/>
    <row r="532" ht="15.75" customHeight="1" s="42"/>
    <row r="533" ht="15.75" customHeight="1" s="42"/>
    <row r="534" ht="15.75" customHeight="1" s="42"/>
    <row r="535" ht="15.75" customHeight="1" s="42"/>
    <row r="536" ht="15.75" customHeight="1" s="42"/>
    <row r="537" ht="15.75" customHeight="1" s="42"/>
    <row r="538" ht="15.75" customHeight="1" s="42"/>
    <row r="539" ht="15.75" customHeight="1" s="42"/>
    <row r="540" ht="15.75" customHeight="1" s="42"/>
    <row r="541" ht="15.75" customHeight="1" s="42"/>
    <row r="542" ht="15.75" customHeight="1" s="42"/>
    <row r="543" ht="15.75" customHeight="1" s="42"/>
    <row r="544" ht="15.75" customHeight="1" s="42"/>
    <row r="545" ht="15.75" customHeight="1" s="42"/>
    <row r="546" ht="15.75" customHeight="1" s="42"/>
    <row r="547" ht="15.75" customHeight="1" s="42"/>
    <row r="548" ht="15.75" customHeight="1" s="42"/>
    <row r="549" ht="15.75" customHeight="1" s="42"/>
    <row r="550" ht="15.75" customHeight="1" s="42"/>
    <row r="551" ht="15.75" customHeight="1" s="42"/>
    <row r="552" ht="15.75" customHeight="1" s="42"/>
    <row r="553" ht="15.75" customHeight="1" s="42"/>
    <row r="554" ht="15.75" customHeight="1" s="42"/>
    <row r="555" ht="15.75" customHeight="1" s="42"/>
    <row r="556" ht="15.75" customHeight="1" s="42"/>
    <row r="557" ht="15.75" customHeight="1" s="42"/>
    <row r="558" ht="15.75" customHeight="1" s="42"/>
    <row r="559" ht="15.75" customHeight="1" s="42"/>
    <row r="560" ht="15.75" customHeight="1" s="42"/>
    <row r="561" ht="15.75" customHeight="1" s="42"/>
    <row r="562" ht="15.75" customHeight="1" s="42"/>
    <row r="563" ht="15.75" customHeight="1" s="42"/>
    <row r="564" ht="15.75" customHeight="1" s="42"/>
    <row r="565" ht="15.75" customHeight="1" s="42"/>
    <row r="566" ht="15.75" customHeight="1" s="42"/>
    <row r="567" ht="15.75" customHeight="1" s="42"/>
    <row r="568" ht="15.75" customHeight="1" s="42"/>
    <row r="569" ht="15.75" customHeight="1" s="42"/>
    <row r="570" ht="15.75" customHeight="1" s="42"/>
    <row r="571" ht="15.75" customHeight="1" s="42"/>
    <row r="572" ht="15.75" customHeight="1" s="42"/>
    <row r="573" ht="15.75" customHeight="1" s="42"/>
    <row r="574" ht="15.75" customHeight="1" s="42"/>
    <row r="575" ht="15.75" customHeight="1" s="42"/>
    <row r="576" ht="15.75" customHeight="1" s="42"/>
    <row r="577" ht="15.75" customHeight="1" s="42"/>
    <row r="578" ht="15.75" customHeight="1" s="42"/>
    <row r="579" ht="15.75" customHeight="1" s="42"/>
    <row r="580" ht="15.75" customHeight="1" s="42"/>
    <row r="581" ht="15.75" customHeight="1" s="42"/>
    <row r="582" ht="15.75" customHeight="1" s="42"/>
    <row r="583" ht="15.75" customHeight="1" s="42"/>
    <row r="584" ht="15.75" customHeight="1" s="42"/>
    <row r="585" ht="15.75" customHeight="1" s="42"/>
    <row r="586" ht="15.75" customHeight="1" s="42"/>
    <row r="587" ht="15.75" customHeight="1" s="42"/>
    <row r="588" ht="15.75" customHeight="1" s="42"/>
    <row r="589" ht="15.75" customHeight="1" s="42"/>
    <row r="590" ht="15.75" customHeight="1" s="42"/>
    <row r="591" ht="15.75" customHeight="1" s="42"/>
    <row r="592" ht="15.75" customHeight="1" s="42"/>
    <row r="593" ht="15.75" customHeight="1" s="42"/>
    <row r="594" ht="15.75" customHeight="1" s="42"/>
    <row r="595" ht="15.75" customHeight="1" s="42"/>
    <row r="596" ht="15.75" customHeight="1" s="42"/>
    <row r="597" ht="15.75" customHeight="1" s="42"/>
    <row r="598" ht="15.75" customHeight="1" s="42"/>
    <row r="599" ht="15.75" customHeight="1" s="42"/>
    <row r="600" ht="15.75" customHeight="1" s="42"/>
    <row r="601" ht="15.75" customHeight="1" s="42"/>
    <row r="602" ht="15.75" customHeight="1" s="42"/>
    <row r="603" ht="15.75" customHeight="1" s="42"/>
    <row r="604" ht="15.75" customHeight="1" s="42"/>
    <row r="605" ht="15.75" customHeight="1" s="42"/>
    <row r="606" ht="15.75" customHeight="1" s="42"/>
    <row r="607" ht="15.75" customHeight="1" s="42"/>
    <row r="608" ht="15.75" customHeight="1" s="42"/>
    <row r="609" ht="15.75" customHeight="1" s="42"/>
    <row r="610" ht="15.75" customHeight="1" s="42"/>
    <row r="611" ht="15.75" customHeight="1" s="42"/>
    <row r="612" ht="15.75" customHeight="1" s="42"/>
    <row r="613" ht="15.75" customHeight="1" s="42"/>
    <row r="614" ht="15.75" customHeight="1" s="42"/>
    <row r="615" ht="15.75" customHeight="1" s="42"/>
    <row r="616" ht="15.75" customHeight="1" s="42"/>
    <row r="617" ht="15.75" customHeight="1" s="42"/>
    <row r="618" ht="15.75" customHeight="1" s="42"/>
    <row r="619" ht="15.75" customHeight="1" s="42"/>
    <row r="620" ht="15.75" customHeight="1" s="42"/>
    <row r="621" ht="15.75" customHeight="1" s="42"/>
    <row r="622" ht="15.75" customHeight="1" s="42"/>
    <row r="623" ht="15.75" customHeight="1" s="42"/>
    <row r="624" ht="15.75" customHeight="1" s="42"/>
    <row r="625" ht="15.75" customHeight="1" s="42"/>
    <row r="626" ht="15.75" customHeight="1" s="42"/>
    <row r="627" ht="15.75" customHeight="1" s="42"/>
    <row r="628" ht="15.75" customHeight="1" s="42"/>
    <row r="629" ht="15.75" customHeight="1" s="42"/>
    <row r="630" ht="15.75" customHeight="1" s="42"/>
    <row r="631" ht="15.75" customHeight="1" s="42"/>
    <row r="632" ht="15.75" customHeight="1" s="42"/>
    <row r="633" ht="15.75" customHeight="1" s="42"/>
    <row r="634" ht="15.75" customHeight="1" s="42"/>
    <row r="635" ht="15.75" customHeight="1" s="42"/>
    <row r="636" ht="15.75" customHeight="1" s="42"/>
    <row r="637" ht="15.75" customHeight="1" s="42"/>
    <row r="638" ht="15.75" customHeight="1" s="42"/>
    <row r="639" ht="15.75" customHeight="1" s="42"/>
    <row r="640" ht="15.75" customHeight="1" s="42"/>
    <row r="641" ht="15.75" customHeight="1" s="42"/>
    <row r="642" ht="15.75" customHeight="1" s="42"/>
    <row r="643" ht="15.75" customHeight="1" s="42"/>
    <row r="644" ht="15.75" customHeight="1" s="42"/>
    <row r="645" ht="15.75" customHeight="1" s="42"/>
    <row r="646" ht="15.75" customHeight="1" s="42"/>
    <row r="647" ht="15.75" customHeight="1" s="42"/>
    <row r="648" ht="15.75" customHeight="1" s="42"/>
    <row r="649" ht="15.75" customHeight="1" s="42"/>
    <row r="650" ht="15.75" customHeight="1" s="42"/>
    <row r="651" ht="15.75" customHeight="1" s="42"/>
    <row r="652" ht="15.75" customHeight="1" s="42"/>
    <row r="653" ht="15.75" customHeight="1" s="42"/>
    <row r="654" ht="15.75" customHeight="1" s="42"/>
    <row r="655" ht="15.75" customHeight="1" s="42"/>
    <row r="656" ht="15.75" customHeight="1" s="42"/>
    <row r="657" ht="15.75" customHeight="1" s="42"/>
    <row r="658" ht="15.75" customHeight="1" s="42"/>
    <row r="659" ht="15.75" customHeight="1" s="42"/>
    <row r="660" ht="15.75" customHeight="1" s="42"/>
    <row r="661" ht="15.75" customHeight="1" s="42"/>
    <row r="662" ht="15.75" customHeight="1" s="42"/>
    <row r="663" ht="15.75" customHeight="1" s="42"/>
    <row r="664" ht="15.75" customHeight="1" s="42"/>
    <row r="665" ht="15.75" customHeight="1" s="42"/>
    <row r="666" ht="15.75" customHeight="1" s="42"/>
    <row r="667" ht="15.75" customHeight="1" s="42"/>
    <row r="668" ht="15.75" customHeight="1" s="42"/>
    <row r="669" ht="15.75" customHeight="1" s="42"/>
    <row r="670" ht="15.75" customHeight="1" s="42"/>
    <row r="671" ht="15.75" customHeight="1" s="42"/>
    <row r="672" ht="15.75" customHeight="1" s="42"/>
    <row r="673" ht="15.75" customHeight="1" s="42"/>
    <row r="674" ht="15.75" customHeight="1" s="42"/>
    <row r="675" ht="15.75" customHeight="1" s="42"/>
    <row r="676" ht="15.75" customHeight="1" s="42"/>
    <row r="677" ht="15.75" customHeight="1" s="42"/>
    <row r="678" ht="15.75" customHeight="1" s="42"/>
    <row r="679" ht="15.75" customHeight="1" s="42"/>
    <row r="680" ht="15.75" customHeight="1" s="42"/>
    <row r="681" ht="15.75" customHeight="1" s="42"/>
    <row r="682" ht="15.75" customHeight="1" s="42"/>
    <row r="683" ht="15.75" customHeight="1" s="42"/>
    <row r="684" ht="15.75" customHeight="1" s="42"/>
    <row r="685" ht="15.75" customHeight="1" s="42"/>
    <row r="686" ht="15.75" customHeight="1" s="42"/>
    <row r="687" ht="15.75" customHeight="1" s="42"/>
    <row r="688" ht="15.75" customHeight="1" s="42"/>
    <row r="689" ht="15.75" customHeight="1" s="42"/>
    <row r="690" ht="15.75" customHeight="1" s="42"/>
    <row r="691" ht="15.75" customHeight="1" s="42"/>
    <row r="692" ht="15.75" customHeight="1" s="42"/>
    <row r="693" ht="15.75" customHeight="1" s="42"/>
    <row r="694" ht="15.75" customHeight="1" s="42"/>
    <row r="695" ht="15.75" customHeight="1" s="42"/>
    <row r="696" ht="15.75" customHeight="1" s="42"/>
    <row r="697" ht="15.75" customHeight="1" s="42"/>
    <row r="698" ht="15.75" customHeight="1" s="42"/>
    <row r="699" ht="15.75" customHeight="1" s="42"/>
    <row r="700" ht="15.75" customHeight="1" s="42"/>
    <row r="701" ht="15.75" customHeight="1" s="42"/>
    <row r="702" ht="15.75" customHeight="1" s="42"/>
    <row r="703" ht="15.75" customHeight="1" s="42"/>
    <row r="704" ht="15.75" customHeight="1" s="42"/>
    <row r="705" ht="15.75" customHeight="1" s="42"/>
    <row r="706" ht="15.75" customHeight="1" s="42"/>
    <row r="707" ht="15.75" customHeight="1" s="42"/>
    <row r="708" ht="15.75" customHeight="1" s="42"/>
    <row r="709" ht="15.75" customHeight="1" s="42"/>
    <row r="710" ht="15.75" customHeight="1" s="42"/>
    <row r="711" ht="15.75" customHeight="1" s="42"/>
    <row r="712" ht="15.75" customHeight="1" s="42"/>
    <row r="713" ht="15.75" customHeight="1" s="42"/>
    <row r="714" ht="15.75" customHeight="1" s="42"/>
    <row r="715" ht="15.75" customHeight="1" s="42"/>
    <row r="716" ht="15.75" customHeight="1" s="42"/>
    <row r="717" ht="15.75" customHeight="1" s="42"/>
    <row r="718" ht="15.75" customHeight="1" s="42"/>
    <row r="719" ht="15.75" customHeight="1" s="42"/>
    <row r="720" ht="15.75" customHeight="1" s="42"/>
    <row r="721" ht="15.75" customHeight="1" s="42"/>
    <row r="722" ht="15.75" customHeight="1" s="42"/>
    <row r="723" ht="15.75" customHeight="1" s="42"/>
    <row r="724" ht="15.75" customHeight="1" s="42"/>
    <row r="725" ht="15.75" customHeight="1" s="42"/>
    <row r="726" ht="15.75" customHeight="1" s="42"/>
    <row r="727" ht="15.75" customHeight="1" s="42"/>
    <row r="728" ht="15.75" customHeight="1" s="42"/>
    <row r="729" ht="15.75" customHeight="1" s="42"/>
    <row r="730" ht="15.75" customHeight="1" s="42"/>
    <row r="731" ht="15.75" customHeight="1" s="42"/>
    <row r="732" ht="15.75" customHeight="1" s="42"/>
    <row r="733" ht="15.75" customHeight="1" s="42"/>
    <row r="734" ht="15.75" customHeight="1" s="42"/>
    <row r="735" ht="15.75" customHeight="1" s="42"/>
    <row r="736" ht="15.75" customHeight="1" s="42"/>
    <row r="737" ht="15.75" customHeight="1" s="42"/>
    <row r="738" ht="15.75" customHeight="1" s="42"/>
    <row r="739" ht="15.75" customHeight="1" s="42"/>
    <row r="740" ht="15.75" customHeight="1" s="42"/>
    <row r="741" ht="15.75" customHeight="1" s="42"/>
    <row r="742" ht="15.75" customHeight="1" s="42"/>
    <row r="743" ht="15.75" customHeight="1" s="42"/>
    <row r="744" ht="15.75" customHeight="1" s="42"/>
    <row r="745" ht="15.75" customHeight="1" s="42"/>
    <row r="746" ht="15.75" customHeight="1" s="42"/>
    <row r="747" ht="15.75" customHeight="1" s="42"/>
    <row r="748" ht="15.75" customHeight="1" s="42"/>
    <row r="749" ht="15.75" customHeight="1" s="42"/>
    <row r="750" ht="15.75" customHeight="1" s="42"/>
    <row r="751" ht="15.75" customHeight="1" s="42"/>
    <row r="752" ht="15.75" customHeight="1" s="42"/>
    <row r="753" ht="15.75" customHeight="1" s="42"/>
    <row r="754" ht="15.75" customHeight="1" s="42"/>
    <row r="755" ht="15.75" customHeight="1" s="42"/>
    <row r="756" ht="15.75" customHeight="1" s="42"/>
    <row r="757" ht="15.75" customHeight="1" s="42"/>
    <row r="758" ht="15.75" customHeight="1" s="42"/>
    <row r="759" ht="15.75" customHeight="1" s="42"/>
    <row r="760" ht="15.75" customHeight="1" s="42"/>
    <row r="761" ht="15.75" customHeight="1" s="42"/>
    <row r="762" ht="15.75" customHeight="1" s="42"/>
    <row r="763" ht="15.75" customHeight="1" s="42"/>
    <row r="764" ht="15.75" customHeight="1" s="42"/>
    <row r="765" ht="15.75" customHeight="1" s="42"/>
    <row r="766" ht="15.75" customHeight="1" s="42"/>
    <row r="767" ht="15.75" customHeight="1" s="42"/>
    <row r="768" ht="15.75" customHeight="1" s="42"/>
    <row r="769" ht="15.75" customHeight="1" s="42"/>
    <row r="770" ht="15.75" customHeight="1" s="42"/>
    <row r="771" ht="15.75" customHeight="1" s="42"/>
    <row r="772" ht="15.75" customHeight="1" s="42"/>
    <row r="773" ht="15.75" customHeight="1" s="42"/>
    <row r="774" ht="15.75" customHeight="1" s="42"/>
    <row r="775" ht="15.75" customHeight="1" s="42"/>
    <row r="776" ht="15.75" customHeight="1" s="42"/>
    <row r="777" ht="15.75" customHeight="1" s="42"/>
    <row r="778" ht="15.75" customHeight="1" s="42"/>
    <row r="779" ht="15.75" customHeight="1" s="42"/>
    <row r="780" ht="15.75" customHeight="1" s="42"/>
    <row r="781" ht="15.75" customHeight="1" s="42"/>
    <row r="782" ht="15.75" customHeight="1" s="42"/>
    <row r="783" ht="15.75" customHeight="1" s="42"/>
    <row r="784" ht="15.75" customHeight="1" s="42"/>
    <row r="785" ht="15.75" customHeight="1" s="42"/>
    <row r="786" ht="15.75" customHeight="1" s="42"/>
    <row r="787" ht="15.75" customHeight="1" s="42"/>
    <row r="788" ht="15.75" customHeight="1" s="42"/>
    <row r="789" ht="15.75" customHeight="1" s="42"/>
    <row r="790" ht="15.75" customHeight="1" s="42"/>
    <row r="791" ht="15.75" customHeight="1" s="42"/>
    <row r="792" ht="15.75" customHeight="1" s="42"/>
    <row r="793" ht="15.75" customHeight="1" s="42"/>
    <row r="794" ht="15.75" customHeight="1" s="42"/>
    <row r="795" ht="15.75" customHeight="1" s="42"/>
    <row r="796" ht="15.75" customHeight="1" s="42"/>
    <row r="797" ht="15.75" customHeight="1" s="42"/>
    <row r="798" ht="15.75" customHeight="1" s="42"/>
    <row r="799" ht="15.75" customHeight="1" s="42"/>
    <row r="800" ht="15.75" customHeight="1" s="42"/>
    <row r="801" ht="15.75" customHeight="1" s="42"/>
    <row r="802" ht="15.75" customHeight="1" s="42"/>
    <row r="803" ht="15.75" customHeight="1" s="42"/>
    <row r="804" ht="15.75" customHeight="1" s="42"/>
    <row r="805" ht="15.75" customHeight="1" s="42"/>
    <row r="806" ht="15.75" customHeight="1" s="42"/>
    <row r="807" ht="15.75" customHeight="1" s="42"/>
    <row r="808" ht="15.75" customHeight="1" s="42"/>
    <row r="809" ht="15.75" customHeight="1" s="42"/>
    <row r="810" ht="15.75" customHeight="1" s="42"/>
    <row r="811" ht="15.75" customHeight="1" s="42"/>
    <row r="812" ht="15.75" customHeight="1" s="42"/>
    <row r="813" ht="15.75" customHeight="1" s="42"/>
    <row r="814" ht="15.75" customHeight="1" s="42"/>
    <row r="815" ht="15.75" customHeight="1" s="42"/>
    <row r="816" ht="15.75" customHeight="1" s="42"/>
    <row r="817" ht="15.75" customHeight="1" s="42"/>
    <row r="818" ht="15.75" customHeight="1" s="42"/>
    <row r="819" ht="15.75" customHeight="1" s="42"/>
    <row r="820" ht="15.75" customHeight="1" s="42"/>
    <row r="821" ht="15.75" customHeight="1" s="42"/>
    <row r="822" ht="15.75" customHeight="1" s="42"/>
    <row r="823" ht="15.75" customHeight="1" s="42"/>
    <row r="824" ht="15.75" customHeight="1" s="42"/>
    <row r="825" ht="15.75" customHeight="1" s="42"/>
    <row r="826" ht="15.75" customHeight="1" s="42"/>
    <row r="827" ht="15.75" customHeight="1" s="42"/>
    <row r="828" ht="15.75" customHeight="1" s="42"/>
    <row r="829" ht="15.75" customHeight="1" s="42"/>
    <row r="830" ht="15.75" customHeight="1" s="42"/>
    <row r="831" ht="15.75" customHeight="1" s="42"/>
    <row r="832" ht="15.75" customHeight="1" s="42"/>
    <row r="833" ht="15.75" customHeight="1" s="42"/>
    <row r="834" ht="15.75" customHeight="1" s="42"/>
    <row r="835" ht="15.75" customHeight="1" s="42"/>
    <row r="836" ht="15.75" customHeight="1" s="42"/>
    <row r="837" ht="15.75" customHeight="1" s="42"/>
    <row r="838" ht="15.75" customHeight="1" s="42"/>
    <row r="839" ht="15.75" customHeight="1" s="42"/>
    <row r="840" ht="15.75" customHeight="1" s="42"/>
    <row r="841" ht="15.75" customHeight="1" s="42"/>
    <row r="842" ht="15.75" customHeight="1" s="42"/>
    <row r="843" ht="15.75" customHeight="1" s="42"/>
    <row r="844" ht="15.75" customHeight="1" s="42"/>
    <row r="845" ht="15.75" customHeight="1" s="42"/>
    <row r="846" ht="15.75" customHeight="1" s="42"/>
    <row r="847" ht="15.75" customHeight="1" s="42"/>
    <row r="848" ht="15.75" customHeight="1" s="42"/>
    <row r="849" ht="15.75" customHeight="1" s="42"/>
    <row r="850" ht="15.75" customHeight="1" s="42"/>
    <row r="851" ht="15.75" customHeight="1" s="42"/>
    <row r="852" ht="15.75" customHeight="1" s="42"/>
    <row r="853" ht="15.75" customHeight="1" s="42"/>
    <row r="854" ht="15.75" customHeight="1" s="42"/>
    <row r="855" ht="15.75" customHeight="1" s="42"/>
    <row r="856" ht="15.75" customHeight="1" s="42"/>
    <row r="857" ht="15.75" customHeight="1" s="42"/>
    <row r="858" ht="15.75" customHeight="1" s="42"/>
    <row r="859" ht="15.75" customHeight="1" s="42"/>
    <row r="860" ht="15.75" customHeight="1" s="42"/>
    <row r="861" ht="15.75" customHeight="1" s="42"/>
    <row r="862" ht="15.75" customHeight="1" s="42"/>
    <row r="863" ht="15.75" customHeight="1" s="42"/>
    <row r="864" ht="15.75" customHeight="1" s="42"/>
    <row r="865" ht="15.75" customHeight="1" s="42"/>
    <row r="866" ht="15.75" customHeight="1" s="42"/>
    <row r="867" ht="15.75" customHeight="1" s="42"/>
    <row r="868" ht="15.75" customHeight="1" s="42"/>
    <row r="869" ht="15.75" customHeight="1" s="42"/>
    <row r="870" ht="15.75" customHeight="1" s="42"/>
    <row r="871" ht="15.75" customHeight="1" s="42"/>
    <row r="872" ht="15.75" customHeight="1" s="42"/>
    <row r="873" ht="15.75" customHeight="1" s="42"/>
    <row r="874" ht="15.75" customHeight="1" s="42"/>
    <row r="875" ht="15.75" customHeight="1" s="42"/>
    <row r="876" ht="15.75" customHeight="1" s="42"/>
    <row r="877" ht="15.75" customHeight="1" s="42"/>
    <row r="878" ht="15.75" customHeight="1" s="42"/>
    <row r="879" ht="15.75" customHeight="1" s="42"/>
    <row r="880" ht="15.75" customHeight="1" s="42"/>
    <row r="881" ht="15.75" customHeight="1" s="42"/>
    <row r="882" ht="15.75" customHeight="1" s="42"/>
    <row r="883" ht="15.75" customHeight="1" s="42"/>
    <row r="884" ht="15.75" customHeight="1" s="42"/>
    <row r="885" ht="15.75" customHeight="1" s="42"/>
    <row r="886" ht="15.75" customHeight="1" s="42"/>
    <row r="887" ht="15.75" customHeight="1" s="42"/>
    <row r="888" ht="15.75" customHeight="1" s="42"/>
    <row r="889" ht="15.75" customHeight="1" s="42"/>
    <row r="890" ht="15.75" customHeight="1" s="42"/>
    <row r="891" ht="15.75" customHeight="1" s="42"/>
    <row r="892" ht="15.75" customHeight="1" s="42"/>
    <row r="893" ht="15.75" customHeight="1" s="42"/>
    <row r="894" ht="15.75" customHeight="1" s="42"/>
    <row r="895" ht="15.75" customHeight="1" s="42"/>
    <row r="896" ht="15.75" customHeight="1" s="42"/>
    <row r="897" ht="15.75" customHeight="1" s="42"/>
    <row r="898" ht="15.75" customHeight="1" s="42"/>
    <row r="899" ht="15.75" customHeight="1" s="42"/>
    <row r="900" ht="15.75" customHeight="1" s="42"/>
    <row r="901" ht="15.75" customHeight="1" s="42"/>
    <row r="902" ht="15.75" customHeight="1" s="42"/>
    <row r="903" ht="15.75" customHeight="1" s="42"/>
    <row r="904" ht="15.75" customHeight="1" s="42"/>
    <row r="905" ht="15.75" customHeight="1" s="42"/>
    <row r="906" ht="15.75" customHeight="1" s="42"/>
    <row r="907" ht="15.75" customHeight="1" s="42"/>
    <row r="908" ht="15.75" customHeight="1" s="42"/>
    <row r="909" ht="15.75" customHeight="1" s="42"/>
    <row r="910" ht="15.75" customHeight="1" s="42"/>
    <row r="911" ht="15.75" customHeight="1" s="42"/>
    <row r="912" ht="15.75" customHeight="1" s="42"/>
    <row r="913" ht="15.75" customHeight="1" s="42"/>
    <row r="914" ht="15.75" customHeight="1" s="42"/>
    <row r="915" ht="15.75" customHeight="1" s="42"/>
    <row r="916" ht="15.75" customHeight="1" s="42"/>
    <row r="917" ht="15.75" customHeight="1" s="42"/>
    <row r="918" ht="15.75" customHeight="1" s="42"/>
    <row r="919" ht="15.75" customHeight="1" s="42"/>
    <row r="920" ht="15.75" customHeight="1" s="42"/>
    <row r="921" ht="15.75" customHeight="1" s="42"/>
    <row r="922" ht="15.75" customHeight="1" s="42"/>
    <row r="923" ht="15.75" customHeight="1" s="42"/>
    <row r="924" ht="15.75" customHeight="1" s="42"/>
    <row r="925" ht="15.75" customHeight="1" s="42"/>
    <row r="926" ht="15.75" customHeight="1" s="42"/>
    <row r="927" ht="15.75" customHeight="1" s="42"/>
    <row r="928" ht="15.75" customHeight="1" s="42"/>
    <row r="929" ht="15.75" customHeight="1" s="42"/>
    <row r="930" ht="15.75" customHeight="1" s="42"/>
    <row r="931" ht="15.75" customHeight="1" s="42"/>
    <row r="932" ht="15.75" customHeight="1" s="42"/>
    <row r="933" ht="15.75" customHeight="1" s="42"/>
    <row r="934" ht="15.75" customHeight="1" s="42"/>
    <row r="935" ht="15.75" customHeight="1" s="42"/>
    <row r="936" ht="15.75" customHeight="1" s="42"/>
    <row r="937" ht="15.75" customHeight="1" s="42"/>
    <row r="938" ht="15.75" customHeight="1" s="42"/>
    <row r="939" ht="15.75" customHeight="1" s="42"/>
    <row r="940" ht="15.75" customHeight="1" s="42"/>
    <row r="941" ht="15.75" customHeight="1" s="42"/>
    <row r="942" ht="15.75" customHeight="1" s="42"/>
    <row r="943" ht="15.75" customHeight="1" s="42"/>
    <row r="944" ht="15.75" customHeight="1" s="42"/>
    <row r="945" ht="15.75" customHeight="1" s="42"/>
    <row r="946" ht="15.75" customHeight="1" s="42"/>
    <row r="947" ht="15.75" customHeight="1" s="42"/>
    <row r="948" ht="15.75" customHeight="1" s="42"/>
    <row r="949" ht="15.75" customHeight="1" s="42"/>
    <row r="950" ht="15.75" customHeight="1" s="42"/>
    <row r="951" ht="15.75" customHeight="1" s="42"/>
    <row r="952" ht="15.75" customHeight="1" s="42"/>
    <row r="953" ht="15.75" customHeight="1" s="42"/>
    <row r="954" ht="15.75" customHeight="1" s="42"/>
    <row r="955" ht="15.75" customHeight="1" s="42"/>
    <row r="956" ht="15.75" customHeight="1" s="42"/>
    <row r="957" ht="15.75" customHeight="1" s="42"/>
    <row r="958" ht="15.75" customHeight="1" s="42"/>
    <row r="959" ht="15.75" customHeight="1" s="42"/>
    <row r="960" ht="15.75" customHeight="1" s="42"/>
    <row r="961" ht="15.75" customHeight="1" s="42"/>
    <row r="962" ht="15.75" customHeight="1" s="42"/>
    <row r="963" ht="15.75" customHeight="1" s="42"/>
    <row r="964" ht="15.75" customHeight="1" s="42"/>
    <row r="965" ht="15.75" customHeight="1" s="42"/>
    <row r="966" ht="15.75" customHeight="1" s="42"/>
    <row r="967" ht="15.75" customHeight="1" s="42"/>
    <row r="968" ht="15.75" customHeight="1" s="42"/>
    <row r="969" ht="15.75" customHeight="1" s="42"/>
    <row r="970" ht="15.75" customHeight="1" s="42"/>
    <row r="971" ht="15.75" customHeight="1" s="42"/>
    <row r="972" ht="15.75" customHeight="1" s="42"/>
    <row r="973" ht="15.75" customHeight="1" s="42"/>
    <row r="974" ht="15.75" customHeight="1" s="42"/>
    <row r="975" ht="15.75" customHeight="1" s="42"/>
    <row r="976" ht="15.75" customHeight="1" s="42"/>
    <row r="977" ht="15.75" customHeight="1" s="42"/>
    <row r="978" ht="15.75" customHeight="1" s="42"/>
    <row r="979" ht="15.75" customHeight="1" s="42"/>
    <row r="980" ht="15.75" customHeight="1" s="42"/>
    <row r="981" ht="15.75" customHeight="1" s="42"/>
    <row r="982" ht="15.75" customHeight="1" s="42"/>
    <row r="983" ht="15.75" customHeight="1" s="42"/>
    <row r="984" ht="15.75" customHeight="1" s="42"/>
    <row r="985" ht="15.75" customHeight="1" s="42"/>
    <row r="986" ht="15.75" customHeight="1" s="42"/>
    <row r="987" ht="15.75" customHeight="1" s="42"/>
    <row r="988" ht="15.75" customHeight="1" s="42"/>
    <row r="989" ht="15.75" customHeight="1" s="42"/>
    <row r="990" ht="15.75" customHeight="1" s="42"/>
    <row r="991" ht="15.75" customHeight="1" s="42"/>
    <row r="992" ht="15.75" customHeight="1" s="42"/>
    <row r="993" ht="15.75" customHeight="1" s="42"/>
    <row r="994" ht="15.75" customHeight="1" s="42"/>
    <row r="995" ht="15.75" customHeight="1" s="42"/>
    <row r="996" ht="15.75" customHeight="1" s="42"/>
    <row r="997" ht="15.75" customHeight="1" s="42"/>
    <row r="998" ht="15.75" customHeight="1" s="42"/>
    <row r="999" ht="15.75" customHeight="1" s="42"/>
    <row r="1000" ht="15.75" customHeight="1" s="42"/>
  </sheetData>
  <sheetProtection selectLockedCells="1" selectUnlockedCells="1" sheet="1" objects="0" insertRows="0" insertHyperlinks="1" autoFilter="1" scenarios="0" formatColumns="0" deleteColumns="0" insertColumns="0" pivotTables="1" deleteRows="0" formatCells="0" formatRows="0" sort="1"/>
  <mergeCells count="9">
    <mergeCell ref="A4:B4"/>
    <mergeCell ref="G4:H4"/>
    <mergeCell ref="A1:J1"/>
    <mergeCell ref="E4:F4"/>
    <mergeCell ref="C3:D3"/>
    <mergeCell ref="A3:B3"/>
    <mergeCell ref="G3:H3"/>
    <mergeCell ref="E3:F3"/>
    <mergeCell ref="C4:D4"/>
  </mergeCells>
  <printOptions horizontalCentered="0" verticalCentered="0" headings="0" gridLines="0" gridLinesSet="1"/>
  <pageMargins left="0.75" right="0.75" top="1" bottom="1" header="0.511811023622047" footer="0.511811023622047"/>
  <pageSetup orientation="landscape" paperSize="1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R100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B3" activeCellId="0" sqref="B3"/>
    </sheetView>
  </sheetViews>
  <sheetFormatPr baseColWidth="8" defaultColWidth="12.6328125" defaultRowHeight="15" customHeight="1" zeroHeight="0" outlineLevelRow="0"/>
  <cols>
    <col width="7.88" customWidth="1" style="41" min="1" max="1"/>
    <col width="14" customWidth="1" style="41" min="2" max="2"/>
    <col width="8.75" customWidth="1" style="41" min="3" max="3"/>
    <col width="11.38" customWidth="1" style="41" min="4" max="4"/>
    <col width="10.5" customWidth="1" style="41" min="5" max="5"/>
    <col width="11.38" customWidth="1" style="41" min="6" max="6"/>
    <col width="23.63" customWidth="1" style="41" min="7" max="7"/>
    <col width="12.25" customWidth="1" style="41" min="8" max="8"/>
    <col width="18.38" customWidth="1" style="41" min="9" max="9"/>
    <col width="14.87" customWidth="1" style="41" min="10" max="11"/>
    <col width="24.5" customWidth="1" style="41" min="12" max="12"/>
    <col hidden="1" width="11.38" customWidth="1" style="41" min="13" max="16"/>
    <col hidden="1" width="13" customWidth="1" style="41" min="17" max="18"/>
  </cols>
  <sheetData>
    <row r="1" ht="36" customHeight="1" s="42">
      <c r="A1" s="100" t="inlineStr">
        <is>
          <t>Sr No.</t>
        </is>
      </c>
      <c r="B1" s="101" t="inlineStr">
        <is>
          <t>Receipt Date</t>
        </is>
      </c>
      <c r="C1" s="100" t="inlineStr">
        <is>
          <t>Shed No.</t>
        </is>
      </c>
      <c r="D1" s="100" t="inlineStr">
        <is>
          <t>Stack No.</t>
        </is>
      </c>
      <c r="E1" s="100" t="inlineStr">
        <is>
          <t>Bags</t>
        </is>
      </c>
      <c r="F1" s="100" t="inlineStr">
        <is>
          <t>Qty (MT)</t>
        </is>
      </c>
      <c r="G1" s="100" t="inlineStr">
        <is>
          <t>Commodity / Crop Year</t>
        </is>
      </c>
      <c r="H1" s="100" t="inlineStr">
        <is>
          <t>Status</t>
        </is>
      </c>
      <c r="I1" s="100" t="inlineStr">
        <is>
          <t>Storage Period (Days)</t>
        </is>
      </c>
      <c r="J1" s="101" t="inlineStr">
        <is>
          <t>Fumigation Date</t>
        </is>
      </c>
      <c r="K1" s="101" t="inlineStr">
        <is>
          <t>Degassing Date</t>
        </is>
      </c>
      <c r="L1" s="100" t="inlineStr">
        <is>
          <t>LAST FUMIGATION</t>
        </is>
      </c>
      <c r="M1" s="83" t="inlineStr">
        <is>
          <t>UnderCover_Flag</t>
        </is>
      </c>
      <c r="N1" s="83" t="inlineStr">
        <is>
          <t>UnderCover_Rank</t>
        </is>
      </c>
      <c r="O1" s="83" t="inlineStr">
        <is>
          <t>DegassingDue_Flag</t>
        </is>
      </c>
      <c r="P1" s="83" t="inlineStr">
        <is>
          <t>DegassingDue_Rank</t>
        </is>
      </c>
      <c r="Q1" s="82" t="inlineStr">
        <is>
          <t>Wheat FIFO Rank</t>
        </is>
      </c>
      <c r="R1" s="82" t="inlineStr">
        <is>
          <t>Rice FIFO Rank</t>
        </is>
      </c>
    </row>
    <row r="2" ht="15" customHeight="1" s="42">
      <c r="A2" s="55">
        <f>IF(D2="","",ROWS($D$2:D2))</f>
        <v/>
      </c>
      <c r="B2" s="79" t="n"/>
      <c r="C2" s="89" t="n">
        <v>14</v>
      </c>
      <c r="D2" s="89" t="inlineStr">
        <is>
          <t>14A01</t>
        </is>
      </c>
      <c r="E2" s="80" t="n"/>
      <c r="F2" s="81" t="n"/>
      <c r="G2" s="80" t="n"/>
      <c r="H2" s="55">
        <f>IF(AND(E2="",F2="",G2=""),"EMPTY","OCCUPIED")</f>
        <v/>
      </c>
      <c r="I2" s="59">
        <f>IF(B2="","",IF(ISNUMBER(B2),MAX(0,TODAY()-(IF(ISNUMBER(B2),B2,IFERROR(DATE(2000+VALUE(RIGHT(B2,2)),VALUE(MID(B2,4,2)),VALUE(LEFT(B2,2))),"")))),IFERROR(MAX(0,TODAY()-DATE(2000+VALUE(RIGHT(B2,2)),VALUE(MID(B2,4,2)),VALUE(LEFT(B2,2))),"")))</f>
        <v/>
      </c>
      <c r="J2" s="79" t="n"/>
      <c r="K2" s="79" t="n"/>
      <c r="L2" s="79" t="n"/>
      <c r="M2" s="44">
        <f>IF(AND(H2="OCCUPIED",J2&lt;&gt;"",K2=""),1,0)</f>
        <v/>
      </c>
      <c r="N2" s="44">
        <f>IF(M2=1,COUNTIF($M$2:M2,1),"")</f>
        <v/>
      </c>
      <c r="O2" s="60">
        <f>IF(AND(J2&lt;&gt;"",K2=""),IF(ISNUMBER(J2),IF(TODAY()-(IF(ISNUMBER(J2),J2,IFERROR(DATE(2000+VALUE(RIGHT(J2,2)),VALUE(MID(J2,4,2)),VALUE(LEFT(J2,2))),"")))&gt;5,1,0),IFERROR(IF(TODAY()-DATE(2000+VALUE(RIGHT(J2,2)),VALUE(MID(J2,4,2)),VALUE(LEFT(J2,2)))&gt;5,1,0),0)),0)</f>
        <v/>
      </c>
      <c r="P2" s="60">
        <f>IF(O2=1,COUNTIF($O$2:O2,1),"")</f>
        <v/>
      </c>
      <c r="Q2" s="77">
        <f>IF(OR(B2="",G2="",H2&lt;&gt;"OCCUPIED"),"",IF(ISNUMBER(SEARCH("WHEAT",G2)),SUMPRODUCT(--ISNUMBER(SEARCH("WHEAT",$G$2:$G$100))*--($H$2:$H$100="OCCUPIED")*--($B$2:$B$100&lt;&gt;"")*--(IF(ISNUMBER($B$2:$B$100),$B$2:$B$100,IFERROR(DATE(2000+VALUE(RIGHT($B$2:$B$100,2)),VALUE(MID($B$2:$B$100,4,2)),VALUE(LEFT($B$2:$B$100,2))),0))&lt;IF(ISNUMBER(B2),B2,IFERROR(DATE(2000+VALUE(RIGHT(B2,2)),VALUE(MID(B2,4,2)),VALUE(LEFT(B2,2))),0))))+SUMPRODUCT(--ISNUMBER(SEARCH("WHEAT",$G$2:$G2))*--($H$2:$H2="OCCUPIED")*--($B$2:$B2&lt;&gt;"")*--(IF(ISNUMBER($B$2:$B2),$B$2:$B2,IFERROR(DATE(2000+VALUE(RIGHT($B$2:$B2,2)),VALUE(MID($B$2:$B2,4,2)),VALUE(LEFT($B$2:$B2,2))),0))=IF(ISNUMBER(B2),B2,IFERROR(DATE(2000+VALUE(RIGHT(B2,2)),VALUE(MID(B2,4,2)),VALUE(LEFT(B2,2))),0)))),""))</f>
        <v/>
      </c>
      <c r="R2" s="77">
        <f>IF(OR(B2="",G2="",H2&lt;&gt;"OCCUPIED"),"",IF(NOT(ISNUMBER(SEARCH("WHEAT",G2))),SUMPRODUCT(--($G$2:$G$100&lt;&gt;"")*--ISERROR(SEARCH("WHEAT",$G$2:$G$100))*--($H$2:$H$100="OCCUPIED")*--($B$2:$B$100&lt;&gt;"")*--(IF(ISNUMBER($B$2:$B$100),$B$2:$B$100,IFERROR(DATE(2000+VALUE(RIGHT($B$2:$B$100,2)),VALUE(MID($B$2:$B$100,4,2)),VALUE(LEFT($B$2:$B$100,2))),0))&lt;IF(ISNUMBER(B2),B2,IFERROR(DATE(2000+VALUE(RIGHT(B2,2)),VALUE(MID(B2,4,2)),VALUE(LEFT(B2,2))),0))))+SUMPRODUCT(--($G$2:$G2&lt;&gt;"")*--ISERROR(SEARCH("WHEAT",$G$2:$G2))*--($H$2:$H2="OCCUPIED")*--($B$2:$B2&lt;&gt;"")*--(IF(ISNUMBER($B$2:$B2),$B$2:$B2,IFERROR(DATE(2000+VALUE(RIGHT($B$2:$B2,2)),VALUE(MID($B$2:$B2,4,2)),VALUE(LEFT($B$2:$B2,2))),0))=IF(ISNUMBER(B2),B2,IFERROR(DATE(2000+VALUE(RIGHT(B2,2)),VALUE(MID(B2,4,2)),VALUE(LEFT(B2,2))),0)))),""))</f>
        <v/>
      </c>
    </row>
    <row r="3" ht="15" customHeight="1" s="42">
      <c r="A3" s="61">
        <f>IF(D3="","",ROWS($D$2:D3))</f>
        <v/>
      </c>
      <c r="B3" s="79" t="n">
        <v>46249</v>
      </c>
      <c r="C3" s="90" t="n">
        <v>14</v>
      </c>
      <c r="D3" s="90" t="inlineStr">
        <is>
          <t>14A02</t>
        </is>
      </c>
      <c r="E3" s="80" t="n">
        <v>3501</v>
      </c>
      <c r="F3" s="81" t="n">
        <v>175.283364</v>
      </c>
      <c r="G3" s="80" t="inlineStr">
        <is>
          <t>WHEAT FAQ 2025-26</t>
        </is>
      </c>
      <c r="H3" s="61">
        <f>IF(AND(E3="",F3="",G3=""),"EMPTY","OCCUPIED")</f>
        <v/>
      </c>
      <c r="I3" s="62">
        <f>IF(B3="","",IF(ISNUMBER(B3),MAX(0,TODAY()-(IF(ISNUMBER(B3),B3,IFERROR(DATE(2000+VALUE(RIGHT(B3,2)),VALUE(MID(B3,4,2)),VALUE(LEFT(B3,2))),"")))),IFERROR(MAX(0,TODAY()-DATE(2000+VALUE(RIGHT(B3,2)),VALUE(MID(B3,4,2)),VALUE(LEFT(B3,2))),"")))</f>
        <v/>
      </c>
      <c r="J3" s="79" t="n"/>
      <c r="K3" s="79" t="n"/>
      <c r="L3" s="79" t="n"/>
      <c r="M3" s="44">
        <f>IF(AND(H3="OCCUPIED",J3&lt;&gt;"",K3=""),1,0)</f>
        <v/>
      </c>
      <c r="N3" s="44">
        <f>IF(M3=1,COUNTIF($M$2:M3,1),"")</f>
        <v/>
      </c>
      <c r="O3" s="60">
        <f>IF(AND(J3&lt;&gt;"",K3=""),IF(ISNUMBER(J3),IF(TODAY()-(IF(ISNUMBER(J3),J3,IFERROR(DATE(2000+VALUE(RIGHT(J3,2)),VALUE(MID(J3,4,2)),VALUE(LEFT(J3,2))),"")))&gt;5,1,0),IFERROR(IF(TODAY()-DATE(2000+VALUE(RIGHT(J3,2)),VALUE(MID(J3,4,2)),VALUE(LEFT(J3,2)))&gt;5,1,0),0)),0)</f>
        <v/>
      </c>
      <c r="P3" s="60">
        <f>IF(O3=1,COUNTIF($O$2:O3,1),"")</f>
        <v/>
      </c>
      <c r="Q3" s="77">
        <f>IF(OR(B3="",G3="",H3&lt;&gt;"OCCUPIED"),"",IF(ISNUMBER(SEARCH("WHEAT",G3)),SUMPRODUCT(--ISNUMBER(SEARCH("WHEAT",$G$2:$G$100))*--($H$2:$H$100="OCCUPIED")*--($B$2:$B$100&lt;&gt;"")*--(IF(ISNUMBER($B$2:$B$100),$B$2:$B$100,IFERROR(DATE(2000+VALUE(RIGHT($B$2:$B$100,2)),VALUE(MID($B$2:$B$100,4,2)),VALUE(LEFT($B$2:$B$100,2))),0))&lt;IF(ISNUMBER(B3),B3,IFERROR(DATE(2000+VALUE(RIGHT(B3,2)),VALUE(MID(B3,4,2)),VALUE(LEFT(B3,2))),0))))+SUMPRODUCT(--ISNUMBER(SEARCH("WHEAT",$G$2:$G3))*--($H$2:$H3="OCCUPIED")*--($B$2:$B3&lt;&gt;"")*--(IF(ISNUMBER($B$2:$B3),$B$2:$B3,IFERROR(DATE(2000+VALUE(RIGHT($B$2:$B3,2)),VALUE(MID($B$2:$B3,4,2)),VALUE(LEFT($B$2:$B3,2))),0))=IF(ISNUMBER(B3),B3,IFERROR(DATE(2000+VALUE(RIGHT(B3,2)),VALUE(MID(B3,4,2)),VALUE(LEFT(B3,2))),0)))),""))</f>
        <v/>
      </c>
      <c r="R3" s="77">
        <f>IF(OR(B3="",G3="",H3&lt;&gt;"OCCUPIED"),"",IF(NOT(ISNUMBER(SEARCH("WHEAT",G3))),SUMPRODUCT(--($G$2:$G$100&lt;&gt;"")*--ISERROR(SEARCH("WHEAT",$G$2:$G$100))*--($H$2:$H$100="OCCUPIED")*--($B$2:$B$100&lt;&gt;"")*--(IF(ISNUMBER($B$2:$B$100),$B$2:$B$100,IFERROR(DATE(2000+VALUE(RIGHT($B$2:$B$100,2)),VALUE(MID($B$2:$B$100,4,2)),VALUE(LEFT($B$2:$B$100,2))),0))&lt;IF(ISNUMBER(B3),B3,IFERROR(DATE(2000+VALUE(RIGHT(B3,2)),VALUE(MID(B3,4,2)),VALUE(LEFT(B3,2))),0))))+SUMPRODUCT(--($G$2:$G3&lt;&gt;"")*--ISERROR(SEARCH("WHEAT",$G$2:$G3))*--($H$2:$H3="OCCUPIED")*--($B$2:$B3&lt;&gt;"")*--(IF(ISNUMBER($B$2:$B3),$B$2:$B3,IFERROR(DATE(2000+VALUE(RIGHT($B$2:$B3,2)),VALUE(MID($B$2:$B3,4,2)),VALUE(LEFT($B$2:$B3,2))),0))=IF(ISNUMBER(B3),B3,IFERROR(DATE(2000+VALUE(RIGHT(B3,2)),VALUE(MID(B3,4,2)),VALUE(LEFT(B3,2))),0)))),""))</f>
        <v/>
      </c>
    </row>
    <row r="4" ht="15" customHeight="1" s="42">
      <c r="A4" s="55">
        <f>IF(D4="","",ROWS($D$2:D4))</f>
        <v/>
      </c>
      <c r="B4" s="79" t="n">
        <v>46249</v>
      </c>
      <c r="C4" s="89" t="n">
        <v>14</v>
      </c>
      <c r="D4" s="89" t="inlineStr">
        <is>
          <t>14A03</t>
        </is>
      </c>
      <c r="E4" s="80" t="n">
        <v>3501</v>
      </c>
      <c r="F4" s="81" t="n">
        <v>174.155727</v>
      </c>
      <c r="G4" s="80" t="inlineStr">
        <is>
          <t>WHEAT FAQ 2025-26</t>
        </is>
      </c>
      <c r="H4" s="55">
        <f>IF(AND(E4="",F4="",G4=""),"EMPTY","OCCUPIED")</f>
        <v/>
      </c>
      <c r="I4" s="59">
        <f>IF(B4="","",IF(ISNUMBER(B4),MAX(0,TODAY()-(IF(ISNUMBER(B4),B4,IFERROR(DATE(2000+VALUE(RIGHT(B4,2)),VALUE(MID(B4,4,2)),VALUE(LEFT(B4,2))),"")))),IFERROR(MAX(0,TODAY()-DATE(2000+VALUE(RIGHT(B4,2)),VALUE(MID(B4,4,2)),VALUE(LEFT(B4,2))),"")))</f>
        <v/>
      </c>
      <c r="J4" s="79" t="n"/>
      <c r="K4" s="79" t="n"/>
      <c r="L4" s="79" t="n"/>
      <c r="M4" s="44">
        <f>IF(AND(H4="OCCUPIED",J4&lt;&gt;"",K4=""),1,0)</f>
        <v/>
      </c>
      <c r="N4" s="44">
        <f>IF(M4=1,COUNTIF($M$2:M4,1),"")</f>
        <v/>
      </c>
      <c r="O4" s="60">
        <f>IF(AND(J4&lt;&gt;"",K4=""),IF(ISNUMBER(J4),IF(TODAY()-(IF(ISNUMBER(J4),J4,IFERROR(DATE(2000+VALUE(RIGHT(J4,2)),VALUE(MID(J4,4,2)),VALUE(LEFT(J4,2))),"")))&gt;5,1,0),IFERROR(IF(TODAY()-DATE(2000+VALUE(RIGHT(J4,2)),VALUE(MID(J4,4,2)),VALUE(LEFT(J4,2)))&gt;5,1,0),0)),0)</f>
        <v/>
      </c>
      <c r="P4" s="60">
        <f>IF(O4=1,COUNTIF($O$2:O4,1),"")</f>
        <v/>
      </c>
      <c r="Q4" s="77">
        <f>IF(OR(B4="",G4="",H4&lt;&gt;"OCCUPIED"),"",IF(ISNUMBER(SEARCH("WHEAT",G4)),SUMPRODUCT(--ISNUMBER(SEARCH("WHEAT",$G$2:$G$100))*--($H$2:$H$100="OCCUPIED")*--($B$2:$B$100&lt;&gt;"")*--(IF(ISNUMBER($B$2:$B$100),$B$2:$B$100,IFERROR(DATE(2000+VALUE(RIGHT($B$2:$B$100,2)),VALUE(MID($B$2:$B$100,4,2)),VALUE(LEFT($B$2:$B$100,2))),0))&lt;IF(ISNUMBER(B4),B4,IFERROR(DATE(2000+VALUE(RIGHT(B4,2)),VALUE(MID(B4,4,2)),VALUE(LEFT(B4,2))),0))))+SUMPRODUCT(--ISNUMBER(SEARCH("WHEAT",$G$2:$G4))*--($H$2:$H4="OCCUPIED")*--($B$2:$B4&lt;&gt;"")*--(IF(ISNUMBER($B$2:$B4),$B$2:$B4,IFERROR(DATE(2000+VALUE(RIGHT($B$2:$B4,2)),VALUE(MID($B$2:$B4,4,2)),VALUE(LEFT($B$2:$B4,2))),0))=IF(ISNUMBER(B4),B4,IFERROR(DATE(2000+VALUE(RIGHT(B4,2)),VALUE(MID(B4,4,2)),VALUE(LEFT(B4,2))),0)))),""))</f>
        <v/>
      </c>
      <c r="R4" s="77">
        <f>IF(OR(B4="",G4="",H4&lt;&gt;"OCCUPIED"),"",IF(NOT(ISNUMBER(SEARCH("WHEAT",G4))),SUMPRODUCT(--($G$2:$G$100&lt;&gt;"")*--ISERROR(SEARCH("WHEAT",$G$2:$G$100))*--($H$2:$H$100="OCCUPIED")*--($B$2:$B$100&lt;&gt;"")*--(IF(ISNUMBER($B$2:$B$100),$B$2:$B$100,IFERROR(DATE(2000+VALUE(RIGHT($B$2:$B$100,2)),VALUE(MID($B$2:$B$100,4,2)),VALUE(LEFT($B$2:$B$100,2))),0))&lt;IF(ISNUMBER(B4),B4,IFERROR(DATE(2000+VALUE(RIGHT(B4,2)),VALUE(MID(B4,4,2)),VALUE(LEFT(B4,2))),0))))+SUMPRODUCT(--($G$2:$G4&lt;&gt;"")*--ISERROR(SEARCH("WHEAT",$G$2:$G4))*--($H$2:$H4="OCCUPIED")*--($B$2:$B4&lt;&gt;"")*--(IF(ISNUMBER($B$2:$B4),$B$2:$B4,IFERROR(DATE(2000+VALUE(RIGHT($B$2:$B4,2)),VALUE(MID($B$2:$B4,4,2)),VALUE(LEFT($B$2:$B4,2))),0))=IF(ISNUMBER(B4),B4,IFERROR(DATE(2000+VALUE(RIGHT(B4,2)),VALUE(MID(B4,4,2)),VALUE(LEFT(B4,2))),0)))),""))</f>
        <v/>
      </c>
    </row>
    <row r="5" ht="15" customHeight="1" s="42">
      <c r="A5" s="61">
        <f>IF(D5="","",ROWS($D$2:D5))</f>
        <v/>
      </c>
      <c r="B5" s="79" t="n"/>
      <c r="C5" s="90" t="n">
        <v>14</v>
      </c>
      <c r="D5" s="90" t="inlineStr">
        <is>
          <t>14A04</t>
        </is>
      </c>
      <c r="E5" s="80" t="n"/>
      <c r="F5" s="81" t="n"/>
      <c r="G5" s="80" t="n"/>
      <c r="H5" s="61">
        <f>IF(AND(E5="",F5="",G5=""),"EMPTY","OCCUPIED")</f>
        <v/>
      </c>
      <c r="I5" s="62">
        <f>IF(B5="","",IF(ISNUMBER(B5),MAX(0,TODAY()-(IF(ISNUMBER(B5),B5,IFERROR(DATE(2000+VALUE(RIGHT(B5,2)),VALUE(MID(B5,4,2)),VALUE(LEFT(B5,2))),"")))),IFERROR(MAX(0,TODAY()-DATE(2000+VALUE(RIGHT(B5,2)),VALUE(MID(B5,4,2)),VALUE(LEFT(B5,2))),"")))</f>
        <v/>
      </c>
      <c r="J5" s="79" t="n"/>
      <c r="K5" s="79" t="n"/>
      <c r="L5" s="79" t="n"/>
      <c r="M5" s="44">
        <f>IF(AND(H5="OCCUPIED",J5&lt;&gt;"",K5=""),1,0)</f>
        <v/>
      </c>
      <c r="N5" s="44">
        <f>IF(M5=1,COUNTIF($M$2:M5,1),"")</f>
        <v/>
      </c>
      <c r="O5" s="60">
        <f>IF(AND(J5&lt;&gt;"",K5=""),IF(ISNUMBER(J5),IF(TODAY()-(IF(ISNUMBER(J5),J5,IFERROR(DATE(2000+VALUE(RIGHT(J5,2)),VALUE(MID(J5,4,2)),VALUE(LEFT(J5,2))),"")))&gt;5,1,0),IFERROR(IF(TODAY()-DATE(2000+VALUE(RIGHT(J5,2)),VALUE(MID(J5,4,2)),VALUE(LEFT(J5,2)))&gt;5,1,0),0)),0)</f>
        <v/>
      </c>
      <c r="P5" s="60">
        <f>IF(O5=1,COUNTIF($O$2:O5,1),"")</f>
        <v/>
      </c>
      <c r="Q5" s="77">
        <f>IF(OR(B5="",G5="",H5&lt;&gt;"OCCUPIED"),"",IF(ISNUMBER(SEARCH("WHEAT",G5)),SUMPRODUCT(--ISNUMBER(SEARCH("WHEAT",$G$2:$G$100))*--($H$2:$H$100="OCCUPIED")*--($B$2:$B$100&lt;&gt;"")*--(IF(ISNUMBER($B$2:$B$100),$B$2:$B$100,IFERROR(DATE(2000+VALUE(RIGHT($B$2:$B$100,2)),VALUE(MID($B$2:$B$100,4,2)),VALUE(LEFT($B$2:$B$100,2))),0))&lt;IF(ISNUMBER(B5),B5,IFERROR(DATE(2000+VALUE(RIGHT(B5,2)),VALUE(MID(B5,4,2)),VALUE(LEFT(B5,2))),0))))+SUMPRODUCT(--ISNUMBER(SEARCH("WHEAT",$G$2:$G5))*--($H$2:$H5="OCCUPIED")*--($B$2:$B5&lt;&gt;"")*--(IF(ISNUMBER($B$2:$B5),$B$2:$B5,IFERROR(DATE(2000+VALUE(RIGHT($B$2:$B5,2)),VALUE(MID($B$2:$B5,4,2)),VALUE(LEFT($B$2:$B5,2))),0))=IF(ISNUMBER(B5),B5,IFERROR(DATE(2000+VALUE(RIGHT(B5,2)),VALUE(MID(B5,4,2)),VALUE(LEFT(B5,2))),0)))),""))</f>
        <v/>
      </c>
      <c r="R5" s="77">
        <f>IF(OR(B5="",G5="",H5&lt;&gt;"OCCUPIED"),"",IF(NOT(ISNUMBER(SEARCH("WHEAT",G5))),SUMPRODUCT(--($G$2:$G$100&lt;&gt;"")*--ISERROR(SEARCH("WHEAT",$G$2:$G$100))*--($H$2:$H$100="OCCUPIED")*--($B$2:$B$100&lt;&gt;"")*--(IF(ISNUMBER($B$2:$B$100),$B$2:$B$100,IFERROR(DATE(2000+VALUE(RIGHT($B$2:$B$100,2)),VALUE(MID($B$2:$B$100,4,2)),VALUE(LEFT($B$2:$B$100,2))),0))&lt;IF(ISNUMBER(B5),B5,IFERROR(DATE(2000+VALUE(RIGHT(B5,2)),VALUE(MID(B5,4,2)),VALUE(LEFT(B5,2))),0))))+SUMPRODUCT(--($G$2:$G5&lt;&gt;"")*--ISERROR(SEARCH("WHEAT",$G$2:$G5))*--($H$2:$H5="OCCUPIED")*--($B$2:$B5&lt;&gt;"")*--(IF(ISNUMBER($B$2:$B5),$B$2:$B5,IFERROR(DATE(2000+VALUE(RIGHT($B$2:$B5,2)),VALUE(MID($B$2:$B5,4,2)),VALUE(LEFT($B$2:$B5,2))),0))=IF(ISNUMBER(B5),B5,IFERROR(DATE(2000+VALUE(RIGHT(B5,2)),VALUE(MID(B5,4,2)),VALUE(LEFT(B5,2))),0)))),""))</f>
        <v/>
      </c>
    </row>
    <row r="6" ht="15" customHeight="1" s="42">
      <c r="A6" s="55">
        <f>IF(D6="","",ROWS($D$2:D6))</f>
        <v/>
      </c>
      <c r="B6" s="79" t="n">
        <v>46249</v>
      </c>
      <c r="C6" s="89" t="n">
        <v>14</v>
      </c>
      <c r="D6" s="89" t="inlineStr">
        <is>
          <t>14A05</t>
        </is>
      </c>
      <c r="E6" s="80" t="n">
        <v>3501</v>
      </c>
      <c r="F6" s="81" t="n">
        <v>177.281405</v>
      </c>
      <c r="G6" s="80" t="inlineStr">
        <is>
          <t>WHEAT FAQ 2025-26</t>
        </is>
      </c>
      <c r="H6" s="55">
        <f>IF(AND(E6="",F6="",G6=""),"EMPTY","OCCUPIED")</f>
        <v/>
      </c>
      <c r="I6" s="59">
        <f>IF(B6="","",IF(ISNUMBER(B6),MAX(0,TODAY()-(IF(ISNUMBER(B6),B6,IFERROR(DATE(2000+VALUE(RIGHT(B6,2)),VALUE(MID(B6,4,2)),VALUE(LEFT(B6,2))),"")))),IFERROR(MAX(0,TODAY()-DATE(2000+VALUE(RIGHT(B6,2)),VALUE(MID(B6,4,2)),VALUE(LEFT(B6,2))),"")))</f>
        <v/>
      </c>
      <c r="J6" s="79" t="n"/>
      <c r="K6" s="79" t="n"/>
      <c r="L6" s="79" t="n"/>
      <c r="M6" s="44">
        <f>IF(AND(H6="OCCUPIED",J6&lt;&gt;"",K6=""),1,0)</f>
        <v/>
      </c>
      <c r="N6" s="44">
        <f>IF(M6=1,COUNTIF($M$2:M6,1),"")</f>
        <v/>
      </c>
      <c r="O6" s="60">
        <f>IF(AND(J6&lt;&gt;"",K6=""),IF(ISNUMBER(J6),IF(TODAY()-(IF(ISNUMBER(J6),J6,IFERROR(DATE(2000+VALUE(RIGHT(J6,2)),VALUE(MID(J6,4,2)),VALUE(LEFT(J6,2))),"")))&gt;5,1,0),IFERROR(IF(TODAY()-DATE(2000+VALUE(RIGHT(J6,2)),VALUE(MID(J6,4,2)),VALUE(LEFT(J6,2)))&gt;5,1,0),0)),0)</f>
        <v/>
      </c>
      <c r="P6" s="60">
        <f>IF(O6=1,COUNTIF($O$2:O6,1),"")</f>
        <v/>
      </c>
      <c r="Q6" s="77">
        <f>IF(OR(B6="",G6="",H6&lt;&gt;"OCCUPIED"),"",IF(ISNUMBER(SEARCH("WHEAT",G6)),SUMPRODUCT(--ISNUMBER(SEARCH("WHEAT",$G$2:$G$100))*--($H$2:$H$100="OCCUPIED")*--($B$2:$B$100&lt;&gt;"")*--(IF(ISNUMBER($B$2:$B$100),$B$2:$B$100,IFERROR(DATE(2000+VALUE(RIGHT($B$2:$B$100,2)),VALUE(MID($B$2:$B$100,4,2)),VALUE(LEFT($B$2:$B$100,2))),0))&lt;IF(ISNUMBER(B6),B6,IFERROR(DATE(2000+VALUE(RIGHT(B6,2)),VALUE(MID(B6,4,2)),VALUE(LEFT(B6,2))),0))))+SUMPRODUCT(--ISNUMBER(SEARCH("WHEAT",$G$2:$G6))*--($H$2:$H6="OCCUPIED")*--($B$2:$B6&lt;&gt;"")*--(IF(ISNUMBER($B$2:$B6),$B$2:$B6,IFERROR(DATE(2000+VALUE(RIGHT($B$2:$B6,2)),VALUE(MID($B$2:$B6,4,2)),VALUE(LEFT($B$2:$B6,2))),0))=IF(ISNUMBER(B6),B6,IFERROR(DATE(2000+VALUE(RIGHT(B6,2)),VALUE(MID(B6,4,2)),VALUE(LEFT(B6,2))),0)))),""))</f>
        <v/>
      </c>
      <c r="R6" s="77">
        <f>IF(OR(B6="",G6="",H6&lt;&gt;"OCCUPIED"),"",IF(NOT(ISNUMBER(SEARCH("WHEAT",G6))),SUMPRODUCT(--($G$2:$G$100&lt;&gt;"")*--ISERROR(SEARCH("WHEAT",$G$2:$G$100))*--($H$2:$H$100="OCCUPIED")*--($B$2:$B$100&lt;&gt;"")*--(IF(ISNUMBER($B$2:$B$100),$B$2:$B$100,IFERROR(DATE(2000+VALUE(RIGHT($B$2:$B$100,2)),VALUE(MID($B$2:$B$100,4,2)),VALUE(LEFT($B$2:$B$100,2))),0))&lt;IF(ISNUMBER(B6),B6,IFERROR(DATE(2000+VALUE(RIGHT(B6,2)),VALUE(MID(B6,4,2)),VALUE(LEFT(B6,2))),0))))+SUMPRODUCT(--($G$2:$G6&lt;&gt;"")*--ISERROR(SEARCH("WHEAT",$G$2:$G6))*--($H$2:$H6="OCCUPIED")*--($B$2:$B6&lt;&gt;"")*--(IF(ISNUMBER($B$2:$B6),$B$2:$B6,IFERROR(DATE(2000+VALUE(RIGHT($B$2:$B6,2)),VALUE(MID($B$2:$B6,4,2)),VALUE(LEFT($B$2:$B6,2))),0))=IF(ISNUMBER(B6),B6,IFERROR(DATE(2000+VALUE(RIGHT(B6,2)),VALUE(MID(B6,4,2)),VALUE(LEFT(B6,2))),0)))),""))</f>
        <v/>
      </c>
    </row>
    <row r="7" ht="15" customHeight="1" s="42">
      <c r="A7" s="61">
        <f>IF(D7="","",ROWS($D$2:D7))</f>
        <v/>
      </c>
      <c r="B7" s="79" t="n">
        <v>46249</v>
      </c>
      <c r="C7" s="90" t="n">
        <v>14</v>
      </c>
      <c r="D7" s="90" t="inlineStr">
        <is>
          <t>14A06</t>
        </is>
      </c>
      <c r="E7" s="80" t="n">
        <v>3501</v>
      </c>
      <c r="F7" s="81" t="n">
        <v>170.623897</v>
      </c>
      <c r="G7" s="80" t="inlineStr">
        <is>
          <t>FRK  RRA 2024-25</t>
        </is>
      </c>
      <c r="H7" s="61">
        <f>IF(AND(E7="",F7="",G7=""),"EMPTY","OCCUPIED")</f>
        <v/>
      </c>
      <c r="I7" s="62">
        <f>IF(B7="","",IF(ISNUMBER(B7),MAX(0,TODAY()-(IF(ISNUMBER(B7),B7,IFERROR(DATE(2000+VALUE(RIGHT(B7,2)),VALUE(MID(B7,4,2)),VALUE(LEFT(B7,2))),"")))),IFERROR(MAX(0,TODAY()-DATE(2000+VALUE(RIGHT(B7,2)),VALUE(MID(B7,4,2)),VALUE(LEFT(B7,2))),"")))</f>
        <v/>
      </c>
      <c r="J7" s="79" t="n"/>
      <c r="K7" s="79" t="n"/>
      <c r="L7" s="79" t="n"/>
      <c r="M7" s="44">
        <f>IF(AND(H7="OCCUPIED",J7&lt;&gt;"",K7=""),1,0)</f>
        <v/>
      </c>
      <c r="N7" s="44">
        <f>IF(M7=1,COUNTIF($M$2:M7,1),"")</f>
        <v/>
      </c>
      <c r="O7" s="60">
        <f>IF(AND(J7&lt;&gt;"",K7=""),IF(ISNUMBER(J7),IF(TODAY()-(IF(ISNUMBER(J7),J7,IFERROR(DATE(2000+VALUE(RIGHT(J7,2)),VALUE(MID(J7,4,2)),VALUE(LEFT(J7,2))),"")))&gt;5,1,0),IFERROR(IF(TODAY()-DATE(2000+VALUE(RIGHT(J7,2)),VALUE(MID(J7,4,2)),VALUE(LEFT(J7,2)))&gt;5,1,0),0)),0)</f>
        <v/>
      </c>
      <c r="P7" s="60">
        <f>IF(O7=1,COUNTIF($O$2:O7,1),"")</f>
        <v/>
      </c>
      <c r="Q7" s="77">
        <f>IF(OR(B7="",G7="",H7&lt;&gt;"OCCUPIED"),"",IF(ISNUMBER(SEARCH("WHEAT",G7)),SUMPRODUCT(--ISNUMBER(SEARCH("WHEAT",$G$2:$G$100))*--($H$2:$H$100="OCCUPIED")*--($B$2:$B$100&lt;&gt;"")*--(IF(ISNUMBER($B$2:$B$100),$B$2:$B$100,IFERROR(DATE(2000+VALUE(RIGHT($B$2:$B$100,2)),VALUE(MID($B$2:$B$100,4,2)),VALUE(LEFT($B$2:$B$100,2))),0))&lt;IF(ISNUMBER(B7),B7,IFERROR(DATE(2000+VALUE(RIGHT(B7,2)),VALUE(MID(B7,4,2)),VALUE(LEFT(B7,2))),0))))+SUMPRODUCT(--ISNUMBER(SEARCH("WHEAT",$G$2:$G7))*--($H$2:$H7="OCCUPIED")*--($B$2:$B7&lt;&gt;"")*--(IF(ISNUMBER($B$2:$B7),$B$2:$B7,IFERROR(DATE(2000+VALUE(RIGHT($B$2:$B7,2)),VALUE(MID($B$2:$B7,4,2)),VALUE(LEFT($B$2:$B7,2))),0))=IF(ISNUMBER(B7),B7,IFERROR(DATE(2000+VALUE(RIGHT(B7,2)),VALUE(MID(B7,4,2)),VALUE(LEFT(B7,2))),0)))),""))</f>
        <v/>
      </c>
      <c r="R7" s="77">
        <f>IF(OR(B7="",G7="",H7&lt;&gt;"OCCUPIED"),"",IF(NOT(ISNUMBER(SEARCH("WHEAT",G7))),SUMPRODUCT(--($G$2:$G$100&lt;&gt;"")*--ISERROR(SEARCH("WHEAT",$G$2:$G$100))*--($H$2:$H$100="OCCUPIED")*--($B$2:$B$100&lt;&gt;"")*--(IF(ISNUMBER($B$2:$B$100),$B$2:$B$100,IFERROR(DATE(2000+VALUE(RIGHT($B$2:$B$100,2)),VALUE(MID($B$2:$B$100,4,2)),VALUE(LEFT($B$2:$B$100,2))),0))&lt;IF(ISNUMBER(B7),B7,IFERROR(DATE(2000+VALUE(RIGHT(B7,2)),VALUE(MID(B7,4,2)),VALUE(LEFT(B7,2))),0))))+SUMPRODUCT(--($G$2:$G7&lt;&gt;"")*--ISERROR(SEARCH("WHEAT",$G$2:$G7))*--($H$2:$H7="OCCUPIED")*--($B$2:$B7&lt;&gt;"")*--(IF(ISNUMBER($B$2:$B7),$B$2:$B7,IFERROR(DATE(2000+VALUE(RIGHT($B$2:$B7,2)),VALUE(MID($B$2:$B7,4,2)),VALUE(LEFT($B$2:$B7,2))),0))=IF(ISNUMBER(B7),B7,IFERROR(DATE(2000+VALUE(RIGHT(B7,2)),VALUE(MID(B7,4,2)),VALUE(LEFT(B7,2))),0)))),""))</f>
        <v/>
      </c>
    </row>
    <row r="8" ht="15" customHeight="1" s="42">
      <c r="A8" s="55">
        <f>IF(D8="","",ROWS($D$2:D8))</f>
        <v/>
      </c>
      <c r="B8" s="79" t="n">
        <v>46249</v>
      </c>
      <c r="C8" s="89" t="n">
        <v>14</v>
      </c>
      <c r="D8" s="89" t="inlineStr">
        <is>
          <t>14A07</t>
        </is>
      </c>
      <c r="E8" s="80" t="n">
        <v>3501</v>
      </c>
      <c r="F8" s="81" t="n">
        <v>173.195651</v>
      </c>
      <c r="G8" s="80" t="inlineStr">
        <is>
          <t>FRK  RRA 2024-25</t>
        </is>
      </c>
      <c r="H8" s="55">
        <f>IF(AND(E8="",F8="",G8=""),"EMPTY","OCCUPIED")</f>
        <v/>
      </c>
      <c r="I8" s="59">
        <f>IF(B8="","",IF(ISNUMBER(B8),MAX(0,TODAY()-(IF(ISNUMBER(B8),B8,IFERROR(DATE(2000+VALUE(RIGHT(B8,2)),VALUE(MID(B8,4,2)),VALUE(LEFT(B8,2))),"")))),IFERROR(MAX(0,TODAY()-DATE(2000+VALUE(RIGHT(B8,2)),VALUE(MID(B8,4,2)),VALUE(LEFT(B8,2))),"")))</f>
        <v/>
      </c>
      <c r="J8" s="79" t="n"/>
      <c r="K8" s="79" t="n"/>
      <c r="L8" s="79" t="n"/>
      <c r="M8" s="44">
        <f>IF(AND(H8="OCCUPIED",J8&lt;&gt;"",K8=""),1,0)</f>
        <v/>
      </c>
      <c r="N8" s="44">
        <f>IF(M8=1,COUNTIF($M$2:M8,1),"")</f>
        <v/>
      </c>
      <c r="O8" s="60">
        <f>IF(AND(J8&lt;&gt;"",K8=""),IF(ISNUMBER(J8),IF(TODAY()-(IF(ISNUMBER(J8),J8,IFERROR(DATE(2000+VALUE(RIGHT(J8,2)),VALUE(MID(J8,4,2)),VALUE(LEFT(J8,2))),"")))&gt;5,1,0),IFERROR(IF(TODAY()-DATE(2000+VALUE(RIGHT(J8,2)),VALUE(MID(J8,4,2)),VALUE(LEFT(J8,2)))&gt;5,1,0),0)),0)</f>
        <v/>
      </c>
      <c r="P8" s="60">
        <f>IF(O8=1,COUNTIF($O$2:O8,1),"")</f>
        <v/>
      </c>
      <c r="Q8" s="77">
        <f>IF(OR(B8="",G8="",H8&lt;&gt;"OCCUPIED"),"",IF(ISNUMBER(SEARCH("WHEAT",G8)),SUMPRODUCT(--ISNUMBER(SEARCH("WHEAT",$G$2:$G$100))*--($H$2:$H$100="OCCUPIED")*--($B$2:$B$100&lt;&gt;"")*--(IF(ISNUMBER($B$2:$B$100),$B$2:$B$100,IFERROR(DATE(2000+VALUE(RIGHT($B$2:$B$100,2)),VALUE(MID($B$2:$B$100,4,2)),VALUE(LEFT($B$2:$B$100,2))),0))&lt;IF(ISNUMBER(B8),B8,IFERROR(DATE(2000+VALUE(RIGHT(B8,2)),VALUE(MID(B8,4,2)),VALUE(LEFT(B8,2))),0))))+SUMPRODUCT(--ISNUMBER(SEARCH("WHEAT",$G$2:$G8))*--($H$2:$H8="OCCUPIED")*--($B$2:$B8&lt;&gt;"")*--(IF(ISNUMBER($B$2:$B8),$B$2:$B8,IFERROR(DATE(2000+VALUE(RIGHT($B$2:$B8,2)),VALUE(MID($B$2:$B8,4,2)),VALUE(LEFT($B$2:$B8,2))),0))=IF(ISNUMBER(B8),B8,IFERROR(DATE(2000+VALUE(RIGHT(B8,2)),VALUE(MID(B8,4,2)),VALUE(LEFT(B8,2))),0)))),""))</f>
        <v/>
      </c>
      <c r="R8" s="77">
        <f>IF(OR(B8="",G8="",H8&lt;&gt;"OCCUPIED"),"",IF(NOT(ISNUMBER(SEARCH("WHEAT",G8))),SUMPRODUCT(--($G$2:$G$100&lt;&gt;"")*--ISERROR(SEARCH("WHEAT",$G$2:$G$100))*--($H$2:$H$100="OCCUPIED")*--($B$2:$B$100&lt;&gt;"")*--(IF(ISNUMBER($B$2:$B$100),$B$2:$B$100,IFERROR(DATE(2000+VALUE(RIGHT($B$2:$B$100,2)),VALUE(MID($B$2:$B$100,4,2)),VALUE(LEFT($B$2:$B$100,2))),0))&lt;IF(ISNUMBER(B8),B8,IFERROR(DATE(2000+VALUE(RIGHT(B8,2)),VALUE(MID(B8,4,2)),VALUE(LEFT(B8,2))),0))))+SUMPRODUCT(--($G$2:$G8&lt;&gt;"")*--ISERROR(SEARCH("WHEAT",$G$2:$G8))*--($H$2:$H8="OCCUPIED")*--($B$2:$B8&lt;&gt;"")*--(IF(ISNUMBER($B$2:$B8),$B$2:$B8,IFERROR(DATE(2000+VALUE(RIGHT($B$2:$B8,2)),VALUE(MID($B$2:$B8,4,2)),VALUE(LEFT($B$2:$B8,2))),0))=IF(ISNUMBER(B8),B8,IFERROR(DATE(2000+VALUE(RIGHT(B8,2)),VALUE(MID(B8,4,2)),VALUE(LEFT(B8,2))),0)))),""))</f>
        <v/>
      </c>
    </row>
    <row r="9" ht="15" customHeight="1" s="42">
      <c r="A9" s="61">
        <f>IF(D9="","",ROWS($D$2:D9))</f>
        <v/>
      </c>
      <c r="B9" s="79" t="n">
        <v>46249</v>
      </c>
      <c r="C9" s="90" t="n">
        <v>14</v>
      </c>
      <c r="D9" s="90" t="inlineStr">
        <is>
          <t>14A08</t>
        </is>
      </c>
      <c r="E9" s="80" t="n">
        <v>3497</v>
      </c>
      <c r="F9" s="81" t="n">
        <v>172.786144</v>
      </c>
      <c r="G9" s="80" t="inlineStr">
        <is>
          <t>FRK  RRA 2024-25</t>
        </is>
      </c>
      <c r="H9" s="61">
        <f>IF(AND(E9="",F9="",G9=""),"EMPTY","OCCUPIED")</f>
        <v/>
      </c>
      <c r="I9" s="62">
        <f>IF(B9="","",IF(ISNUMBER(B9),MAX(0,TODAY()-(IF(ISNUMBER(B9),B9,IFERROR(DATE(2000+VALUE(RIGHT(B9,2)),VALUE(MID(B9,4,2)),VALUE(LEFT(B9,2))),"")))),IFERROR(MAX(0,TODAY()-DATE(2000+VALUE(RIGHT(B9,2)),VALUE(MID(B9,4,2)),VALUE(LEFT(B9,2))),"")))</f>
        <v/>
      </c>
      <c r="J9" s="79" t="n"/>
      <c r="K9" s="79" t="n"/>
      <c r="L9" s="79" t="n"/>
      <c r="M9" s="44">
        <f>IF(AND(H9="OCCUPIED",J9&lt;&gt;"",K9=""),1,0)</f>
        <v/>
      </c>
      <c r="N9" s="44">
        <f>IF(M9=1,COUNTIF($M$2:M9,1),"")</f>
        <v/>
      </c>
      <c r="O9" s="60">
        <f>IF(AND(J9&lt;&gt;"",K9=""),IF(ISNUMBER(J9),IF(TODAY()-(IF(ISNUMBER(J9),J9,IFERROR(DATE(2000+VALUE(RIGHT(J9,2)),VALUE(MID(J9,4,2)),VALUE(LEFT(J9,2))),"")))&gt;5,1,0),IFERROR(IF(TODAY()-DATE(2000+VALUE(RIGHT(J9,2)),VALUE(MID(J9,4,2)),VALUE(LEFT(J9,2)))&gt;5,1,0),0)),0)</f>
        <v/>
      </c>
      <c r="P9" s="60">
        <f>IF(O9=1,COUNTIF($O$2:O9,1),"")</f>
        <v/>
      </c>
      <c r="Q9" s="77">
        <f>IF(OR(B9="",G9="",H9&lt;&gt;"OCCUPIED"),"",IF(ISNUMBER(SEARCH("WHEAT",G9)),SUMPRODUCT(--ISNUMBER(SEARCH("WHEAT",$G$2:$G$100))*--($H$2:$H$100="OCCUPIED")*--($B$2:$B$100&lt;&gt;"")*--(IF(ISNUMBER($B$2:$B$100),$B$2:$B$100,IFERROR(DATE(2000+VALUE(RIGHT($B$2:$B$100,2)),VALUE(MID($B$2:$B$100,4,2)),VALUE(LEFT($B$2:$B$100,2))),0))&lt;IF(ISNUMBER(B9),B9,IFERROR(DATE(2000+VALUE(RIGHT(B9,2)),VALUE(MID(B9,4,2)),VALUE(LEFT(B9,2))),0))))+SUMPRODUCT(--ISNUMBER(SEARCH("WHEAT",$G$2:$G9))*--($H$2:$H9="OCCUPIED")*--($B$2:$B9&lt;&gt;"")*--(IF(ISNUMBER($B$2:$B9),$B$2:$B9,IFERROR(DATE(2000+VALUE(RIGHT($B$2:$B9,2)),VALUE(MID($B$2:$B9,4,2)),VALUE(LEFT($B$2:$B9,2))),0))=IF(ISNUMBER(B9),B9,IFERROR(DATE(2000+VALUE(RIGHT(B9,2)),VALUE(MID(B9,4,2)),VALUE(LEFT(B9,2))),0)))),""))</f>
        <v/>
      </c>
      <c r="R9" s="77">
        <f>IF(OR(B9="",G9="",H9&lt;&gt;"OCCUPIED"),"",IF(NOT(ISNUMBER(SEARCH("WHEAT",G9))),SUMPRODUCT(--($G$2:$G$100&lt;&gt;"")*--ISERROR(SEARCH("WHEAT",$G$2:$G$100))*--($H$2:$H$100="OCCUPIED")*--($B$2:$B$100&lt;&gt;"")*--(IF(ISNUMBER($B$2:$B$100),$B$2:$B$100,IFERROR(DATE(2000+VALUE(RIGHT($B$2:$B$100,2)),VALUE(MID($B$2:$B$100,4,2)),VALUE(LEFT($B$2:$B$100,2))),0))&lt;IF(ISNUMBER(B9),B9,IFERROR(DATE(2000+VALUE(RIGHT(B9,2)),VALUE(MID(B9,4,2)),VALUE(LEFT(B9,2))),0))))+SUMPRODUCT(--($G$2:$G9&lt;&gt;"")*--ISERROR(SEARCH("WHEAT",$G$2:$G9))*--($H$2:$H9="OCCUPIED")*--($B$2:$B9&lt;&gt;"")*--(IF(ISNUMBER($B$2:$B9),$B$2:$B9,IFERROR(DATE(2000+VALUE(RIGHT($B$2:$B9,2)),VALUE(MID($B$2:$B9,4,2)),VALUE(LEFT($B$2:$B9,2))),0))=IF(ISNUMBER(B9),B9,IFERROR(DATE(2000+VALUE(RIGHT(B9,2)),VALUE(MID(B9,4,2)),VALUE(LEFT(B9,2))),0)))),""))</f>
        <v/>
      </c>
    </row>
    <row r="10" ht="15" customHeight="1" s="42">
      <c r="A10" s="55">
        <f>IF(D10="","",ROWS($D$2:D10))</f>
        <v/>
      </c>
      <c r="B10" s="79" t="n">
        <v>46249</v>
      </c>
      <c r="C10" s="89" t="n">
        <v>14</v>
      </c>
      <c r="D10" s="89" t="inlineStr">
        <is>
          <t>14A09</t>
        </is>
      </c>
      <c r="E10" s="80" t="n">
        <v>3501</v>
      </c>
      <c r="F10" s="81" t="n">
        <v>170.650613</v>
      </c>
      <c r="G10" s="80" t="inlineStr">
        <is>
          <t>FRK  RRA 2024-25</t>
        </is>
      </c>
      <c r="H10" s="55">
        <f>IF(AND(E10="",F10="",G10=""),"EMPTY","OCCUPIED")</f>
        <v/>
      </c>
      <c r="I10" s="59">
        <f>IF(B10="","",IF(ISNUMBER(B10),MAX(0,TODAY()-(IF(ISNUMBER(B10),B10,IFERROR(DATE(2000+VALUE(RIGHT(B10,2)),VALUE(MID(B10,4,2)),VALUE(LEFT(B10,2))),"")))),IFERROR(MAX(0,TODAY()-DATE(2000+VALUE(RIGHT(B10,2)),VALUE(MID(B10,4,2)),VALUE(LEFT(B10,2))),"")))</f>
        <v/>
      </c>
      <c r="J10" s="79" t="n"/>
      <c r="K10" s="79" t="n"/>
      <c r="L10" s="79" t="n"/>
      <c r="M10" s="44">
        <f>IF(AND(H10="OCCUPIED",J10&lt;&gt;"",K10=""),1,0)</f>
        <v/>
      </c>
      <c r="N10" s="44">
        <f>IF(M10=1,COUNTIF($M$2:M10,1),"")</f>
        <v/>
      </c>
      <c r="O10" s="60">
        <f>IF(AND(J10&lt;&gt;"",K10=""),IF(ISNUMBER(J10),IF(TODAY()-(IF(ISNUMBER(J10),J10,IFERROR(DATE(2000+VALUE(RIGHT(J10,2)),VALUE(MID(J10,4,2)),VALUE(LEFT(J10,2))),"")))&gt;5,1,0),IFERROR(IF(TODAY()-DATE(2000+VALUE(RIGHT(J10,2)),VALUE(MID(J10,4,2)),VALUE(LEFT(J10,2)))&gt;5,1,0),0)),0)</f>
        <v/>
      </c>
      <c r="P10" s="60">
        <f>IF(O10=1,COUNTIF($O$2:O10,1),"")</f>
        <v/>
      </c>
      <c r="Q10" s="77">
        <f>IF(OR(B10="",G10="",H10&lt;&gt;"OCCUPIED"),"",IF(ISNUMBER(SEARCH("WHEAT",G10)),SUMPRODUCT(--ISNUMBER(SEARCH("WHEAT",$G$2:$G$100))*--($H$2:$H$100="OCCUPIED")*--($B$2:$B$100&lt;&gt;"")*--(IF(ISNUMBER($B$2:$B$100),$B$2:$B$100,IFERROR(DATE(2000+VALUE(RIGHT($B$2:$B$100,2)),VALUE(MID($B$2:$B$100,4,2)),VALUE(LEFT($B$2:$B$100,2))),0))&lt;IF(ISNUMBER(B10),B10,IFERROR(DATE(2000+VALUE(RIGHT(B10,2)),VALUE(MID(B10,4,2)),VALUE(LEFT(B10,2))),0))))+SUMPRODUCT(--ISNUMBER(SEARCH("WHEAT",$G$2:$G10))*--($H$2:$H10="OCCUPIED")*--($B$2:$B10&lt;&gt;"")*--(IF(ISNUMBER($B$2:$B10),$B$2:$B10,IFERROR(DATE(2000+VALUE(RIGHT($B$2:$B10,2)),VALUE(MID($B$2:$B10,4,2)),VALUE(LEFT($B$2:$B10,2))),0))=IF(ISNUMBER(B10),B10,IFERROR(DATE(2000+VALUE(RIGHT(B10,2)),VALUE(MID(B10,4,2)),VALUE(LEFT(B10,2))),0)))),""))</f>
        <v/>
      </c>
      <c r="R10" s="77">
        <f>IF(OR(B10="",G10="",H10&lt;&gt;"OCCUPIED"),"",IF(NOT(ISNUMBER(SEARCH("WHEAT",G10))),SUMPRODUCT(--($G$2:$G$100&lt;&gt;"")*--ISERROR(SEARCH("WHEAT",$G$2:$G$100))*--($H$2:$H$100="OCCUPIED")*--($B$2:$B$100&lt;&gt;"")*--(IF(ISNUMBER($B$2:$B$100),$B$2:$B$100,IFERROR(DATE(2000+VALUE(RIGHT($B$2:$B$100,2)),VALUE(MID($B$2:$B$100,4,2)),VALUE(LEFT($B$2:$B$100,2))),0))&lt;IF(ISNUMBER(B10),B10,IFERROR(DATE(2000+VALUE(RIGHT(B10,2)),VALUE(MID(B10,4,2)),VALUE(LEFT(B10,2))),0))))+SUMPRODUCT(--($G$2:$G10&lt;&gt;"")*--ISERROR(SEARCH("WHEAT",$G$2:$G10))*--($H$2:$H10="OCCUPIED")*--($B$2:$B10&lt;&gt;"")*--(IF(ISNUMBER($B$2:$B10),$B$2:$B10,IFERROR(DATE(2000+VALUE(RIGHT($B$2:$B10,2)),VALUE(MID($B$2:$B10,4,2)),VALUE(LEFT($B$2:$B10,2))),0))=IF(ISNUMBER(B10),B10,IFERROR(DATE(2000+VALUE(RIGHT(B10,2)),VALUE(MID(B10,4,2)),VALUE(LEFT(B10,2))),0)))),""))</f>
        <v/>
      </c>
    </row>
    <row r="11" ht="15" customHeight="1" s="42">
      <c r="A11" s="61">
        <f>IF(D11="","",ROWS($D$2:D11))</f>
        <v/>
      </c>
      <c r="B11" s="79" t="n">
        <v>46249</v>
      </c>
      <c r="C11" s="90" t="n">
        <v>14</v>
      </c>
      <c r="D11" s="90" t="inlineStr">
        <is>
          <t>14B10</t>
        </is>
      </c>
      <c r="E11" s="80" t="n">
        <v>3501</v>
      </c>
      <c r="F11" s="81" t="n">
        <v>172.303651</v>
      </c>
      <c r="G11" s="80" t="inlineStr">
        <is>
          <t>FRK  RRA 2024-25</t>
        </is>
      </c>
      <c r="H11" s="61">
        <f>IF(AND(E11="",F11="",G11=""),"EMPTY","OCCUPIED")</f>
        <v/>
      </c>
      <c r="I11" s="62">
        <f>IF(B11="","",IF(ISNUMBER(B11),MAX(0,TODAY()-(IF(ISNUMBER(B11),B11,IFERROR(DATE(2000+VALUE(RIGHT(B11,2)),VALUE(MID(B11,4,2)),VALUE(LEFT(B11,2))),"")))),IFERROR(MAX(0,TODAY()-DATE(2000+VALUE(RIGHT(B11,2)),VALUE(MID(B11,4,2)),VALUE(LEFT(B11,2))),"")))</f>
        <v/>
      </c>
      <c r="J11" s="79" t="n"/>
      <c r="K11" s="79" t="n"/>
      <c r="L11" s="79" t="n"/>
      <c r="M11" s="44">
        <f>IF(AND(H11="OCCUPIED",J11&lt;&gt;"",K11=""),1,0)</f>
        <v/>
      </c>
      <c r="N11" s="44">
        <f>IF(M11=1,COUNTIF($M$2:M11,1),"")</f>
        <v/>
      </c>
      <c r="O11" s="60">
        <f>IF(AND(J11&lt;&gt;"",K11=""),IF(ISNUMBER(J11),IF(TODAY()-(IF(ISNUMBER(J11),J11,IFERROR(DATE(2000+VALUE(RIGHT(J11,2)),VALUE(MID(J11,4,2)),VALUE(LEFT(J11,2))),"")))&gt;5,1,0),IFERROR(IF(TODAY()-DATE(2000+VALUE(RIGHT(J11,2)),VALUE(MID(J11,4,2)),VALUE(LEFT(J11,2)))&gt;5,1,0),0)),0)</f>
        <v/>
      </c>
      <c r="P11" s="60">
        <f>IF(O11=1,COUNTIF($O$2:O11,1),"")</f>
        <v/>
      </c>
      <c r="Q11" s="77">
        <f>IF(OR(B11="",G11="",H11&lt;&gt;"OCCUPIED"),"",IF(ISNUMBER(SEARCH("WHEAT",G11)),SUMPRODUCT(--ISNUMBER(SEARCH("WHEAT",$G$2:$G$100))*--($H$2:$H$100="OCCUPIED")*--($B$2:$B$100&lt;&gt;"")*--(IF(ISNUMBER($B$2:$B$100),$B$2:$B$100,IFERROR(DATE(2000+VALUE(RIGHT($B$2:$B$100,2)),VALUE(MID($B$2:$B$100,4,2)),VALUE(LEFT($B$2:$B$100,2))),0))&lt;IF(ISNUMBER(B11),B11,IFERROR(DATE(2000+VALUE(RIGHT(B11,2)),VALUE(MID(B11,4,2)),VALUE(LEFT(B11,2))),0))))+SUMPRODUCT(--ISNUMBER(SEARCH("WHEAT",$G$2:$G11))*--($H$2:$H11="OCCUPIED")*--($B$2:$B11&lt;&gt;"")*--(IF(ISNUMBER($B$2:$B11),$B$2:$B11,IFERROR(DATE(2000+VALUE(RIGHT($B$2:$B11,2)),VALUE(MID($B$2:$B11,4,2)),VALUE(LEFT($B$2:$B11,2))),0))=IF(ISNUMBER(B11),B11,IFERROR(DATE(2000+VALUE(RIGHT(B11,2)),VALUE(MID(B11,4,2)),VALUE(LEFT(B11,2))),0)))),""))</f>
        <v/>
      </c>
      <c r="R11" s="77">
        <f>IF(OR(B11="",G11="",H11&lt;&gt;"OCCUPIED"),"",IF(NOT(ISNUMBER(SEARCH("WHEAT",G11))),SUMPRODUCT(--($G$2:$G$100&lt;&gt;"")*--ISERROR(SEARCH("WHEAT",$G$2:$G$100))*--($H$2:$H$100="OCCUPIED")*--($B$2:$B$100&lt;&gt;"")*--(IF(ISNUMBER($B$2:$B$100),$B$2:$B$100,IFERROR(DATE(2000+VALUE(RIGHT($B$2:$B$100,2)),VALUE(MID($B$2:$B$100,4,2)),VALUE(LEFT($B$2:$B$100,2))),0))&lt;IF(ISNUMBER(B11),B11,IFERROR(DATE(2000+VALUE(RIGHT(B11,2)),VALUE(MID(B11,4,2)),VALUE(LEFT(B11,2))),0))))+SUMPRODUCT(--($G$2:$G11&lt;&gt;"")*--ISERROR(SEARCH("WHEAT",$G$2:$G11))*--($H$2:$H11="OCCUPIED")*--($B$2:$B11&lt;&gt;"")*--(IF(ISNUMBER($B$2:$B11),$B$2:$B11,IFERROR(DATE(2000+VALUE(RIGHT($B$2:$B11,2)),VALUE(MID($B$2:$B11,4,2)),VALUE(LEFT($B$2:$B11,2))),0))=IF(ISNUMBER(B11),B11,IFERROR(DATE(2000+VALUE(RIGHT(B11,2)),VALUE(MID(B11,4,2)),VALUE(LEFT(B11,2))),0)))),""))</f>
        <v/>
      </c>
    </row>
    <row r="12" ht="15" customHeight="1" s="42">
      <c r="A12" s="55">
        <f>IF(D12="","",ROWS($D$2:D12))</f>
        <v/>
      </c>
      <c r="B12" s="79" t="n">
        <v>46249</v>
      </c>
      <c r="C12" s="89" t="n">
        <v>14</v>
      </c>
      <c r="D12" s="89" t="inlineStr">
        <is>
          <t>14B11</t>
        </is>
      </c>
      <c r="E12" s="80" t="n">
        <v>3259</v>
      </c>
      <c r="F12" s="81" t="n">
        <v>160.88036</v>
      </c>
      <c r="G12" s="80" t="inlineStr">
        <is>
          <t>FRK  RRA 2024-25</t>
        </is>
      </c>
      <c r="H12" s="55">
        <f>IF(AND(E12="",F12="",G12=""),"EMPTY","OCCUPIED")</f>
        <v/>
      </c>
      <c r="I12" s="59">
        <f>IF(B12="","",IF(ISNUMBER(B12),MAX(0,TODAY()-(IF(ISNUMBER(B12),B12,IFERROR(DATE(2000+VALUE(RIGHT(B12,2)),VALUE(MID(B12,4,2)),VALUE(LEFT(B12,2))),"")))),IFERROR(MAX(0,TODAY()-DATE(2000+VALUE(RIGHT(B12,2)),VALUE(MID(B12,4,2)),VALUE(LEFT(B12,2))),"")))</f>
        <v/>
      </c>
      <c r="J12" s="79" t="n"/>
      <c r="K12" s="79" t="n"/>
      <c r="L12" s="79" t="n"/>
      <c r="M12" s="44">
        <f>IF(AND(H12="OCCUPIED",J12&lt;&gt;"",K12=""),1,0)</f>
        <v/>
      </c>
      <c r="N12" s="44">
        <f>IF(M12=1,COUNTIF($M$2:M12,1),"")</f>
        <v/>
      </c>
      <c r="O12" s="60">
        <f>IF(AND(J12&lt;&gt;"",K12=""),IF(ISNUMBER(J12),IF(TODAY()-(IF(ISNUMBER(J12),J12,IFERROR(DATE(2000+VALUE(RIGHT(J12,2)),VALUE(MID(J12,4,2)),VALUE(LEFT(J12,2))),"")))&gt;5,1,0),IFERROR(IF(TODAY()-DATE(2000+VALUE(RIGHT(J12,2)),VALUE(MID(J12,4,2)),VALUE(LEFT(J12,2)))&gt;5,1,0),0)),0)</f>
        <v/>
      </c>
      <c r="P12" s="60">
        <f>IF(O12=1,COUNTIF($O$2:O12,1),"")</f>
        <v/>
      </c>
      <c r="Q12" s="77">
        <f>IF(OR(B12="",G12="",H12&lt;&gt;"OCCUPIED"),"",IF(ISNUMBER(SEARCH("WHEAT",G12)),SUMPRODUCT(--ISNUMBER(SEARCH("WHEAT",$G$2:$G$100))*--($H$2:$H$100="OCCUPIED")*--($B$2:$B$100&lt;&gt;"")*--(IF(ISNUMBER($B$2:$B$100),$B$2:$B$100,IFERROR(DATE(2000+VALUE(RIGHT($B$2:$B$100,2)),VALUE(MID($B$2:$B$100,4,2)),VALUE(LEFT($B$2:$B$100,2))),0))&lt;IF(ISNUMBER(B12),B12,IFERROR(DATE(2000+VALUE(RIGHT(B12,2)),VALUE(MID(B12,4,2)),VALUE(LEFT(B12,2))),0))))+SUMPRODUCT(--ISNUMBER(SEARCH("WHEAT",$G$2:$G12))*--($H$2:$H12="OCCUPIED")*--($B$2:$B12&lt;&gt;"")*--(IF(ISNUMBER($B$2:$B12),$B$2:$B12,IFERROR(DATE(2000+VALUE(RIGHT($B$2:$B12,2)),VALUE(MID($B$2:$B12,4,2)),VALUE(LEFT($B$2:$B12,2))),0))=IF(ISNUMBER(B12),B12,IFERROR(DATE(2000+VALUE(RIGHT(B12,2)),VALUE(MID(B12,4,2)),VALUE(LEFT(B12,2))),0)))),""))</f>
        <v/>
      </c>
      <c r="R12" s="77">
        <f>IF(OR(B12="",G12="",H12&lt;&gt;"OCCUPIED"),"",IF(NOT(ISNUMBER(SEARCH("WHEAT",G12))),SUMPRODUCT(--($G$2:$G$100&lt;&gt;"")*--ISERROR(SEARCH("WHEAT",$G$2:$G$100))*--($H$2:$H$100="OCCUPIED")*--($B$2:$B$100&lt;&gt;"")*--(IF(ISNUMBER($B$2:$B$100),$B$2:$B$100,IFERROR(DATE(2000+VALUE(RIGHT($B$2:$B$100,2)),VALUE(MID($B$2:$B$100,4,2)),VALUE(LEFT($B$2:$B$100,2))),0))&lt;IF(ISNUMBER(B12),B12,IFERROR(DATE(2000+VALUE(RIGHT(B12,2)),VALUE(MID(B12,4,2)),VALUE(LEFT(B12,2))),0))))+SUMPRODUCT(--($G$2:$G12&lt;&gt;"")*--ISERROR(SEARCH("WHEAT",$G$2:$G12))*--($H$2:$H12="OCCUPIED")*--($B$2:$B12&lt;&gt;"")*--(IF(ISNUMBER($B$2:$B12),$B$2:$B12,IFERROR(DATE(2000+VALUE(RIGHT($B$2:$B12,2)),VALUE(MID($B$2:$B12,4,2)),VALUE(LEFT($B$2:$B12,2))),0))=IF(ISNUMBER(B12),B12,IFERROR(DATE(2000+VALUE(RIGHT(B12,2)),VALUE(MID(B12,4,2)),VALUE(LEFT(B12,2))),0)))),""))</f>
        <v/>
      </c>
    </row>
    <row r="13" ht="15" customHeight="1" s="42">
      <c r="A13" s="61">
        <f>IF(D13="","",ROWS($D$2:D13))</f>
        <v/>
      </c>
      <c r="B13" s="79" t="n">
        <v>46249</v>
      </c>
      <c r="C13" s="90" t="n">
        <v>14</v>
      </c>
      <c r="D13" s="90" t="inlineStr">
        <is>
          <t>14B12</t>
        </is>
      </c>
      <c r="E13" s="80" t="n">
        <v>3501</v>
      </c>
      <c r="F13" s="81" t="n">
        <v>173.878683</v>
      </c>
      <c r="G13" s="80" t="inlineStr">
        <is>
          <t>FRK  RRA 2024-25</t>
        </is>
      </c>
      <c r="H13" s="61">
        <f>IF(AND(E13="",F13="",G13=""),"EMPTY","OCCUPIED")</f>
        <v/>
      </c>
      <c r="I13" s="62">
        <f>IF(B13="","",IF(ISNUMBER(B13),MAX(0,TODAY()-(IF(ISNUMBER(B13),B13,IFERROR(DATE(2000+VALUE(RIGHT(B13,2)),VALUE(MID(B13,4,2)),VALUE(LEFT(B13,2))),"")))),IFERROR(MAX(0,TODAY()-DATE(2000+VALUE(RIGHT(B13,2)),VALUE(MID(B13,4,2)),VALUE(LEFT(B13,2))),"")))</f>
        <v/>
      </c>
      <c r="J13" s="79" t="n"/>
      <c r="K13" s="79" t="n"/>
      <c r="L13" s="79" t="n"/>
      <c r="M13" s="44">
        <f>IF(AND(H13="OCCUPIED",J13&lt;&gt;"",K13=""),1,0)</f>
        <v/>
      </c>
      <c r="N13" s="44">
        <f>IF(M13=1,COUNTIF($M$2:M13,1),"")</f>
        <v/>
      </c>
      <c r="O13" s="60">
        <f>IF(AND(J13&lt;&gt;"",K13=""),IF(ISNUMBER(J13),IF(TODAY()-(IF(ISNUMBER(J13),J13,IFERROR(DATE(2000+VALUE(RIGHT(J13,2)),VALUE(MID(J13,4,2)),VALUE(LEFT(J13,2))),"")))&gt;5,1,0),IFERROR(IF(TODAY()-DATE(2000+VALUE(RIGHT(J13,2)),VALUE(MID(J13,4,2)),VALUE(LEFT(J13,2)))&gt;5,1,0),0)),0)</f>
        <v/>
      </c>
      <c r="P13" s="60">
        <f>IF(O13=1,COUNTIF($O$2:O13,1),"")</f>
        <v/>
      </c>
      <c r="Q13" s="77">
        <f>IF(OR(B13="",G13="",H13&lt;&gt;"OCCUPIED"),"",IF(ISNUMBER(SEARCH("WHEAT",G13)),SUMPRODUCT(--ISNUMBER(SEARCH("WHEAT",$G$2:$G$100))*--($H$2:$H$100="OCCUPIED")*--($B$2:$B$100&lt;&gt;"")*--(IF(ISNUMBER($B$2:$B$100),$B$2:$B$100,IFERROR(DATE(2000+VALUE(RIGHT($B$2:$B$100,2)),VALUE(MID($B$2:$B$100,4,2)),VALUE(LEFT($B$2:$B$100,2))),0))&lt;IF(ISNUMBER(B13),B13,IFERROR(DATE(2000+VALUE(RIGHT(B13,2)),VALUE(MID(B13,4,2)),VALUE(LEFT(B13,2))),0))))+SUMPRODUCT(--ISNUMBER(SEARCH("WHEAT",$G$2:$G13))*--($H$2:$H13="OCCUPIED")*--($B$2:$B13&lt;&gt;"")*--(IF(ISNUMBER($B$2:$B13),$B$2:$B13,IFERROR(DATE(2000+VALUE(RIGHT($B$2:$B13,2)),VALUE(MID($B$2:$B13,4,2)),VALUE(LEFT($B$2:$B13,2))),0))=IF(ISNUMBER(B13),B13,IFERROR(DATE(2000+VALUE(RIGHT(B13,2)),VALUE(MID(B13,4,2)),VALUE(LEFT(B13,2))),0)))),""))</f>
        <v/>
      </c>
      <c r="R13" s="77">
        <f>IF(OR(B13="",G13="",H13&lt;&gt;"OCCUPIED"),"",IF(NOT(ISNUMBER(SEARCH("WHEAT",G13))),SUMPRODUCT(--($G$2:$G$100&lt;&gt;"")*--ISERROR(SEARCH("WHEAT",$G$2:$G$100))*--($H$2:$H$100="OCCUPIED")*--($B$2:$B$100&lt;&gt;"")*--(IF(ISNUMBER($B$2:$B$100),$B$2:$B$100,IFERROR(DATE(2000+VALUE(RIGHT($B$2:$B$100,2)),VALUE(MID($B$2:$B$100,4,2)),VALUE(LEFT($B$2:$B$100,2))),0))&lt;IF(ISNUMBER(B13),B13,IFERROR(DATE(2000+VALUE(RIGHT(B13,2)),VALUE(MID(B13,4,2)),VALUE(LEFT(B13,2))),0))))+SUMPRODUCT(--($G$2:$G13&lt;&gt;"")*--ISERROR(SEARCH("WHEAT",$G$2:$G13))*--($H$2:$H13="OCCUPIED")*--($B$2:$B13&lt;&gt;"")*--(IF(ISNUMBER($B$2:$B13),$B$2:$B13,IFERROR(DATE(2000+VALUE(RIGHT($B$2:$B13,2)),VALUE(MID($B$2:$B13,4,2)),VALUE(LEFT($B$2:$B13,2))),0))=IF(ISNUMBER(B13),B13,IFERROR(DATE(2000+VALUE(RIGHT(B13,2)),VALUE(MID(B13,4,2)),VALUE(LEFT(B13,2))),0)))),""))</f>
        <v/>
      </c>
    </row>
    <row r="14" ht="15" customHeight="1" s="42">
      <c r="A14" s="55">
        <f>IF(D14="","",ROWS($D$2:D14))</f>
        <v/>
      </c>
      <c r="B14" s="79" t="n">
        <v>46249</v>
      </c>
      <c r="C14" s="89" t="n">
        <v>14</v>
      </c>
      <c r="D14" s="89" t="inlineStr">
        <is>
          <t>14B13</t>
        </is>
      </c>
      <c r="E14" s="80" t="n">
        <v>3029</v>
      </c>
      <c r="F14" s="81" t="n">
        <v>149.676154</v>
      </c>
      <c r="G14" s="80" t="inlineStr">
        <is>
          <t>FRK  RRA 2024-25</t>
        </is>
      </c>
      <c r="H14" s="55">
        <f>IF(AND(E14="",F14="",G14=""),"EMPTY","OCCUPIED")</f>
        <v/>
      </c>
      <c r="I14" s="59">
        <f>IF(B14="","",IF(ISNUMBER(B14),MAX(0,TODAY()-(IF(ISNUMBER(B14),B14,IFERROR(DATE(2000+VALUE(RIGHT(B14,2)),VALUE(MID(B14,4,2)),VALUE(LEFT(B14,2))),"")))),IFERROR(MAX(0,TODAY()-DATE(2000+VALUE(RIGHT(B14,2)),VALUE(MID(B14,4,2)),VALUE(LEFT(B14,2))),"")))</f>
        <v/>
      </c>
      <c r="J14" s="79" t="n"/>
      <c r="K14" s="79" t="n"/>
      <c r="L14" s="79" t="n"/>
      <c r="M14" s="44">
        <f>IF(AND(H14="OCCUPIED",J14&lt;&gt;"",K14=""),1,0)</f>
        <v/>
      </c>
      <c r="N14" s="44">
        <f>IF(M14=1,COUNTIF($M$2:M14,1),"")</f>
        <v/>
      </c>
      <c r="O14" s="60">
        <f>IF(AND(J14&lt;&gt;"",K14=""),IF(ISNUMBER(J14),IF(TODAY()-(IF(ISNUMBER(J14),J14,IFERROR(DATE(2000+VALUE(RIGHT(J14,2)),VALUE(MID(J14,4,2)),VALUE(LEFT(J14,2))),"")))&gt;5,1,0),IFERROR(IF(TODAY()-DATE(2000+VALUE(RIGHT(J14,2)),VALUE(MID(J14,4,2)),VALUE(LEFT(J14,2)))&gt;5,1,0),0)),0)</f>
        <v/>
      </c>
      <c r="P14" s="60">
        <f>IF(O14=1,COUNTIF($O$2:O14,1),"")</f>
        <v/>
      </c>
      <c r="Q14" s="77">
        <f>IF(OR(B14="",G14="",H14&lt;&gt;"OCCUPIED"),"",IF(ISNUMBER(SEARCH("WHEAT",G14)),SUMPRODUCT(--ISNUMBER(SEARCH("WHEAT",$G$2:$G$100))*--($H$2:$H$100="OCCUPIED")*--($B$2:$B$100&lt;&gt;"")*--(IF(ISNUMBER($B$2:$B$100),$B$2:$B$100,IFERROR(DATE(2000+VALUE(RIGHT($B$2:$B$100,2)),VALUE(MID($B$2:$B$100,4,2)),VALUE(LEFT($B$2:$B$100,2))),0))&lt;IF(ISNUMBER(B14),B14,IFERROR(DATE(2000+VALUE(RIGHT(B14,2)),VALUE(MID(B14,4,2)),VALUE(LEFT(B14,2))),0))))+SUMPRODUCT(--ISNUMBER(SEARCH("WHEAT",$G$2:$G14))*--($H$2:$H14="OCCUPIED")*--($B$2:$B14&lt;&gt;"")*--(IF(ISNUMBER($B$2:$B14),$B$2:$B14,IFERROR(DATE(2000+VALUE(RIGHT($B$2:$B14,2)),VALUE(MID($B$2:$B14,4,2)),VALUE(LEFT($B$2:$B14,2))),0))=IF(ISNUMBER(B14),B14,IFERROR(DATE(2000+VALUE(RIGHT(B14,2)),VALUE(MID(B14,4,2)),VALUE(LEFT(B14,2))),0)))),""))</f>
        <v/>
      </c>
      <c r="R14" s="77">
        <f>IF(OR(B14="",G14="",H14&lt;&gt;"OCCUPIED"),"",IF(NOT(ISNUMBER(SEARCH("WHEAT",G14))),SUMPRODUCT(--($G$2:$G$100&lt;&gt;"")*--ISERROR(SEARCH("WHEAT",$G$2:$G$100))*--($H$2:$H$100="OCCUPIED")*--($B$2:$B$100&lt;&gt;"")*--(IF(ISNUMBER($B$2:$B$100),$B$2:$B$100,IFERROR(DATE(2000+VALUE(RIGHT($B$2:$B$100,2)),VALUE(MID($B$2:$B$100,4,2)),VALUE(LEFT($B$2:$B$100,2))),0))&lt;IF(ISNUMBER(B14),B14,IFERROR(DATE(2000+VALUE(RIGHT(B14,2)),VALUE(MID(B14,4,2)),VALUE(LEFT(B14,2))),0))))+SUMPRODUCT(--($G$2:$G14&lt;&gt;"")*--ISERROR(SEARCH("WHEAT",$G$2:$G14))*--($H$2:$H14="OCCUPIED")*--($B$2:$B14&lt;&gt;"")*--(IF(ISNUMBER($B$2:$B14),$B$2:$B14,IFERROR(DATE(2000+VALUE(RIGHT($B$2:$B14,2)),VALUE(MID($B$2:$B14,4,2)),VALUE(LEFT($B$2:$B14,2))),0))=IF(ISNUMBER(B14),B14,IFERROR(DATE(2000+VALUE(RIGHT(B14,2)),VALUE(MID(B14,4,2)),VALUE(LEFT(B14,2))),0)))),""))</f>
        <v/>
      </c>
    </row>
    <row r="15" ht="15" customHeight="1" s="42">
      <c r="A15" s="61">
        <f>IF(D15="","",ROWS($D$2:D15))</f>
        <v/>
      </c>
      <c r="B15" s="79" t="n">
        <v>46249</v>
      </c>
      <c r="C15" s="90" t="n">
        <v>14</v>
      </c>
      <c r="D15" s="90" t="inlineStr">
        <is>
          <t>14B14</t>
        </is>
      </c>
      <c r="E15" s="80" t="n">
        <v>3501</v>
      </c>
      <c r="F15" s="81" t="n">
        <v>176.111963</v>
      </c>
      <c r="G15" s="80" t="inlineStr">
        <is>
          <t>WHEAT FAQ 2025-26</t>
        </is>
      </c>
      <c r="H15" s="61">
        <f>IF(AND(E15="",F15="",G15=""),"EMPTY","OCCUPIED")</f>
        <v/>
      </c>
      <c r="I15" s="62">
        <f>IF(B15="","",IF(ISNUMBER(B15),MAX(0,TODAY()-(IF(ISNUMBER(B15),B15,IFERROR(DATE(2000+VALUE(RIGHT(B15,2)),VALUE(MID(B15,4,2)),VALUE(LEFT(B15,2))),"")))),IFERROR(MAX(0,TODAY()-DATE(2000+VALUE(RIGHT(B15,2)),VALUE(MID(B15,4,2)),VALUE(LEFT(B15,2))),"")))</f>
        <v/>
      </c>
      <c r="J15" s="79" t="n"/>
      <c r="K15" s="79" t="n"/>
      <c r="L15" s="79" t="n"/>
      <c r="M15" s="44">
        <f>IF(AND(H15="OCCUPIED",J15&lt;&gt;"",K15=""),1,0)</f>
        <v/>
      </c>
      <c r="N15" s="44">
        <f>IF(M15=1,COUNTIF($M$2:M15,1),"")</f>
        <v/>
      </c>
      <c r="O15" s="60">
        <f>IF(AND(J15&lt;&gt;"",K15=""),IF(ISNUMBER(J15),IF(TODAY()-(IF(ISNUMBER(J15),J15,IFERROR(DATE(2000+VALUE(RIGHT(J15,2)),VALUE(MID(J15,4,2)),VALUE(LEFT(J15,2))),"")))&gt;5,1,0),IFERROR(IF(TODAY()-DATE(2000+VALUE(RIGHT(J15,2)),VALUE(MID(J15,4,2)),VALUE(LEFT(J15,2)))&gt;5,1,0),0)),0)</f>
        <v/>
      </c>
      <c r="P15" s="60">
        <f>IF(O15=1,COUNTIF($O$2:O15,1),"")</f>
        <v/>
      </c>
      <c r="Q15" s="77">
        <f>IF(OR(B15="",G15="",H15&lt;&gt;"OCCUPIED"),"",IF(ISNUMBER(SEARCH("WHEAT",G15)),SUMPRODUCT(--ISNUMBER(SEARCH("WHEAT",$G$2:$G$100))*--($H$2:$H$100="OCCUPIED")*--($B$2:$B$100&lt;&gt;"")*--(IF(ISNUMBER($B$2:$B$100),$B$2:$B$100,IFERROR(DATE(2000+VALUE(RIGHT($B$2:$B$100,2)),VALUE(MID($B$2:$B$100,4,2)),VALUE(LEFT($B$2:$B$100,2))),0))&lt;IF(ISNUMBER(B15),B15,IFERROR(DATE(2000+VALUE(RIGHT(B15,2)),VALUE(MID(B15,4,2)),VALUE(LEFT(B15,2))),0))))+SUMPRODUCT(--ISNUMBER(SEARCH("WHEAT",$G$2:$G15))*--($H$2:$H15="OCCUPIED")*--($B$2:$B15&lt;&gt;"")*--(IF(ISNUMBER($B$2:$B15),$B$2:$B15,IFERROR(DATE(2000+VALUE(RIGHT($B$2:$B15,2)),VALUE(MID($B$2:$B15,4,2)),VALUE(LEFT($B$2:$B15,2))),0))=IF(ISNUMBER(B15),B15,IFERROR(DATE(2000+VALUE(RIGHT(B15,2)),VALUE(MID(B15,4,2)),VALUE(LEFT(B15,2))),0)))),""))</f>
        <v/>
      </c>
      <c r="R15" s="77">
        <f>IF(OR(B15="",G15="",H15&lt;&gt;"OCCUPIED"),"",IF(NOT(ISNUMBER(SEARCH("WHEAT",G15))),SUMPRODUCT(--($G$2:$G$100&lt;&gt;"")*--ISERROR(SEARCH("WHEAT",$G$2:$G$100))*--($H$2:$H$100="OCCUPIED")*--($B$2:$B$100&lt;&gt;"")*--(IF(ISNUMBER($B$2:$B$100),$B$2:$B$100,IFERROR(DATE(2000+VALUE(RIGHT($B$2:$B$100,2)),VALUE(MID($B$2:$B$100,4,2)),VALUE(LEFT($B$2:$B$100,2))),0))&lt;IF(ISNUMBER(B15),B15,IFERROR(DATE(2000+VALUE(RIGHT(B15,2)),VALUE(MID(B15,4,2)),VALUE(LEFT(B15,2))),0))))+SUMPRODUCT(--($G$2:$G15&lt;&gt;"")*--ISERROR(SEARCH("WHEAT",$G$2:$G15))*--($H$2:$H15="OCCUPIED")*--($B$2:$B15&lt;&gt;"")*--(IF(ISNUMBER($B$2:$B15),$B$2:$B15,IFERROR(DATE(2000+VALUE(RIGHT($B$2:$B15,2)),VALUE(MID($B$2:$B15,4,2)),VALUE(LEFT($B$2:$B15,2))),0))=IF(ISNUMBER(B15),B15,IFERROR(DATE(2000+VALUE(RIGHT(B15,2)),VALUE(MID(B15,4,2)),VALUE(LEFT(B15,2))),0)))),""))</f>
        <v/>
      </c>
    </row>
    <row r="16" ht="15" customHeight="1" s="42">
      <c r="A16" s="55">
        <f>IF(D16="","",ROWS($D$2:D16))</f>
        <v/>
      </c>
      <c r="B16" s="79" t="n">
        <v>46249</v>
      </c>
      <c r="C16" s="89" t="n">
        <v>14</v>
      </c>
      <c r="D16" s="89" t="inlineStr">
        <is>
          <t>14B15</t>
        </is>
      </c>
      <c r="E16" s="80" t="n">
        <v>3501</v>
      </c>
      <c r="F16" s="81" t="n">
        <v>176.077448</v>
      </c>
      <c r="G16" s="80" t="inlineStr">
        <is>
          <t>WHEAT FAQ 2025-26</t>
        </is>
      </c>
      <c r="H16" s="55">
        <f>IF(AND(E16="",F16="",G16=""),"EMPTY","OCCUPIED")</f>
        <v/>
      </c>
      <c r="I16" s="59">
        <f>IF(B16="","",IF(ISNUMBER(B16),MAX(0,TODAY()-(IF(ISNUMBER(B16),B16,IFERROR(DATE(2000+VALUE(RIGHT(B16,2)),VALUE(MID(B16,4,2)),VALUE(LEFT(B16,2))),"")))),IFERROR(MAX(0,TODAY()-DATE(2000+VALUE(RIGHT(B16,2)),VALUE(MID(B16,4,2)),VALUE(LEFT(B16,2))),"")))</f>
        <v/>
      </c>
      <c r="J16" s="79" t="n"/>
      <c r="K16" s="79" t="n"/>
      <c r="L16" s="79" t="n"/>
      <c r="M16" s="44">
        <f>IF(AND(H16="OCCUPIED",J16&lt;&gt;"",K16=""),1,0)</f>
        <v/>
      </c>
      <c r="N16" s="44">
        <f>IF(M16=1,COUNTIF($M$2:M16,1),"")</f>
        <v/>
      </c>
      <c r="O16" s="60">
        <f>IF(AND(J16&lt;&gt;"",K16=""),IF(ISNUMBER(J16),IF(TODAY()-(IF(ISNUMBER(J16),J16,IFERROR(DATE(2000+VALUE(RIGHT(J16,2)),VALUE(MID(J16,4,2)),VALUE(LEFT(J16,2))),"")))&gt;5,1,0),IFERROR(IF(TODAY()-DATE(2000+VALUE(RIGHT(J16,2)),VALUE(MID(J16,4,2)),VALUE(LEFT(J16,2)))&gt;5,1,0),0)),0)</f>
        <v/>
      </c>
      <c r="P16" s="60">
        <f>IF(O16=1,COUNTIF($O$2:O16,1),"")</f>
        <v/>
      </c>
      <c r="Q16" s="77">
        <f>IF(OR(B16="",G16="",H16&lt;&gt;"OCCUPIED"),"",IF(ISNUMBER(SEARCH("WHEAT",G16)),SUMPRODUCT(--ISNUMBER(SEARCH("WHEAT",$G$2:$G$100))*--($H$2:$H$100="OCCUPIED")*--($B$2:$B$100&lt;&gt;"")*--(IF(ISNUMBER($B$2:$B$100),$B$2:$B$100,IFERROR(DATE(2000+VALUE(RIGHT($B$2:$B$100,2)),VALUE(MID($B$2:$B$100,4,2)),VALUE(LEFT($B$2:$B$100,2))),0))&lt;IF(ISNUMBER(B16),B16,IFERROR(DATE(2000+VALUE(RIGHT(B16,2)),VALUE(MID(B16,4,2)),VALUE(LEFT(B16,2))),0))))+SUMPRODUCT(--ISNUMBER(SEARCH("WHEAT",$G$2:$G16))*--($H$2:$H16="OCCUPIED")*--($B$2:$B16&lt;&gt;"")*--(IF(ISNUMBER($B$2:$B16),$B$2:$B16,IFERROR(DATE(2000+VALUE(RIGHT($B$2:$B16,2)),VALUE(MID($B$2:$B16,4,2)),VALUE(LEFT($B$2:$B16,2))),0))=IF(ISNUMBER(B16),B16,IFERROR(DATE(2000+VALUE(RIGHT(B16,2)),VALUE(MID(B16,4,2)),VALUE(LEFT(B16,2))),0)))),""))</f>
        <v/>
      </c>
      <c r="R16" s="77">
        <f>IF(OR(B16="",G16="",H16&lt;&gt;"OCCUPIED"),"",IF(NOT(ISNUMBER(SEARCH("WHEAT",G16))),SUMPRODUCT(--($G$2:$G$100&lt;&gt;"")*--ISERROR(SEARCH("WHEAT",$G$2:$G$100))*--($H$2:$H$100="OCCUPIED")*--($B$2:$B$100&lt;&gt;"")*--(IF(ISNUMBER($B$2:$B$100),$B$2:$B$100,IFERROR(DATE(2000+VALUE(RIGHT($B$2:$B$100,2)),VALUE(MID($B$2:$B$100,4,2)),VALUE(LEFT($B$2:$B$100,2))),0))&lt;IF(ISNUMBER(B16),B16,IFERROR(DATE(2000+VALUE(RIGHT(B16,2)),VALUE(MID(B16,4,2)),VALUE(LEFT(B16,2))),0))))+SUMPRODUCT(--($G$2:$G16&lt;&gt;"")*--ISERROR(SEARCH("WHEAT",$G$2:$G16))*--($H$2:$H16="OCCUPIED")*--($B$2:$B16&lt;&gt;"")*--(IF(ISNUMBER($B$2:$B16),$B$2:$B16,IFERROR(DATE(2000+VALUE(RIGHT($B$2:$B16,2)),VALUE(MID($B$2:$B16,4,2)),VALUE(LEFT($B$2:$B16,2))),0))=IF(ISNUMBER(B16),B16,IFERROR(DATE(2000+VALUE(RIGHT(B16,2)),VALUE(MID(B16,4,2)),VALUE(LEFT(B16,2))),0)))),""))</f>
        <v/>
      </c>
    </row>
    <row r="17" ht="15" customHeight="1" s="42">
      <c r="A17" s="61">
        <f>IF(D17="","",ROWS($D$2:D17))</f>
        <v/>
      </c>
      <c r="B17" s="79" t="n">
        <v>46249</v>
      </c>
      <c r="C17" s="90" t="n">
        <v>18</v>
      </c>
      <c r="D17" s="90" t="inlineStr">
        <is>
          <t>18A01</t>
        </is>
      </c>
      <c r="E17" s="80" t="n">
        <v>3501</v>
      </c>
      <c r="F17" s="81" t="n">
        <v>172.480731</v>
      </c>
      <c r="G17" s="80" t="inlineStr">
        <is>
          <t>FRK  RRA 2024-25</t>
        </is>
      </c>
      <c r="H17" s="61">
        <f>IF(AND(E17="",F17="",G17=""),"EMPTY","OCCUPIED")</f>
        <v/>
      </c>
      <c r="I17" s="62">
        <f>IF(B17="","",IF(ISNUMBER(B17),MAX(0,TODAY()-(IF(ISNUMBER(B17),B17,IFERROR(DATE(2000+VALUE(RIGHT(B17,2)),VALUE(MID(B17,4,2)),VALUE(LEFT(B17,2))),"")))),IFERROR(MAX(0,TODAY()-DATE(2000+VALUE(RIGHT(B17,2)),VALUE(MID(B17,4,2)),VALUE(LEFT(B17,2))),"")))</f>
        <v/>
      </c>
      <c r="J17" s="79" t="n"/>
      <c r="K17" s="79" t="n"/>
      <c r="L17" s="79" t="n"/>
      <c r="M17" s="44">
        <f>IF(AND(H17="OCCUPIED",J17&lt;&gt;"",K17=""),1,0)</f>
        <v/>
      </c>
      <c r="N17" s="44">
        <f>IF(M17=1,COUNTIF($M$2:M17,1),"")</f>
        <v/>
      </c>
      <c r="O17" s="60">
        <f>IF(AND(J17&lt;&gt;"",K17=""),IF(ISNUMBER(J17),IF(TODAY()-(IF(ISNUMBER(J17),J17,IFERROR(DATE(2000+VALUE(RIGHT(J17,2)),VALUE(MID(J17,4,2)),VALUE(LEFT(J17,2))),"")))&gt;5,1,0),IFERROR(IF(TODAY()-DATE(2000+VALUE(RIGHT(J17,2)),VALUE(MID(J17,4,2)),VALUE(LEFT(J17,2)))&gt;5,1,0),0)),0)</f>
        <v/>
      </c>
      <c r="P17" s="60">
        <f>IF(O17=1,COUNTIF($O$2:O17,1),"")</f>
        <v/>
      </c>
      <c r="Q17" s="77">
        <f>IF(OR(B17="",G17="",H17&lt;&gt;"OCCUPIED"),"",IF(ISNUMBER(SEARCH("WHEAT",G17)),SUMPRODUCT(--ISNUMBER(SEARCH("WHEAT",$G$2:$G$100))*--($H$2:$H$100="OCCUPIED")*--($B$2:$B$100&lt;&gt;"")*--(IF(ISNUMBER($B$2:$B$100),$B$2:$B$100,IFERROR(DATE(2000+VALUE(RIGHT($B$2:$B$100,2)),VALUE(MID($B$2:$B$100,4,2)),VALUE(LEFT($B$2:$B$100,2))),0))&lt;IF(ISNUMBER(B17),B17,IFERROR(DATE(2000+VALUE(RIGHT(B17,2)),VALUE(MID(B17,4,2)),VALUE(LEFT(B17,2))),0))))+SUMPRODUCT(--ISNUMBER(SEARCH("WHEAT",$G$2:$G17))*--($H$2:$H17="OCCUPIED")*--($B$2:$B17&lt;&gt;"")*--(IF(ISNUMBER($B$2:$B17),$B$2:$B17,IFERROR(DATE(2000+VALUE(RIGHT($B$2:$B17,2)),VALUE(MID($B$2:$B17,4,2)),VALUE(LEFT($B$2:$B17,2))),0))=IF(ISNUMBER(B17),B17,IFERROR(DATE(2000+VALUE(RIGHT(B17,2)),VALUE(MID(B17,4,2)),VALUE(LEFT(B17,2))),0)))),""))</f>
        <v/>
      </c>
      <c r="R17" s="77">
        <f>IF(OR(B17="",G17="",H17&lt;&gt;"OCCUPIED"),"",IF(NOT(ISNUMBER(SEARCH("WHEAT",G17))),SUMPRODUCT(--($G$2:$G$100&lt;&gt;"")*--ISERROR(SEARCH("WHEAT",$G$2:$G$100))*--($H$2:$H$100="OCCUPIED")*--($B$2:$B$100&lt;&gt;"")*--(IF(ISNUMBER($B$2:$B$100),$B$2:$B$100,IFERROR(DATE(2000+VALUE(RIGHT($B$2:$B$100,2)),VALUE(MID($B$2:$B$100,4,2)),VALUE(LEFT($B$2:$B$100,2))),0))&lt;IF(ISNUMBER(B17),B17,IFERROR(DATE(2000+VALUE(RIGHT(B17,2)),VALUE(MID(B17,4,2)),VALUE(LEFT(B17,2))),0))))+SUMPRODUCT(--($G$2:$G17&lt;&gt;"")*--ISERROR(SEARCH("WHEAT",$G$2:$G17))*--($H$2:$H17="OCCUPIED")*--($B$2:$B17&lt;&gt;"")*--(IF(ISNUMBER($B$2:$B17),$B$2:$B17,IFERROR(DATE(2000+VALUE(RIGHT($B$2:$B17,2)),VALUE(MID($B$2:$B17,4,2)),VALUE(LEFT($B$2:$B17,2))),0))=IF(ISNUMBER(B17),B17,IFERROR(DATE(2000+VALUE(RIGHT(B17,2)),VALUE(MID(B17,4,2)),VALUE(LEFT(B17,2))),0)))),""))</f>
        <v/>
      </c>
    </row>
    <row r="18" ht="15" customHeight="1" s="42">
      <c r="A18" s="55">
        <f>IF(D18="","",ROWS($D$2:D18))</f>
        <v/>
      </c>
      <c r="B18" s="79" t="n">
        <v>46249</v>
      </c>
      <c r="C18" s="89" t="n">
        <v>18</v>
      </c>
      <c r="D18" s="89" t="inlineStr">
        <is>
          <t>18A02</t>
        </is>
      </c>
      <c r="E18" s="80" t="n">
        <v>3501</v>
      </c>
      <c r="F18" s="81" t="n">
        <v>173.348281</v>
      </c>
      <c r="G18" s="80" t="inlineStr">
        <is>
          <t>FRK  RRA 2024-25</t>
        </is>
      </c>
      <c r="H18" s="55">
        <f>IF(AND(E18="",F18="",G18=""),"EMPTY","OCCUPIED")</f>
        <v/>
      </c>
      <c r="I18" s="59">
        <f>IF(B18="","",IF(ISNUMBER(B18),MAX(0,TODAY()-(IF(ISNUMBER(B18),B18,IFERROR(DATE(2000+VALUE(RIGHT(B18,2)),VALUE(MID(B18,4,2)),VALUE(LEFT(B18,2))),"")))),IFERROR(MAX(0,TODAY()-DATE(2000+VALUE(RIGHT(B18,2)),VALUE(MID(B18,4,2)),VALUE(LEFT(B18,2))),"")))</f>
        <v/>
      </c>
      <c r="J18" s="79" t="n"/>
      <c r="K18" s="79" t="n"/>
      <c r="L18" s="79" t="n"/>
      <c r="M18" s="44">
        <f>IF(AND(H18="OCCUPIED",J18&lt;&gt;"",K18=""),1,0)</f>
        <v/>
      </c>
      <c r="N18" s="44">
        <f>IF(M18=1,COUNTIF($M$2:M18,1),"")</f>
        <v/>
      </c>
      <c r="O18" s="60">
        <f>IF(AND(J18&lt;&gt;"",K18=""),IF(ISNUMBER(J18),IF(TODAY()-(IF(ISNUMBER(J18),J18,IFERROR(DATE(2000+VALUE(RIGHT(J18,2)),VALUE(MID(J18,4,2)),VALUE(LEFT(J18,2))),"")))&gt;5,1,0),IFERROR(IF(TODAY()-DATE(2000+VALUE(RIGHT(J18,2)),VALUE(MID(J18,4,2)),VALUE(LEFT(J18,2)))&gt;5,1,0),0)),0)</f>
        <v/>
      </c>
      <c r="P18" s="60">
        <f>IF(O18=1,COUNTIF($O$2:O18,1),"")</f>
        <v/>
      </c>
      <c r="Q18" s="77">
        <f>IF(OR(B18="",G18="",H18&lt;&gt;"OCCUPIED"),"",IF(ISNUMBER(SEARCH("WHEAT",G18)),SUMPRODUCT(--ISNUMBER(SEARCH("WHEAT",$G$2:$G$100))*--($H$2:$H$100="OCCUPIED")*--($B$2:$B$100&lt;&gt;"")*--(IF(ISNUMBER($B$2:$B$100),$B$2:$B$100,IFERROR(DATE(2000+VALUE(RIGHT($B$2:$B$100,2)),VALUE(MID($B$2:$B$100,4,2)),VALUE(LEFT($B$2:$B$100,2))),0))&lt;IF(ISNUMBER(B18),B18,IFERROR(DATE(2000+VALUE(RIGHT(B18,2)),VALUE(MID(B18,4,2)),VALUE(LEFT(B18,2))),0))))+SUMPRODUCT(--ISNUMBER(SEARCH("WHEAT",$G$2:$G18))*--($H$2:$H18="OCCUPIED")*--($B$2:$B18&lt;&gt;"")*--(IF(ISNUMBER($B$2:$B18),$B$2:$B18,IFERROR(DATE(2000+VALUE(RIGHT($B$2:$B18,2)),VALUE(MID($B$2:$B18,4,2)),VALUE(LEFT($B$2:$B18,2))),0))=IF(ISNUMBER(B18),B18,IFERROR(DATE(2000+VALUE(RIGHT(B18,2)),VALUE(MID(B18,4,2)),VALUE(LEFT(B18,2))),0)))),""))</f>
        <v/>
      </c>
      <c r="R18" s="77">
        <f>IF(OR(B18="",G18="",H18&lt;&gt;"OCCUPIED"),"",IF(NOT(ISNUMBER(SEARCH("WHEAT",G18))),SUMPRODUCT(--($G$2:$G$100&lt;&gt;"")*--ISERROR(SEARCH("WHEAT",$G$2:$G$100))*--($H$2:$H$100="OCCUPIED")*--($B$2:$B$100&lt;&gt;"")*--(IF(ISNUMBER($B$2:$B$100),$B$2:$B$100,IFERROR(DATE(2000+VALUE(RIGHT($B$2:$B$100,2)),VALUE(MID($B$2:$B$100,4,2)),VALUE(LEFT($B$2:$B$100,2))),0))&lt;IF(ISNUMBER(B18),B18,IFERROR(DATE(2000+VALUE(RIGHT(B18,2)),VALUE(MID(B18,4,2)),VALUE(LEFT(B18,2))),0))))+SUMPRODUCT(--($G$2:$G18&lt;&gt;"")*--ISERROR(SEARCH("WHEAT",$G$2:$G18))*--($H$2:$H18="OCCUPIED")*--($B$2:$B18&lt;&gt;"")*--(IF(ISNUMBER($B$2:$B18),$B$2:$B18,IFERROR(DATE(2000+VALUE(RIGHT($B$2:$B18,2)),VALUE(MID($B$2:$B18,4,2)),VALUE(LEFT($B$2:$B18,2))),0))=IF(ISNUMBER(B18),B18,IFERROR(DATE(2000+VALUE(RIGHT(B18,2)),VALUE(MID(B18,4,2)),VALUE(LEFT(B18,2))),0)))),""))</f>
        <v/>
      </c>
    </row>
    <row r="19" ht="15" customHeight="1" s="42">
      <c r="A19" s="61">
        <f>IF(D19="","",ROWS($D$2:D19))</f>
        <v/>
      </c>
      <c r="B19" s="79" t="n">
        <v>46249</v>
      </c>
      <c r="C19" s="90" t="n">
        <v>18</v>
      </c>
      <c r="D19" s="90" t="inlineStr">
        <is>
          <t>18A03</t>
        </is>
      </c>
      <c r="E19" s="80" t="n">
        <v>3501</v>
      </c>
      <c r="F19" s="81" t="n">
        <v>172.986342</v>
      </c>
      <c r="G19" s="80" t="inlineStr">
        <is>
          <t>FRK  RRA 2024-25</t>
        </is>
      </c>
      <c r="H19" s="61">
        <f>IF(AND(E19="",F19="",G19=""),"EMPTY","OCCUPIED")</f>
        <v/>
      </c>
      <c r="I19" s="62">
        <f>IF(B19="","",IF(ISNUMBER(B19),MAX(0,TODAY()-(IF(ISNUMBER(B19),B19,IFERROR(DATE(2000+VALUE(RIGHT(B19,2)),VALUE(MID(B19,4,2)),VALUE(LEFT(B19,2))),"")))),IFERROR(MAX(0,TODAY()-DATE(2000+VALUE(RIGHT(B19,2)),VALUE(MID(B19,4,2)),VALUE(LEFT(B19,2))),"")))</f>
        <v/>
      </c>
      <c r="J19" s="79" t="n"/>
      <c r="K19" s="79" t="n"/>
      <c r="L19" s="79" t="n"/>
      <c r="M19" s="44">
        <f>IF(AND(H19="OCCUPIED",J19&lt;&gt;"",K19=""),1,0)</f>
        <v/>
      </c>
      <c r="N19" s="44">
        <f>IF(M19=1,COUNTIF($M$2:M19,1),"")</f>
        <v/>
      </c>
      <c r="O19" s="60">
        <f>IF(AND(J19&lt;&gt;"",K19=""),IF(ISNUMBER(J19),IF(TODAY()-(IF(ISNUMBER(J19),J19,IFERROR(DATE(2000+VALUE(RIGHT(J19,2)),VALUE(MID(J19,4,2)),VALUE(LEFT(J19,2))),"")))&gt;5,1,0),IFERROR(IF(TODAY()-DATE(2000+VALUE(RIGHT(J19,2)),VALUE(MID(J19,4,2)),VALUE(LEFT(J19,2)))&gt;5,1,0),0)),0)</f>
        <v/>
      </c>
      <c r="P19" s="60">
        <f>IF(O19=1,COUNTIF($O$2:O19,1),"")</f>
        <v/>
      </c>
      <c r="Q19" s="77">
        <f>IF(OR(B19="",G19="",H19&lt;&gt;"OCCUPIED"),"",IF(ISNUMBER(SEARCH("WHEAT",G19)),SUMPRODUCT(--ISNUMBER(SEARCH("WHEAT",$G$2:$G$100))*--($H$2:$H$100="OCCUPIED")*--($B$2:$B$100&lt;&gt;"")*--(IF(ISNUMBER($B$2:$B$100),$B$2:$B$100,IFERROR(DATE(2000+VALUE(RIGHT($B$2:$B$100,2)),VALUE(MID($B$2:$B$100,4,2)),VALUE(LEFT($B$2:$B$100,2))),0))&lt;IF(ISNUMBER(B19),B19,IFERROR(DATE(2000+VALUE(RIGHT(B19,2)),VALUE(MID(B19,4,2)),VALUE(LEFT(B19,2))),0))))+SUMPRODUCT(--ISNUMBER(SEARCH("WHEAT",$G$2:$G19))*--($H$2:$H19="OCCUPIED")*--($B$2:$B19&lt;&gt;"")*--(IF(ISNUMBER($B$2:$B19),$B$2:$B19,IFERROR(DATE(2000+VALUE(RIGHT($B$2:$B19,2)),VALUE(MID($B$2:$B19,4,2)),VALUE(LEFT($B$2:$B19,2))),0))=IF(ISNUMBER(B19),B19,IFERROR(DATE(2000+VALUE(RIGHT(B19,2)),VALUE(MID(B19,4,2)),VALUE(LEFT(B19,2))),0)))),""))</f>
        <v/>
      </c>
      <c r="R19" s="77">
        <f>IF(OR(B19="",G19="",H19&lt;&gt;"OCCUPIED"),"",IF(NOT(ISNUMBER(SEARCH("WHEAT",G19))),SUMPRODUCT(--($G$2:$G$100&lt;&gt;"")*--ISERROR(SEARCH("WHEAT",$G$2:$G$100))*--($H$2:$H$100="OCCUPIED")*--($B$2:$B$100&lt;&gt;"")*--(IF(ISNUMBER($B$2:$B$100),$B$2:$B$100,IFERROR(DATE(2000+VALUE(RIGHT($B$2:$B$100,2)),VALUE(MID($B$2:$B$100,4,2)),VALUE(LEFT($B$2:$B$100,2))),0))&lt;IF(ISNUMBER(B19),B19,IFERROR(DATE(2000+VALUE(RIGHT(B19,2)),VALUE(MID(B19,4,2)),VALUE(LEFT(B19,2))),0))))+SUMPRODUCT(--($G$2:$G19&lt;&gt;"")*--ISERROR(SEARCH("WHEAT",$G$2:$G19))*--($H$2:$H19="OCCUPIED")*--($B$2:$B19&lt;&gt;"")*--(IF(ISNUMBER($B$2:$B19),$B$2:$B19,IFERROR(DATE(2000+VALUE(RIGHT($B$2:$B19,2)),VALUE(MID($B$2:$B19,4,2)),VALUE(LEFT($B$2:$B19,2))),0))=IF(ISNUMBER(B19),B19,IFERROR(DATE(2000+VALUE(RIGHT(B19,2)),VALUE(MID(B19,4,2)),VALUE(LEFT(B19,2))),0)))),""))</f>
        <v/>
      </c>
    </row>
    <row r="20" ht="15" customHeight="1" s="42">
      <c r="A20" s="55">
        <f>IF(D20="","",ROWS($D$2:D20))</f>
        <v/>
      </c>
      <c r="B20" s="79" t="n">
        <v>46249</v>
      </c>
      <c r="C20" s="89" t="n">
        <v>18</v>
      </c>
      <c r="D20" s="89" t="inlineStr">
        <is>
          <t>18A04</t>
        </is>
      </c>
      <c r="E20" s="80" t="n">
        <v>3501</v>
      </c>
      <c r="F20" s="81" t="n">
        <v>170.648875</v>
      </c>
      <c r="G20" s="80" t="inlineStr">
        <is>
          <t>FRK  RRA 2024-25</t>
        </is>
      </c>
      <c r="H20" s="55">
        <f>IF(AND(E20="",F20="",G20=""),"EMPTY","OCCUPIED")</f>
        <v/>
      </c>
      <c r="I20" s="59">
        <f>IF(B20="","",IF(ISNUMBER(B20),MAX(0,TODAY()-(IF(ISNUMBER(B20),B20,IFERROR(DATE(2000+VALUE(RIGHT(B20,2)),VALUE(MID(B20,4,2)),VALUE(LEFT(B20,2))),"")))),IFERROR(MAX(0,TODAY()-DATE(2000+VALUE(RIGHT(B20,2)),VALUE(MID(B20,4,2)),VALUE(LEFT(B20,2))),"")))</f>
        <v/>
      </c>
      <c r="J20" s="79" t="n"/>
      <c r="K20" s="79" t="n"/>
      <c r="L20" s="79" t="n"/>
      <c r="M20" s="44">
        <f>IF(AND(H20="OCCUPIED",J20&lt;&gt;"",K20=""),1,0)</f>
        <v/>
      </c>
      <c r="N20" s="44">
        <f>IF(M20=1,COUNTIF($M$2:M20,1),"")</f>
        <v/>
      </c>
      <c r="O20" s="60">
        <f>IF(AND(J20&lt;&gt;"",K20=""),IF(ISNUMBER(J20),IF(TODAY()-(IF(ISNUMBER(J20),J20,IFERROR(DATE(2000+VALUE(RIGHT(J20,2)),VALUE(MID(J20,4,2)),VALUE(LEFT(J20,2))),"")))&gt;5,1,0),IFERROR(IF(TODAY()-DATE(2000+VALUE(RIGHT(J20,2)),VALUE(MID(J20,4,2)),VALUE(LEFT(J20,2)))&gt;5,1,0),0)),0)</f>
        <v/>
      </c>
      <c r="P20" s="60">
        <f>IF(O20=1,COUNTIF($O$2:O20,1),"")</f>
        <v/>
      </c>
      <c r="Q20" s="77">
        <f>IF(OR(B20="",G20="",H20&lt;&gt;"OCCUPIED"),"",IF(ISNUMBER(SEARCH("WHEAT",G20)),SUMPRODUCT(--ISNUMBER(SEARCH("WHEAT",$G$2:$G$100))*--($H$2:$H$100="OCCUPIED")*--($B$2:$B$100&lt;&gt;"")*--(IF(ISNUMBER($B$2:$B$100),$B$2:$B$100,IFERROR(DATE(2000+VALUE(RIGHT($B$2:$B$100,2)),VALUE(MID($B$2:$B$100,4,2)),VALUE(LEFT($B$2:$B$100,2))),0))&lt;IF(ISNUMBER(B20),B20,IFERROR(DATE(2000+VALUE(RIGHT(B20,2)),VALUE(MID(B20,4,2)),VALUE(LEFT(B20,2))),0))))+SUMPRODUCT(--ISNUMBER(SEARCH("WHEAT",$G$2:$G20))*--($H$2:$H20="OCCUPIED")*--($B$2:$B20&lt;&gt;"")*--(IF(ISNUMBER($B$2:$B20),$B$2:$B20,IFERROR(DATE(2000+VALUE(RIGHT($B$2:$B20,2)),VALUE(MID($B$2:$B20,4,2)),VALUE(LEFT($B$2:$B20,2))),0))=IF(ISNUMBER(B20),B20,IFERROR(DATE(2000+VALUE(RIGHT(B20,2)),VALUE(MID(B20,4,2)),VALUE(LEFT(B20,2))),0)))),""))</f>
        <v/>
      </c>
      <c r="R20" s="77">
        <f>IF(OR(B20="",G20="",H20&lt;&gt;"OCCUPIED"),"",IF(NOT(ISNUMBER(SEARCH("WHEAT",G20))),SUMPRODUCT(--($G$2:$G$100&lt;&gt;"")*--ISERROR(SEARCH("WHEAT",$G$2:$G$100))*--($H$2:$H$100="OCCUPIED")*--($B$2:$B$100&lt;&gt;"")*--(IF(ISNUMBER($B$2:$B$100),$B$2:$B$100,IFERROR(DATE(2000+VALUE(RIGHT($B$2:$B$100,2)),VALUE(MID($B$2:$B$100,4,2)),VALUE(LEFT($B$2:$B$100,2))),0))&lt;IF(ISNUMBER(B20),B20,IFERROR(DATE(2000+VALUE(RIGHT(B20,2)),VALUE(MID(B20,4,2)),VALUE(LEFT(B20,2))),0))))+SUMPRODUCT(--($G$2:$G20&lt;&gt;"")*--ISERROR(SEARCH("WHEAT",$G$2:$G20))*--($H$2:$H20="OCCUPIED")*--($B$2:$B20&lt;&gt;"")*--(IF(ISNUMBER($B$2:$B20),$B$2:$B20,IFERROR(DATE(2000+VALUE(RIGHT($B$2:$B20,2)),VALUE(MID($B$2:$B20,4,2)),VALUE(LEFT($B$2:$B20,2))),0))=IF(ISNUMBER(B20),B20,IFERROR(DATE(2000+VALUE(RIGHT(B20,2)),VALUE(MID(B20,4,2)),VALUE(LEFT(B20,2))),0)))),""))</f>
        <v/>
      </c>
    </row>
    <row r="21" ht="15" customHeight="1" s="42">
      <c r="A21" s="61">
        <f>IF(D21="","",ROWS($D$2:D21))</f>
        <v/>
      </c>
      <c r="B21" s="79" t="n"/>
      <c r="C21" s="90" t="n">
        <v>18</v>
      </c>
      <c r="D21" s="90" t="inlineStr">
        <is>
          <t>18A05</t>
        </is>
      </c>
      <c r="E21" s="80" t="n"/>
      <c r="F21" s="81" t="n"/>
      <c r="G21" s="80" t="n"/>
      <c r="H21" s="61">
        <f>IF(AND(E21="",F21="",G21=""),"EMPTY","OCCUPIED")</f>
        <v/>
      </c>
      <c r="I21" s="62">
        <f>IF(B21="","",IF(ISNUMBER(B21),MAX(0,TODAY()-(IF(ISNUMBER(B21),B21,IFERROR(DATE(2000+VALUE(RIGHT(B21,2)),VALUE(MID(B21,4,2)),VALUE(LEFT(B21,2))),"")))),IFERROR(MAX(0,TODAY()-DATE(2000+VALUE(RIGHT(B21,2)),VALUE(MID(B21,4,2)),VALUE(LEFT(B21,2))),"")))</f>
        <v/>
      </c>
      <c r="J21" s="79" t="n"/>
      <c r="K21" s="79" t="n"/>
      <c r="L21" s="79" t="n"/>
      <c r="M21" s="44">
        <f>IF(AND(H21="OCCUPIED",J21&lt;&gt;"",K21=""),1,0)</f>
        <v/>
      </c>
      <c r="N21" s="44">
        <f>IF(M21=1,COUNTIF($M$2:M21,1),"")</f>
        <v/>
      </c>
      <c r="O21" s="60">
        <f>IF(AND(J21&lt;&gt;"",K21=""),IF(ISNUMBER(J21),IF(TODAY()-(IF(ISNUMBER(J21),J21,IFERROR(DATE(2000+VALUE(RIGHT(J21,2)),VALUE(MID(J21,4,2)),VALUE(LEFT(J21,2))),"")))&gt;5,1,0),IFERROR(IF(TODAY()-DATE(2000+VALUE(RIGHT(J21,2)),VALUE(MID(J21,4,2)),VALUE(LEFT(J21,2)))&gt;5,1,0),0)),0)</f>
        <v/>
      </c>
      <c r="P21" s="60">
        <f>IF(O21=1,COUNTIF($O$2:O21,1),"")</f>
        <v/>
      </c>
      <c r="Q21" s="77">
        <f>IF(OR(B21="",G21="",H21&lt;&gt;"OCCUPIED"),"",IF(ISNUMBER(SEARCH("WHEAT",G21)),SUMPRODUCT(--ISNUMBER(SEARCH("WHEAT",$G$2:$G$100))*--($H$2:$H$100="OCCUPIED")*--($B$2:$B$100&lt;&gt;"")*--(IF(ISNUMBER($B$2:$B$100),$B$2:$B$100,IFERROR(DATE(2000+VALUE(RIGHT($B$2:$B$100,2)),VALUE(MID($B$2:$B$100,4,2)),VALUE(LEFT($B$2:$B$100,2))),0))&lt;IF(ISNUMBER(B21),B21,IFERROR(DATE(2000+VALUE(RIGHT(B21,2)),VALUE(MID(B21,4,2)),VALUE(LEFT(B21,2))),0))))+SUMPRODUCT(--ISNUMBER(SEARCH("WHEAT",$G$2:$G21))*--($H$2:$H21="OCCUPIED")*--($B$2:$B21&lt;&gt;"")*--(IF(ISNUMBER($B$2:$B21),$B$2:$B21,IFERROR(DATE(2000+VALUE(RIGHT($B$2:$B21,2)),VALUE(MID($B$2:$B21,4,2)),VALUE(LEFT($B$2:$B21,2))),0))=IF(ISNUMBER(B21),B21,IFERROR(DATE(2000+VALUE(RIGHT(B21,2)),VALUE(MID(B21,4,2)),VALUE(LEFT(B21,2))),0)))),""))</f>
        <v/>
      </c>
      <c r="R21" s="77">
        <f>IF(OR(B21="",G21="",H21&lt;&gt;"OCCUPIED"),"",IF(NOT(ISNUMBER(SEARCH("WHEAT",G21))),SUMPRODUCT(--($G$2:$G$100&lt;&gt;"")*--ISERROR(SEARCH("WHEAT",$G$2:$G$100))*--($H$2:$H$100="OCCUPIED")*--($B$2:$B$100&lt;&gt;"")*--(IF(ISNUMBER($B$2:$B$100),$B$2:$B$100,IFERROR(DATE(2000+VALUE(RIGHT($B$2:$B$100,2)),VALUE(MID($B$2:$B$100,4,2)),VALUE(LEFT($B$2:$B$100,2))),0))&lt;IF(ISNUMBER(B21),B21,IFERROR(DATE(2000+VALUE(RIGHT(B21,2)),VALUE(MID(B21,4,2)),VALUE(LEFT(B21,2))),0))))+SUMPRODUCT(--($G$2:$G21&lt;&gt;"")*--ISERROR(SEARCH("WHEAT",$G$2:$G21))*--($H$2:$H21="OCCUPIED")*--($B$2:$B21&lt;&gt;"")*--(IF(ISNUMBER($B$2:$B21),$B$2:$B21,IFERROR(DATE(2000+VALUE(RIGHT($B$2:$B21,2)),VALUE(MID($B$2:$B21,4,2)),VALUE(LEFT($B$2:$B21,2))),0))=IF(ISNUMBER(B21),B21,IFERROR(DATE(2000+VALUE(RIGHT(B21,2)),VALUE(MID(B21,4,2)),VALUE(LEFT(B21,2))),0)))),""))</f>
        <v/>
      </c>
    </row>
    <row r="22" ht="15" customHeight="1" s="42">
      <c r="A22" s="55">
        <f>IF(D22="","",ROWS($D$2:D22))</f>
        <v/>
      </c>
      <c r="B22" s="79" t="n"/>
      <c r="C22" s="89" t="n">
        <v>18</v>
      </c>
      <c r="D22" s="89" t="inlineStr">
        <is>
          <t>18A06</t>
        </is>
      </c>
      <c r="E22" s="80" t="n"/>
      <c r="F22" s="81" t="n"/>
      <c r="G22" s="80" t="n"/>
      <c r="H22" s="55">
        <f>IF(AND(E22="",F22="",G22=""),"EMPTY","OCCUPIED")</f>
        <v/>
      </c>
      <c r="I22" s="59">
        <f>IF(B22="","",IF(ISNUMBER(B22),MAX(0,TODAY()-(IF(ISNUMBER(B22),B22,IFERROR(DATE(2000+VALUE(RIGHT(B22,2)),VALUE(MID(B22,4,2)),VALUE(LEFT(B22,2))),"")))),IFERROR(MAX(0,TODAY()-DATE(2000+VALUE(RIGHT(B22,2)),VALUE(MID(B22,4,2)),VALUE(LEFT(B22,2))),"")))</f>
        <v/>
      </c>
      <c r="J22" s="79" t="n"/>
      <c r="K22" s="79" t="n"/>
      <c r="L22" s="79" t="n"/>
      <c r="M22" s="44">
        <f>IF(AND(H22="OCCUPIED",J22&lt;&gt;"",K22=""),1,0)</f>
        <v/>
      </c>
      <c r="N22" s="44">
        <f>IF(M22=1,COUNTIF($M$2:M22,1),"")</f>
        <v/>
      </c>
      <c r="O22" s="60">
        <f>IF(AND(J22&lt;&gt;"",K22=""),IF(ISNUMBER(J22),IF(TODAY()-(IF(ISNUMBER(J22),J22,IFERROR(DATE(2000+VALUE(RIGHT(J22,2)),VALUE(MID(J22,4,2)),VALUE(LEFT(J22,2))),"")))&gt;5,1,0),IFERROR(IF(TODAY()-DATE(2000+VALUE(RIGHT(J22,2)),VALUE(MID(J22,4,2)),VALUE(LEFT(J22,2)))&gt;5,1,0),0)),0)</f>
        <v/>
      </c>
      <c r="P22" s="60">
        <f>IF(O22=1,COUNTIF($O$2:O22,1),"")</f>
        <v/>
      </c>
      <c r="Q22" s="77">
        <f>IF(OR(B22="",G22="",H22&lt;&gt;"OCCUPIED"),"",IF(ISNUMBER(SEARCH("WHEAT",G22)),SUMPRODUCT(--ISNUMBER(SEARCH("WHEAT",$G$2:$G$100))*--($H$2:$H$100="OCCUPIED")*--($B$2:$B$100&lt;&gt;"")*--(IF(ISNUMBER($B$2:$B$100),$B$2:$B$100,IFERROR(DATE(2000+VALUE(RIGHT($B$2:$B$100,2)),VALUE(MID($B$2:$B$100,4,2)),VALUE(LEFT($B$2:$B$100,2))),0))&lt;IF(ISNUMBER(B22),B22,IFERROR(DATE(2000+VALUE(RIGHT(B22,2)),VALUE(MID(B22,4,2)),VALUE(LEFT(B22,2))),0))))+SUMPRODUCT(--ISNUMBER(SEARCH("WHEAT",$G$2:$G22))*--($H$2:$H22="OCCUPIED")*--($B$2:$B22&lt;&gt;"")*--(IF(ISNUMBER($B$2:$B22),$B$2:$B22,IFERROR(DATE(2000+VALUE(RIGHT($B$2:$B22,2)),VALUE(MID($B$2:$B22,4,2)),VALUE(LEFT($B$2:$B22,2))),0))=IF(ISNUMBER(B22),B22,IFERROR(DATE(2000+VALUE(RIGHT(B22,2)),VALUE(MID(B22,4,2)),VALUE(LEFT(B22,2))),0)))),""))</f>
        <v/>
      </c>
      <c r="R22" s="77">
        <f>IF(OR(B22="",G22="",H22&lt;&gt;"OCCUPIED"),"",IF(NOT(ISNUMBER(SEARCH("WHEAT",G22))),SUMPRODUCT(--($G$2:$G$100&lt;&gt;"")*--ISERROR(SEARCH("WHEAT",$G$2:$G$100))*--($H$2:$H$100="OCCUPIED")*--($B$2:$B$100&lt;&gt;"")*--(IF(ISNUMBER($B$2:$B$100),$B$2:$B$100,IFERROR(DATE(2000+VALUE(RIGHT($B$2:$B$100,2)),VALUE(MID($B$2:$B$100,4,2)),VALUE(LEFT($B$2:$B$100,2))),0))&lt;IF(ISNUMBER(B22),B22,IFERROR(DATE(2000+VALUE(RIGHT(B22,2)),VALUE(MID(B22,4,2)),VALUE(LEFT(B22,2))),0))))+SUMPRODUCT(--($G$2:$G22&lt;&gt;"")*--ISERROR(SEARCH("WHEAT",$G$2:$G22))*--($H$2:$H22="OCCUPIED")*--($B$2:$B22&lt;&gt;"")*--(IF(ISNUMBER($B$2:$B22),$B$2:$B22,IFERROR(DATE(2000+VALUE(RIGHT($B$2:$B22,2)),VALUE(MID($B$2:$B22,4,2)),VALUE(LEFT($B$2:$B22,2))),0))=IF(ISNUMBER(B22),B22,IFERROR(DATE(2000+VALUE(RIGHT(B22,2)),VALUE(MID(B22,4,2)),VALUE(LEFT(B22,2))),0)))),""))</f>
        <v/>
      </c>
    </row>
    <row r="23" ht="15" customHeight="1" s="42">
      <c r="A23" s="61">
        <f>IF(D23="","",ROWS($D$2:D23))</f>
        <v/>
      </c>
      <c r="B23" s="79" t="n">
        <v>46249</v>
      </c>
      <c r="C23" s="90" t="n">
        <v>18</v>
      </c>
      <c r="D23" s="90" t="inlineStr">
        <is>
          <t>18A07</t>
        </is>
      </c>
      <c r="E23" s="80" t="n">
        <v>1897</v>
      </c>
      <c r="F23" s="81" t="n">
        <v>92.47653800000001</v>
      </c>
      <c r="G23" s="80" t="inlineStr">
        <is>
          <t>FRK  RRA 2024-25</t>
        </is>
      </c>
      <c r="H23" s="61">
        <f>IF(AND(E23="",F23="",G23=""),"EMPTY","OCCUPIED")</f>
        <v/>
      </c>
      <c r="I23" s="62">
        <f>IF(B23="","",IF(ISNUMBER(B23),MAX(0,TODAY()-(IF(ISNUMBER(B23),B23,IFERROR(DATE(2000+VALUE(RIGHT(B23,2)),VALUE(MID(B23,4,2)),VALUE(LEFT(B23,2))),"")))),IFERROR(MAX(0,TODAY()-DATE(2000+VALUE(RIGHT(B23,2)),VALUE(MID(B23,4,2)),VALUE(LEFT(B23,2))),"")))</f>
        <v/>
      </c>
      <c r="J23" s="79" t="n"/>
      <c r="K23" s="79" t="n"/>
      <c r="L23" s="79" t="n"/>
      <c r="M23" s="44">
        <f>IF(AND(H23="OCCUPIED",J23&lt;&gt;"",K23=""),1,0)</f>
        <v/>
      </c>
      <c r="N23" s="44">
        <f>IF(M23=1,COUNTIF($M$2:M23,1),"")</f>
        <v/>
      </c>
      <c r="O23" s="60">
        <f>IF(AND(J23&lt;&gt;"",K23=""),IF(ISNUMBER(J23),IF(TODAY()-(IF(ISNUMBER(J23),J23,IFERROR(DATE(2000+VALUE(RIGHT(J23,2)),VALUE(MID(J23,4,2)),VALUE(LEFT(J23,2))),"")))&gt;5,1,0),IFERROR(IF(TODAY()-DATE(2000+VALUE(RIGHT(J23,2)),VALUE(MID(J23,4,2)),VALUE(LEFT(J23,2)))&gt;5,1,0),0)),0)</f>
        <v/>
      </c>
      <c r="P23" s="60">
        <f>IF(O23=1,COUNTIF($O$2:O23,1),"")</f>
        <v/>
      </c>
      <c r="Q23" s="77">
        <f>IF(OR(B23="",G23="",H23&lt;&gt;"OCCUPIED"),"",IF(ISNUMBER(SEARCH("WHEAT",G23)),SUMPRODUCT(--ISNUMBER(SEARCH("WHEAT",$G$2:$G$100))*--($H$2:$H$100="OCCUPIED")*--($B$2:$B$100&lt;&gt;"")*--(IF(ISNUMBER($B$2:$B$100),$B$2:$B$100,IFERROR(DATE(2000+VALUE(RIGHT($B$2:$B$100,2)),VALUE(MID($B$2:$B$100,4,2)),VALUE(LEFT($B$2:$B$100,2))),0))&lt;IF(ISNUMBER(B23),B23,IFERROR(DATE(2000+VALUE(RIGHT(B23,2)),VALUE(MID(B23,4,2)),VALUE(LEFT(B23,2))),0))))+SUMPRODUCT(--ISNUMBER(SEARCH("WHEAT",$G$2:$G23))*--($H$2:$H23="OCCUPIED")*--($B$2:$B23&lt;&gt;"")*--(IF(ISNUMBER($B$2:$B23),$B$2:$B23,IFERROR(DATE(2000+VALUE(RIGHT($B$2:$B23,2)),VALUE(MID($B$2:$B23,4,2)),VALUE(LEFT($B$2:$B23,2))),0))=IF(ISNUMBER(B23),B23,IFERROR(DATE(2000+VALUE(RIGHT(B23,2)),VALUE(MID(B23,4,2)),VALUE(LEFT(B23,2))),0)))),""))</f>
        <v/>
      </c>
      <c r="R23" s="77">
        <f>IF(OR(B23="",G23="",H23&lt;&gt;"OCCUPIED"),"",IF(NOT(ISNUMBER(SEARCH("WHEAT",G23))),SUMPRODUCT(--($G$2:$G$100&lt;&gt;"")*--ISERROR(SEARCH("WHEAT",$G$2:$G$100))*--($H$2:$H$100="OCCUPIED")*--($B$2:$B$100&lt;&gt;"")*--(IF(ISNUMBER($B$2:$B$100),$B$2:$B$100,IFERROR(DATE(2000+VALUE(RIGHT($B$2:$B$100,2)),VALUE(MID($B$2:$B$100,4,2)),VALUE(LEFT($B$2:$B$100,2))),0))&lt;IF(ISNUMBER(B23),B23,IFERROR(DATE(2000+VALUE(RIGHT(B23,2)),VALUE(MID(B23,4,2)),VALUE(LEFT(B23,2))),0))))+SUMPRODUCT(--($G$2:$G23&lt;&gt;"")*--ISERROR(SEARCH("WHEAT",$G$2:$G23))*--($H$2:$H23="OCCUPIED")*--($B$2:$B23&lt;&gt;"")*--(IF(ISNUMBER($B$2:$B23),$B$2:$B23,IFERROR(DATE(2000+VALUE(RIGHT($B$2:$B23,2)),VALUE(MID($B$2:$B23,4,2)),VALUE(LEFT($B$2:$B23,2))),0))=IF(ISNUMBER(B23),B23,IFERROR(DATE(2000+VALUE(RIGHT(B23,2)),VALUE(MID(B23,4,2)),VALUE(LEFT(B23,2))),0)))),""))</f>
        <v/>
      </c>
    </row>
    <row r="24" ht="15" customHeight="1" s="42">
      <c r="A24" s="55">
        <f>IF(D24="","",ROWS($D$2:D24))</f>
        <v/>
      </c>
      <c r="B24" s="79" t="n">
        <v>46249</v>
      </c>
      <c r="C24" s="89" t="n">
        <v>18</v>
      </c>
      <c r="D24" s="89" t="inlineStr">
        <is>
          <t>18A08</t>
        </is>
      </c>
      <c r="E24" s="80" t="n">
        <v>3501</v>
      </c>
      <c r="F24" s="81" t="n">
        <v>174.481049</v>
      </c>
      <c r="G24" s="80" t="inlineStr">
        <is>
          <t>WHEAT FAQ 2025-26</t>
        </is>
      </c>
      <c r="H24" s="55">
        <f>IF(AND(E24="",F24="",G24=""),"EMPTY","OCCUPIED")</f>
        <v/>
      </c>
      <c r="I24" s="59">
        <f>IF(B24="","",IF(ISNUMBER(B24),MAX(0,TODAY()-(IF(ISNUMBER(B24),B24,IFERROR(DATE(2000+VALUE(RIGHT(B24,2)),VALUE(MID(B24,4,2)),VALUE(LEFT(B24,2))),"")))),IFERROR(MAX(0,TODAY()-DATE(2000+VALUE(RIGHT(B24,2)),VALUE(MID(B24,4,2)),VALUE(LEFT(B24,2))),"")))</f>
        <v/>
      </c>
      <c r="J24" s="79" t="n"/>
      <c r="K24" s="79" t="n"/>
      <c r="L24" s="79" t="n"/>
      <c r="M24" s="44">
        <f>IF(AND(H24="OCCUPIED",J24&lt;&gt;"",K24=""),1,0)</f>
        <v/>
      </c>
      <c r="N24" s="44">
        <f>IF(M24=1,COUNTIF($M$2:M24,1),"")</f>
        <v/>
      </c>
      <c r="O24" s="60">
        <f>IF(AND(J24&lt;&gt;"",K24=""),IF(ISNUMBER(J24),IF(TODAY()-(IF(ISNUMBER(J24),J24,IFERROR(DATE(2000+VALUE(RIGHT(J24,2)),VALUE(MID(J24,4,2)),VALUE(LEFT(J24,2))),"")))&gt;5,1,0),IFERROR(IF(TODAY()-DATE(2000+VALUE(RIGHT(J24,2)),VALUE(MID(J24,4,2)),VALUE(LEFT(J24,2)))&gt;5,1,0),0)),0)</f>
        <v/>
      </c>
      <c r="P24" s="60">
        <f>IF(O24=1,COUNTIF($O$2:O24,1),"")</f>
        <v/>
      </c>
      <c r="Q24" s="77">
        <f>IF(OR(B24="",G24="",H24&lt;&gt;"OCCUPIED"),"",IF(ISNUMBER(SEARCH("WHEAT",G24)),SUMPRODUCT(--ISNUMBER(SEARCH("WHEAT",$G$2:$G$100))*--($H$2:$H$100="OCCUPIED")*--($B$2:$B$100&lt;&gt;"")*--(IF(ISNUMBER($B$2:$B$100),$B$2:$B$100,IFERROR(DATE(2000+VALUE(RIGHT($B$2:$B$100,2)),VALUE(MID($B$2:$B$100,4,2)),VALUE(LEFT($B$2:$B$100,2))),0))&lt;IF(ISNUMBER(B24),B24,IFERROR(DATE(2000+VALUE(RIGHT(B24,2)),VALUE(MID(B24,4,2)),VALUE(LEFT(B24,2))),0))))+SUMPRODUCT(--ISNUMBER(SEARCH("WHEAT",$G$2:$G24))*--($H$2:$H24="OCCUPIED")*--($B$2:$B24&lt;&gt;"")*--(IF(ISNUMBER($B$2:$B24),$B$2:$B24,IFERROR(DATE(2000+VALUE(RIGHT($B$2:$B24,2)),VALUE(MID($B$2:$B24,4,2)),VALUE(LEFT($B$2:$B24,2))),0))=IF(ISNUMBER(B24),B24,IFERROR(DATE(2000+VALUE(RIGHT(B24,2)),VALUE(MID(B24,4,2)),VALUE(LEFT(B24,2))),0)))),""))</f>
        <v/>
      </c>
      <c r="R24" s="77">
        <f>IF(OR(B24="",G24="",H24&lt;&gt;"OCCUPIED"),"",IF(NOT(ISNUMBER(SEARCH("WHEAT",G24))),SUMPRODUCT(--($G$2:$G$100&lt;&gt;"")*--ISERROR(SEARCH("WHEAT",$G$2:$G$100))*--($H$2:$H$100="OCCUPIED")*--($B$2:$B$100&lt;&gt;"")*--(IF(ISNUMBER($B$2:$B$100),$B$2:$B$100,IFERROR(DATE(2000+VALUE(RIGHT($B$2:$B$100,2)),VALUE(MID($B$2:$B$100,4,2)),VALUE(LEFT($B$2:$B$100,2))),0))&lt;IF(ISNUMBER(B24),B24,IFERROR(DATE(2000+VALUE(RIGHT(B24,2)),VALUE(MID(B24,4,2)),VALUE(LEFT(B24,2))),0))))+SUMPRODUCT(--($G$2:$G24&lt;&gt;"")*--ISERROR(SEARCH("WHEAT",$G$2:$G24))*--($H$2:$H24="OCCUPIED")*--($B$2:$B24&lt;&gt;"")*--(IF(ISNUMBER($B$2:$B24),$B$2:$B24,IFERROR(DATE(2000+VALUE(RIGHT($B$2:$B24,2)),VALUE(MID($B$2:$B24,4,2)),VALUE(LEFT($B$2:$B24,2))),0))=IF(ISNUMBER(B24),B24,IFERROR(DATE(2000+VALUE(RIGHT(B24,2)),VALUE(MID(B24,4,2)),VALUE(LEFT(B24,2))),0)))),""))</f>
        <v/>
      </c>
    </row>
    <row r="25" ht="15" customHeight="1" s="42">
      <c r="A25" s="61">
        <f>IF(D25="","",ROWS($D$2:D25))</f>
        <v/>
      </c>
      <c r="B25" s="79" t="n">
        <v>46249</v>
      </c>
      <c r="C25" s="90" t="n">
        <v>18</v>
      </c>
      <c r="D25" s="90" t="inlineStr">
        <is>
          <t>18A09</t>
        </is>
      </c>
      <c r="E25" s="80" t="n">
        <v>3501</v>
      </c>
      <c r="F25" s="81" t="n">
        <v>173.324292</v>
      </c>
      <c r="G25" s="80" t="inlineStr">
        <is>
          <t>FRK  RRA 2024-25</t>
        </is>
      </c>
      <c r="H25" s="61">
        <f>IF(AND(E25="",F25="",G25=""),"EMPTY","OCCUPIED")</f>
        <v/>
      </c>
      <c r="I25" s="62">
        <f>IF(B25="","",IF(ISNUMBER(B25),MAX(0,TODAY()-(IF(ISNUMBER(B25),B25,IFERROR(DATE(2000+VALUE(RIGHT(B25,2)),VALUE(MID(B25,4,2)),VALUE(LEFT(B25,2))),"")))),IFERROR(MAX(0,TODAY()-DATE(2000+VALUE(RIGHT(B25,2)),VALUE(MID(B25,4,2)),VALUE(LEFT(B25,2))),"")))</f>
        <v/>
      </c>
      <c r="J25" s="79" t="n"/>
      <c r="K25" s="79" t="n"/>
      <c r="L25" s="79" t="n"/>
      <c r="M25" s="44">
        <f>IF(AND(H25="OCCUPIED",J25&lt;&gt;"",K25=""),1,0)</f>
        <v/>
      </c>
      <c r="N25" s="44">
        <f>IF(M25=1,COUNTIF($M$2:M25,1),"")</f>
        <v/>
      </c>
      <c r="O25" s="60">
        <f>IF(AND(J25&lt;&gt;"",K25=""),IF(ISNUMBER(J25),IF(TODAY()-(IF(ISNUMBER(J25),J25,IFERROR(DATE(2000+VALUE(RIGHT(J25,2)),VALUE(MID(J25,4,2)),VALUE(LEFT(J25,2))),"")))&gt;5,1,0),IFERROR(IF(TODAY()-DATE(2000+VALUE(RIGHT(J25,2)),VALUE(MID(J25,4,2)),VALUE(LEFT(J25,2)))&gt;5,1,0),0)),0)</f>
        <v/>
      </c>
      <c r="P25" s="60">
        <f>IF(O25=1,COUNTIF($O$2:O25,1),"")</f>
        <v/>
      </c>
      <c r="Q25" s="77">
        <f>IF(OR(B25="",G25="",H25&lt;&gt;"OCCUPIED"),"",IF(ISNUMBER(SEARCH("WHEAT",G25)),SUMPRODUCT(--ISNUMBER(SEARCH("WHEAT",$G$2:$G$100))*--($H$2:$H$100="OCCUPIED")*--($B$2:$B$100&lt;&gt;"")*--(IF(ISNUMBER($B$2:$B$100),$B$2:$B$100,IFERROR(DATE(2000+VALUE(RIGHT($B$2:$B$100,2)),VALUE(MID($B$2:$B$100,4,2)),VALUE(LEFT($B$2:$B$100,2))),0))&lt;IF(ISNUMBER(B25),B25,IFERROR(DATE(2000+VALUE(RIGHT(B25,2)),VALUE(MID(B25,4,2)),VALUE(LEFT(B25,2))),0))))+SUMPRODUCT(--ISNUMBER(SEARCH("WHEAT",$G$2:$G25))*--($H$2:$H25="OCCUPIED")*--($B$2:$B25&lt;&gt;"")*--(IF(ISNUMBER($B$2:$B25),$B$2:$B25,IFERROR(DATE(2000+VALUE(RIGHT($B$2:$B25,2)),VALUE(MID($B$2:$B25,4,2)),VALUE(LEFT($B$2:$B25,2))),0))=IF(ISNUMBER(B25),B25,IFERROR(DATE(2000+VALUE(RIGHT(B25,2)),VALUE(MID(B25,4,2)),VALUE(LEFT(B25,2))),0)))),""))</f>
        <v/>
      </c>
      <c r="R25" s="77">
        <f>IF(OR(B25="",G25="",H25&lt;&gt;"OCCUPIED"),"",IF(NOT(ISNUMBER(SEARCH("WHEAT",G25))),SUMPRODUCT(--($G$2:$G$100&lt;&gt;"")*--ISERROR(SEARCH("WHEAT",$G$2:$G$100))*--($H$2:$H$100="OCCUPIED")*--($B$2:$B$100&lt;&gt;"")*--(IF(ISNUMBER($B$2:$B$100),$B$2:$B$100,IFERROR(DATE(2000+VALUE(RIGHT($B$2:$B$100,2)),VALUE(MID($B$2:$B$100,4,2)),VALUE(LEFT($B$2:$B$100,2))),0))&lt;IF(ISNUMBER(B25),B25,IFERROR(DATE(2000+VALUE(RIGHT(B25,2)),VALUE(MID(B25,4,2)),VALUE(LEFT(B25,2))),0))))+SUMPRODUCT(--($G$2:$G25&lt;&gt;"")*--ISERROR(SEARCH("WHEAT",$G$2:$G25))*--($H$2:$H25="OCCUPIED")*--($B$2:$B25&lt;&gt;"")*--(IF(ISNUMBER($B$2:$B25),$B$2:$B25,IFERROR(DATE(2000+VALUE(RIGHT($B$2:$B25,2)),VALUE(MID($B$2:$B25,4,2)),VALUE(LEFT($B$2:$B25,2))),0))=IF(ISNUMBER(B25),B25,IFERROR(DATE(2000+VALUE(RIGHT(B25,2)),VALUE(MID(B25,4,2)),VALUE(LEFT(B25,2))),0)))),""))</f>
        <v/>
      </c>
    </row>
    <row r="26" ht="15" customHeight="1" s="42">
      <c r="A26" s="55">
        <f>IF(D26="","",ROWS($D$2:D26))</f>
        <v/>
      </c>
      <c r="B26" s="79" t="n">
        <v>46249</v>
      </c>
      <c r="C26" s="89" t="n">
        <v>9</v>
      </c>
      <c r="D26" s="89" t="inlineStr">
        <is>
          <t>9A01</t>
        </is>
      </c>
      <c r="E26" s="80" t="n">
        <v>3501</v>
      </c>
      <c r="F26" s="81" t="n">
        <v>170.759474</v>
      </c>
      <c r="G26" s="80" t="inlineStr">
        <is>
          <t>FRK  RRA 2024-25</t>
        </is>
      </c>
      <c r="H26" s="55">
        <f>IF(AND(E26="",F26="",G26=""),"EMPTY","OCCUPIED")</f>
        <v/>
      </c>
      <c r="I26" s="59">
        <f>IF(B26="","",IF(ISNUMBER(B26),MAX(0,TODAY()-(IF(ISNUMBER(B26),B26,IFERROR(DATE(2000+VALUE(RIGHT(B26,2)),VALUE(MID(B26,4,2)),VALUE(LEFT(B26,2))),"")))),IFERROR(MAX(0,TODAY()-DATE(2000+VALUE(RIGHT(B26,2)),VALUE(MID(B26,4,2)),VALUE(LEFT(B26,2))),"")))</f>
        <v/>
      </c>
      <c r="J26" s="79" t="n"/>
      <c r="K26" s="79" t="n"/>
      <c r="L26" s="79" t="n"/>
      <c r="M26" s="44">
        <f>IF(AND(H26="OCCUPIED",J26&lt;&gt;"",K26=""),1,0)</f>
        <v/>
      </c>
      <c r="N26" s="44">
        <f>IF(M26=1,COUNTIF($M$2:M26,1),"")</f>
        <v/>
      </c>
      <c r="O26" s="60">
        <f>IF(AND(J26&lt;&gt;"",K26=""),IF(ISNUMBER(J26),IF(TODAY()-(IF(ISNUMBER(J26),J26,IFERROR(DATE(2000+VALUE(RIGHT(J26,2)),VALUE(MID(J26,4,2)),VALUE(LEFT(J26,2))),"")))&gt;5,1,0),IFERROR(IF(TODAY()-DATE(2000+VALUE(RIGHT(J26,2)),VALUE(MID(J26,4,2)),VALUE(LEFT(J26,2)))&gt;5,1,0),0)),0)</f>
        <v/>
      </c>
      <c r="P26" s="60">
        <f>IF(O26=1,COUNTIF($O$2:O26,1),"")</f>
        <v/>
      </c>
      <c r="Q26" s="77">
        <f>IF(OR(B26="",G26="",H26&lt;&gt;"OCCUPIED"),"",IF(ISNUMBER(SEARCH("WHEAT",G26)),SUMPRODUCT(--ISNUMBER(SEARCH("WHEAT",$G$2:$G$100))*--($H$2:$H$100="OCCUPIED")*--($B$2:$B$100&lt;&gt;"")*--(IF(ISNUMBER($B$2:$B$100),$B$2:$B$100,IFERROR(DATE(2000+VALUE(RIGHT($B$2:$B$100,2)),VALUE(MID($B$2:$B$100,4,2)),VALUE(LEFT($B$2:$B$100,2))),0))&lt;IF(ISNUMBER(B26),B26,IFERROR(DATE(2000+VALUE(RIGHT(B26,2)),VALUE(MID(B26,4,2)),VALUE(LEFT(B26,2))),0))))+SUMPRODUCT(--ISNUMBER(SEARCH("WHEAT",$G$2:$G26))*--($H$2:$H26="OCCUPIED")*--($B$2:$B26&lt;&gt;"")*--(IF(ISNUMBER($B$2:$B26),$B$2:$B26,IFERROR(DATE(2000+VALUE(RIGHT($B$2:$B26,2)),VALUE(MID($B$2:$B26,4,2)),VALUE(LEFT($B$2:$B26,2))),0))=IF(ISNUMBER(B26),B26,IFERROR(DATE(2000+VALUE(RIGHT(B26,2)),VALUE(MID(B26,4,2)),VALUE(LEFT(B26,2))),0)))),""))</f>
        <v/>
      </c>
      <c r="R26" s="77">
        <f>IF(OR(B26="",G26="",H26&lt;&gt;"OCCUPIED"),"",IF(NOT(ISNUMBER(SEARCH("WHEAT",G26))),SUMPRODUCT(--($G$2:$G$100&lt;&gt;"")*--ISERROR(SEARCH("WHEAT",$G$2:$G$100))*--($H$2:$H$100="OCCUPIED")*--($B$2:$B$100&lt;&gt;"")*--(IF(ISNUMBER($B$2:$B$100),$B$2:$B$100,IFERROR(DATE(2000+VALUE(RIGHT($B$2:$B$100,2)),VALUE(MID($B$2:$B$100,4,2)),VALUE(LEFT($B$2:$B$100,2))),0))&lt;IF(ISNUMBER(B26),B26,IFERROR(DATE(2000+VALUE(RIGHT(B26,2)),VALUE(MID(B26,4,2)),VALUE(LEFT(B26,2))),0))))+SUMPRODUCT(--($G$2:$G26&lt;&gt;"")*--ISERROR(SEARCH("WHEAT",$G$2:$G26))*--($H$2:$H26="OCCUPIED")*--($B$2:$B26&lt;&gt;"")*--(IF(ISNUMBER($B$2:$B26),$B$2:$B26,IFERROR(DATE(2000+VALUE(RIGHT($B$2:$B26,2)),VALUE(MID($B$2:$B26,4,2)),VALUE(LEFT($B$2:$B26,2))),0))=IF(ISNUMBER(B26),B26,IFERROR(DATE(2000+VALUE(RIGHT(B26,2)),VALUE(MID(B26,4,2)),VALUE(LEFT(B26,2))),0)))),""))</f>
        <v/>
      </c>
    </row>
    <row r="27" ht="15" customHeight="1" s="42">
      <c r="A27" s="61">
        <f>IF(D27="","",ROWS($D$2:D27))</f>
        <v/>
      </c>
      <c r="B27" s="79" t="n">
        <v>46249</v>
      </c>
      <c r="C27" s="90" t="n">
        <v>9</v>
      </c>
      <c r="D27" s="90" t="inlineStr">
        <is>
          <t>9A02</t>
        </is>
      </c>
      <c r="E27" s="80" t="n">
        <v>3501</v>
      </c>
      <c r="F27" s="81" t="n">
        <v>173.684844</v>
      </c>
      <c r="G27" s="80" t="inlineStr">
        <is>
          <t>WHEAT FAQ 2025-26</t>
        </is>
      </c>
      <c r="H27" s="61">
        <f>IF(AND(E27="",F27="",G27=""),"EMPTY","OCCUPIED")</f>
        <v/>
      </c>
      <c r="I27" s="62">
        <f>IF(B27="","",IF(ISNUMBER(B27),MAX(0,TODAY()-(IF(ISNUMBER(B27),B27,IFERROR(DATE(2000+VALUE(RIGHT(B27,2)),VALUE(MID(B27,4,2)),VALUE(LEFT(B27,2))),"")))),IFERROR(MAX(0,TODAY()-DATE(2000+VALUE(RIGHT(B27,2)),VALUE(MID(B27,4,2)),VALUE(LEFT(B27,2))),"")))</f>
        <v/>
      </c>
      <c r="J27" s="79" t="n"/>
      <c r="K27" s="79" t="n"/>
      <c r="L27" s="79" t="n"/>
      <c r="M27" s="44">
        <f>IF(AND(H27="OCCUPIED",J27&lt;&gt;"",K27=""),1,0)</f>
        <v/>
      </c>
      <c r="N27" s="44">
        <f>IF(M27=1,COUNTIF($M$2:M27,1),"")</f>
        <v/>
      </c>
      <c r="O27" s="60">
        <f>IF(AND(J27&lt;&gt;"",K27=""),IF(ISNUMBER(J27),IF(TODAY()-(IF(ISNUMBER(J27),J27,IFERROR(DATE(2000+VALUE(RIGHT(J27,2)),VALUE(MID(J27,4,2)),VALUE(LEFT(J27,2))),"")))&gt;5,1,0),IFERROR(IF(TODAY()-DATE(2000+VALUE(RIGHT(J27,2)),VALUE(MID(J27,4,2)),VALUE(LEFT(J27,2)))&gt;5,1,0),0)),0)</f>
        <v/>
      </c>
      <c r="P27" s="60">
        <f>IF(O27=1,COUNTIF($O$2:O27,1),"")</f>
        <v/>
      </c>
      <c r="Q27" s="77">
        <f>IF(OR(B27="",G27="",H27&lt;&gt;"OCCUPIED"),"",IF(ISNUMBER(SEARCH("WHEAT",G27)),SUMPRODUCT(--ISNUMBER(SEARCH("WHEAT",$G$2:$G$100))*--($H$2:$H$100="OCCUPIED")*--($B$2:$B$100&lt;&gt;"")*--(IF(ISNUMBER($B$2:$B$100),$B$2:$B$100,IFERROR(DATE(2000+VALUE(RIGHT($B$2:$B$100,2)),VALUE(MID($B$2:$B$100,4,2)),VALUE(LEFT($B$2:$B$100,2))),0))&lt;IF(ISNUMBER(B27),B27,IFERROR(DATE(2000+VALUE(RIGHT(B27,2)),VALUE(MID(B27,4,2)),VALUE(LEFT(B27,2))),0))))+SUMPRODUCT(--ISNUMBER(SEARCH("WHEAT",$G$2:$G27))*--($H$2:$H27="OCCUPIED")*--($B$2:$B27&lt;&gt;"")*--(IF(ISNUMBER($B$2:$B27),$B$2:$B27,IFERROR(DATE(2000+VALUE(RIGHT($B$2:$B27,2)),VALUE(MID($B$2:$B27,4,2)),VALUE(LEFT($B$2:$B27,2))),0))=IF(ISNUMBER(B27),B27,IFERROR(DATE(2000+VALUE(RIGHT(B27,2)),VALUE(MID(B27,4,2)),VALUE(LEFT(B27,2))),0)))),""))</f>
        <v/>
      </c>
      <c r="R27" s="77">
        <f>IF(OR(B27="",G27="",H27&lt;&gt;"OCCUPIED"),"",IF(NOT(ISNUMBER(SEARCH("WHEAT",G27))),SUMPRODUCT(--($G$2:$G$100&lt;&gt;"")*--ISERROR(SEARCH("WHEAT",$G$2:$G$100))*--($H$2:$H$100="OCCUPIED")*--($B$2:$B$100&lt;&gt;"")*--(IF(ISNUMBER($B$2:$B$100),$B$2:$B$100,IFERROR(DATE(2000+VALUE(RIGHT($B$2:$B$100,2)),VALUE(MID($B$2:$B$100,4,2)),VALUE(LEFT($B$2:$B$100,2))),0))&lt;IF(ISNUMBER(B27),B27,IFERROR(DATE(2000+VALUE(RIGHT(B27,2)),VALUE(MID(B27,4,2)),VALUE(LEFT(B27,2))),0))))+SUMPRODUCT(--($G$2:$G27&lt;&gt;"")*--ISERROR(SEARCH("WHEAT",$G$2:$G27))*--($H$2:$H27="OCCUPIED")*--($B$2:$B27&lt;&gt;"")*--(IF(ISNUMBER($B$2:$B27),$B$2:$B27,IFERROR(DATE(2000+VALUE(RIGHT($B$2:$B27,2)),VALUE(MID($B$2:$B27,4,2)),VALUE(LEFT($B$2:$B27,2))),0))=IF(ISNUMBER(B27),B27,IFERROR(DATE(2000+VALUE(RIGHT(B27,2)),VALUE(MID(B27,4,2)),VALUE(LEFT(B27,2))),0)))),""))</f>
        <v/>
      </c>
    </row>
    <row r="28" ht="15" customHeight="1" s="42">
      <c r="A28" s="55">
        <f>IF(D28="","",ROWS($D$2:D28))</f>
        <v/>
      </c>
      <c r="B28" s="79" t="n">
        <v>46249</v>
      </c>
      <c r="C28" s="89" t="n">
        <v>9</v>
      </c>
      <c r="D28" s="89" t="inlineStr">
        <is>
          <t>9A03</t>
        </is>
      </c>
      <c r="E28" s="80" t="n">
        <v>3501</v>
      </c>
      <c r="F28" s="81" t="n">
        <v>174.719903</v>
      </c>
      <c r="G28" s="80" t="inlineStr">
        <is>
          <t>WHEAT FAQ 2025-26</t>
        </is>
      </c>
      <c r="H28" s="55">
        <f>IF(AND(E28="",F28="",G28=""),"EMPTY","OCCUPIED")</f>
        <v/>
      </c>
      <c r="I28" s="59">
        <f>IF(B28="","",IF(ISNUMBER(B28),MAX(0,TODAY()-(IF(ISNUMBER(B28),B28,IFERROR(DATE(2000+VALUE(RIGHT(B28,2)),VALUE(MID(B28,4,2)),VALUE(LEFT(B28,2))),"")))),IFERROR(MAX(0,TODAY()-DATE(2000+VALUE(RIGHT(B28,2)),VALUE(MID(B28,4,2)),VALUE(LEFT(B28,2))),"")))</f>
        <v/>
      </c>
      <c r="J28" s="79" t="n"/>
      <c r="K28" s="79" t="n"/>
      <c r="L28" s="79" t="n"/>
      <c r="M28" s="44">
        <f>IF(AND(H28="OCCUPIED",J28&lt;&gt;"",K28=""),1,0)</f>
        <v/>
      </c>
      <c r="N28" s="44">
        <f>IF(M28=1,COUNTIF($M$2:M28,1),"")</f>
        <v/>
      </c>
      <c r="O28" s="60">
        <f>IF(AND(J28&lt;&gt;"",K28=""),IF(ISNUMBER(J28),IF(TODAY()-(IF(ISNUMBER(J28),J28,IFERROR(DATE(2000+VALUE(RIGHT(J28,2)),VALUE(MID(J28,4,2)),VALUE(LEFT(J28,2))),"")))&gt;5,1,0),IFERROR(IF(TODAY()-DATE(2000+VALUE(RIGHT(J28,2)),VALUE(MID(J28,4,2)),VALUE(LEFT(J28,2)))&gt;5,1,0),0)),0)</f>
        <v/>
      </c>
      <c r="P28" s="60">
        <f>IF(O28=1,COUNTIF($O$2:O28,1),"")</f>
        <v/>
      </c>
      <c r="Q28" s="77">
        <f>IF(OR(B28="",G28="",H28&lt;&gt;"OCCUPIED"),"",IF(ISNUMBER(SEARCH("WHEAT",G28)),SUMPRODUCT(--ISNUMBER(SEARCH("WHEAT",$G$2:$G$100))*--($H$2:$H$100="OCCUPIED")*--($B$2:$B$100&lt;&gt;"")*--(IF(ISNUMBER($B$2:$B$100),$B$2:$B$100,IFERROR(DATE(2000+VALUE(RIGHT($B$2:$B$100,2)),VALUE(MID($B$2:$B$100,4,2)),VALUE(LEFT($B$2:$B$100,2))),0))&lt;IF(ISNUMBER(B28),B28,IFERROR(DATE(2000+VALUE(RIGHT(B28,2)),VALUE(MID(B28,4,2)),VALUE(LEFT(B28,2))),0))))+SUMPRODUCT(--ISNUMBER(SEARCH("WHEAT",$G$2:$G28))*--($H$2:$H28="OCCUPIED")*--($B$2:$B28&lt;&gt;"")*--(IF(ISNUMBER($B$2:$B28),$B$2:$B28,IFERROR(DATE(2000+VALUE(RIGHT($B$2:$B28,2)),VALUE(MID($B$2:$B28,4,2)),VALUE(LEFT($B$2:$B28,2))),0))=IF(ISNUMBER(B28),B28,IFERROR(DATE(2000+VALUE(RIGHT(B28,2)),VALUE(MID(B28,4,2)),VALUE(LEFT(B28,2))),0)))),""))</f>
        <v/>
      </c>
      <c r="R28" s="77">
        <f>IF(OR(B28="",G28="",H28&lt;&gt;"OCCUPIED"),"",IF(NOT(ISNUMBER(SEARCH("WHEAT",G28))),SUMPRODUCT(--($G$2:$G$100&lt;&gt;"")*--ISERROR(SEARCH("WHEAT",$G$2:$G$100))*--($H$2:$H$100="OCCUPIED")*--($B$2:$B$100&lt;&gt;"")*--(IF(ISNUMBER($B$2:$B$100),$B$2:$B$100,IFERROR(DATE(2000+VALUE(RIGHT($B$2:$B$100,2)),VALUE(MID($B$2:$B$100,4,2)),VALUE(LEFT($B$2:$B$100,2))),0))&lt;IF(ISNUMBER(B28),B28,IFERROR(DATE(2000+VALUE(RIGHT(B28,2)),VALUE(MID(B28,4,2)),VALUE(LEFT(B28,2))),0))))+SUMPRODUCT(--($G$2:$G28&lt;&gt;"")*--ISERROR(SEARCH("WHEAT",$G$2:$G28))*--($H$2:$H28="OCCUPIED")*--($B$2:$B28&lt;&gt;"")*--(IF(ISNUMBER($B$2:$B28),$B$2:$B28,IFERROR(DATE(2000+VALUE(RIGHT($B$2:$B28,2)),VALUE(MID($B$2:$B28,4,2)),VALUE(LEFT($B$2:$B28,2))),0))=IF(ISNUMBER(B28),B28,IFERROR(DATE(2000+VALUE(RIGHT(B28,2)),VALUE(MID(B28,4,2)),VALUE(LEFT(B28,2))),0)))),""))</f>
        <v/>
      </c>
    </row>
    <row r="29" ht="15" customHeight="1" s="42">
      <c r="A29" s="61">
        <f>IF(D29="","",ROWS($D$2:D29))</f>
        <v/>
      </c>
      <c r="B29" s="79" t="n">
        <v>46249</v>
      </c>
      <c r="C29" s="90" t="n">
        <v>9</v>
      </c>
      <c r="D29" s="90" t="inlineStr">
        <is>
          <t>9A04</t>
        </is>
      </c>
      <c r="E29" s="80" t="n">
        <v>3413</v>
      </c>
      <c r="F29" s="81" t="n">
        <v>164.835756</v>
      </c>
      <c r="G29" s="80" t="inlineStr">
        <is>
          <t>FRK  RRA 2023-24</t>
        </is>
      </c>
      <c r="H29" s="61">
        <f>IF(AND(E29="",F29="",G29=""),"EMPTY","OCCUPIED")</f>
        <v/>
      </c>
      <c r="I29" s="62">
        <f>IF(B29="","",IF(ISNUMBER(B29),MAX(0,TODAY()-(IF(ISNUMBER(B29),B29,IFERROR(DATE(2000+VALUE(RIGHT(B29,2)),VALUE(MID(B29,4,2)),VALUE(LEFT(B29,2))),"")))),IFERROR(MAX(0,TODAY()-DATE(2000+VALUE(RIGHT(B29,2)),VALUE(MID(B29,4,2)),VALUE(LEFT(B29,2))),"")))</f>
        <v/>
      </c>
      <c r="J29" s="79" t="n"/>
      <c r="K29" s="79" t="n"/>
      <c r="L29" s="79" t="n"/>
      <c r="M29" s="44">
        <f>IF(AND(H29="OCCUPIED",J29&lt;&gt;"",K29=""),1,0)</f>
        <v/>
      </c>
      <c r="N29" s="44">
        <f>IF(M29=1,COUNTIF($M$2:M29,1),"")</f>
        <v/>
      </c>
      <c r="O29" s="60">
        <f>IF(AND(J29&lt;&gt;"",K29=""),IF(ISNUMBER(J29),IF(TODAY()-(IF(ISNUMBER(J29),J29,IFERROR(DATE(2000+VALUE(RIGHT(J29,2)),VALUE(MID(J29,4,2)),VALUE(LEFT(J29,2))),"")))&gt;5,1,0),IFERROR(IF(TODAY()-DATE(2000+VALUE(RIGHT(J29,2)),VALUE(MID(J29,4,2)),VALUE(LEFT(J29,2)))&gt;5,1,0),0)),0)</f>
        <v/>
      </c>
      <c r="P29" s="60">
        <f>IF(O29=1,COUNTIF($O$2:O29,1),"")</f>
        <v/>
      </c>
      <c r="Q29" s="77">
        <f>IF(OR(B29="",G29="",H29&lt;&gt;"OCCUPIED"),"",IF(ISNUMBER(SEARCH("WHEAT",G29)),SUMPRODUCT(--ISNUMBER(SEARCH("WHEAT",$G$2:$G$100))*--($H$2:$H$100="OCCUPIED")*--($B$2:$B$100&lt;&gt;"")*--(IF(ISNUMBER($B$2:$B$100),$B$2:$B$100,IFERROR(DATE(2000+VALUE(RIGHT($B$2:$B$100,2)),VALUE(MID($B$2:$B$100,4,2)),VALUE(LEFT($B$2:$B$100,2))),0))&lt;IF(ISNUMBER(B29),B29,IFERROR(DATE(2000+VALUE(RIGHT(B29,2)),VALUE(MID(B29,4,2)),VALUE(LEFT(B29,2))),0))))+SUMPRODUCT(--ISNUMBER(SEARCH("WHEAT",$G$2:$G29))*--($H$2:$H29="OCCUPIED")*--($B$2:$B29&lt;&gt;"")*--(IF(ISNUMBER($B$2:$B29),$B$2:$B29,IFERROR(DATE(2000+VALUE(RIGHT($B$2:$B29,2)),VALUE(MID($B$2:$B29,4,2)),VALUE(LEFT($B$2:$B29,2))),0))=IF(ISNUMBER(B29),B29,IFERROR(DATE(2000+VALUE(RIGHT(B29,2)),VALUE(MID(B29,4,2)),VALUE(LEFT(B29,2))),0)))),""))</f>
        <v/>
      </c>
      <c r="R29" s="77">
        <f>IF(OR(B29="",G29="",H29&lt;&gt;"OCCUPIED"),"",IF(NOT(ISNUMBER(SEARCH("WHEAT",G29))),SUMPRODUCT(--($G$2:$G$100&lt;&gt;"")*--ISERROR(SEARCH("WHEAT",$G$2:$G$100))*--($H$2:$H$100="OCCUPIED")*--($B$2:$B$100&lt;&gt;"")*--(IF(ISNUMBER($B$2:$B$100),$B$2:$B$100,IFERROR(DATE(2000+VALUE(RIGHT($B$2:$B$100,2)),VALUE(MID($B$2:$B$100,4,2)),VALUE(LEFT($B$2:$B$100,2))),0))&lt;IF(ISNUMBER(B29),B29,IFERROR(DATE(2000+VALUE(RIGHT(B29,2)),VALUE(MID(B29,4,2)),VALUE(LEFT(B29,2))),0))))+SUMPRODUCT(--($G$2:$G29&lt;&gt;"")*--ISERROR(SEARCH("WHEAT",$G$2:$G29))*--($H$2:$H29="OCCUPIED")*--($B$2:$B29&lt;&gt;"")*--(IF(ISNUMBER($B$2:$B29),$B$2:$B29,IFERROR(DATE(2000+VALUE(RIGHT($B$2:$B29,2)),VALUE(MID($B$2:$B29,4,2)),VALUE(LEFT($B$2:$B29,2))),0))=IF(ISNUMBER(B29),B29,IFERROR(DATE(2000+VALUE(RIGHT(B29,2)),VALUE(MID(B29,4,2)),VALUE(LEFT(B29,2))),0)))),""))</f>
        <v/>
      </c>
    </row>
    <row r="30" ht="15" customHeight="1" s="42">
      <c r="A30" s="55">
        <f>IF(D30="","",ROWS($D$2:D30))</f>
        <v/>
      </c>
      <c r="B30" s="79" t="n">
        <v>46249</v>
      </c>
      <c r="C30" s="89" t="n">
        <v>9</v>
      </c>
      <c r="D30" s="89" t="inlineStr">
        <is>
          <t>9A05</t>
        </is>
      </c>
      <c r="E30" s="80" t="n">
        <v>3501</v>
      </c>
      <c r="F30" s="81" t="n">
        <v>174.250285</v>
      </c>
      <c r="G30" s="80" t="inlineStr">
        <is>
          <t>WHEAT FAQ 2025-26</t>
        </is>
      </c>
      <c r="H30" s="55">
        <f>IF(AND(E30="",F30="",G30=""),"EMPTY","OCCUPIED")</f>
        <v/>
      </c>
      <c r="I30" s="59">
        <f>IF(B30="","",IF(ISNUMBER(B30),MAX(0,TODAY()-(IF(ISNUMBER(B30),B30,IFERROR(DATE(2000+VALUE(RIGHT(B30,2)),VALUE(MID(B30,4,2)),VALUE(LEFT(B30,2))),"")))),IFERROR(MAX(0,TODAY()-DATE(2000+VALUE(RIGHT(B30,2)),VALUE(MID(B30,4,2)),VALUE(LEFT(B30,2))),"")))</f>
        <v/>
      </c>
      <c r="J30" s="79" t="n"/>
      <c r="K30" s="79" t="n"/>
      <c r="L30" s="79" t="n"/>
      <c r="M30" s="44">
        <f>IF(AND(H30="OCCUPIED",J30&lt;&gt;"",K30=""),1,0)</f>
        <v/>
      </c>
      <c r="N30" s="44">
        <f>IF(M30=1,COUNTIF($M$2:M30,1),"")</f>
        <v/>
      </c>
      <c r="O30" s="60">
        <f>IF(AND(J30&lt;&gt;"",K30=""),IF(ISNUMBER(J30),IF(TODAY()-(IF(ISNUMBER(J30),J30,IFERROR(DATE(2000+VALUE(RIGHT(J30,2)),VALUE(MID(J30,4,2)),VALUE(LEFT(J30,2))),"")))&gt;5,1,0),IFERROR(IF(TODAY()-DATE(2000+VALUE(RIGHT(J30,2)),VALUE(MID(J30,4,2)),VALUE(LEFT(J30,2)))&gt;5,1,0),0)),0)</f>
        <v/>
      </c>
      <c r="P30" s="60">
        <f>IF(O30=1,COUNTIF($O$2:O30,1),"")</f>
        <v/>
      </c>
      <c r="Q30" s="77">
        <f>IF(OR(B30="",G30="",H30&lt;&gt;"OCCUPIED"),"",IF(ISNUMBER(SEARCH("WHEAT",G30)),SUMPRODUCT(--ISNUMBER(SEARCH("WHEAT",$G$2:$G$100))*--($H$2:$H$100="OCCUPIED")*--($B$2:$B$100&lt;&gt;"")*--(IF(ISNUMBER($B$2:$B$100),$B$2:$B$100,IFERROR(DATE(2000+VALUE(RIGHT($B$2:$B$100,2)),VALUE(MID($B$2:$B$100,4,2)),VALUE(LEFT($B$2:$B$100,2))),0))&lt;IF(ISNUMBER(B30),B30,IFERROR(DATE(2000+VALUE(RIGHT(B30,2)),VALUE(MID(B30,4,2)),VALUE(LEFT(B30,2))),0))))+SUMPRODUCT(--ISNUMBER(SEARCH("WHEAT",$G$2:$G30))*--($H$2:$H30="OCCUPIED")*--($B$2:$B30&lt;&gt;"")*--(IF(ISNUMBER($B$2:$B30),$B$2:$B30,IFERROR(DATE(2000+VALUE(RIGHT($B$2:$B30,2)),VALUE(MID($B$2:$B30,4,2)),VALUE(LEFT($B$2:$B30,2))),0))=IF(ISNUMBER(B30),B30,IFERROR(DATE(2000+VALUE(RIGHT(B30,2)),VALUE(MID(B30,4,2)),VALUE(LEFT(B30,2))),0)))),""))</f>
        <v/>
      </c>
      <c r="R30" s="77">
        <f>IF(OR(B30="",G30="",H30&lt;&gt;"OCCUPIED"),"",IF(NOT(ISNUMBER(SEARCH("WHEAT",G30))),SUMPRODUCT(--($G$2:$G$100&lt;&gt;"")*--ISERROR(SEARCH("WHEAT",$G$2:$G$100))*--($H$2:$H$100="OCCUPIED")*--($B$2:$B$100&lt;&gt;"")*--(IF(ISNUMBER($B$2:$B$100),$B$2:$B$100,IFERROR(DATE(2000+VALUE(RIGHT($B$2:$B$100,2)),VALUE(MID($B$2:$B$100,4,2)),VALUE(LEFT($B$2:$B$100,2))),0))&lt;IF(ISNUMBER(B30),B30,IFERROR(DATE(2000+VALUE(RIGHT(B30,2)),VALUE(MID(B30,4,2)),VALUE(LEFT(B30,2))),0))))+SUMPRODUCT(--($G$2:$G30&lt;&gt;"")*--ISERROR(SEARCH("WHEAT",$G$2:$G30))*--($H$2:$H30="OCCUPIED")*--($B$2:$B30&lt;&gt;"")*--(IF(ISNUMBER($B$2:$B30),$B$2:$B30,IFERROR(DATE(2000+VALUE(RIGHT($B$2:$B30,2)),VALUE(MID($B$2:$B30,4,2)),VALUE(LEFT($B$2:$B30,2))),0))=IF(ISNUMBER(B30),B30,IFERROR(DATE(2000+VALUE(RIGHT(B30,2)),VALUE(MID(B30,4,2)),VALUE(LEFT(B30,2))),0)))),""))</f>
        <v/>
      </c>
    </row>
    <row r="31" ht="15" customHeight="1" s="42">
      <c r="A31" s="61">
        <f>IF(D31="","",ROWS($D$2:D31))</f>
        <v/>
      </c>
      <c r="B31" s="79" t="n"/>
      <c r="C31" s="90" t="n">
        <v>9</v>
      </c>
      <c r="D31" s="90" t="inlineStr">
        <is>
          <t>9A06</t>
        </is>
      </c>
      <c r="E31" s="80" t="n"/>
      <c r="F31" s="81" t="n"/>
      <c r="G31" s="80" t="n"/>
      <c r="H31" s="61">
        <f>IF(AND(E31="",F31="",G31=""),"EMPTY","OCCUPIED")</f>
        <v/>
      </c>
      <c r="I31" s="62">
        <f>IF(B31="","",IF(ISNUMBER(B31),MAX(0,TODAY()-(IF(ISNUMBER(B31),B31,IFERROR(DATE(2000+VALUE(RIGHT(B31,2)),VALUE(MID(B31,4,2)),VALUE(LEFT(B31,2))),"")))),IFERROR(MAX(0,TODAY()-DATE(2000+VALUE(RIGHT(B31,2)),VALUE(MID(B31,4,2)),VALUE(LEFT(B31,2))),"")))</f>
        <v/>
      </c>
      <c r="J31" s="79" t="n"/>
      <c r="K31" s="79" t="n"/>
      <c r="L31" s="79" t="n"/>
      <c r="M31" s="44">
        <f>IF(AND(H31="OCCUPIED",J31&lt;&gt;"",K31=""),1,0)</f>
        <v/>
      </c>
      <c r="N31" s="44">
        <f>IF(M31=1,COUNTIF($M$2:M31,1),"")</f>
        <v/>
      </c>
      <c r="O31" s="60">
        <f>IF(AND(J31&lt;&gt;"",K31=""),IF(ISNUMBER(J31),IF(TODAY()-(IF(ISNUMBER(J31),J31,IFERROR(DATE(2000+VALUE(RIGHT(J31,2)),VALUE(MID(J31,4,2)),VALUE(LEFT(J31,2))),"")))&gt;5,1,0),IFERROR(IF(TODAY()-DATE(2000+VALUE(RIGHT(J31,2)),VALUE(MID(J31,4,2)),VALUE(LEFT(J31,2)))&gt;5,1,0),0)),0)</f>
        <v/>
      </c>
      <c r="P31" s="60">
        <f>IF(O31=1,COUNTIF($O$2:O31,1),"")</f>
        <v/>
      </c>
      <c r="Q31" s="77">
        <f>IF(OR(B31="",G31="",H31&lt;&gt;"OCCUPIED"),"",IF(ISNUMBER(SEARCH("WHEAT",G31)),SUMPRODUCT(--ISNUMBER(SEARCH("WHEAT",$G$2:$G$100))*--($H$2:$H$100="OCCUPIED")*--($B$2:$B$100&lt;&gt;"")*--(IF(ISNUMBER($B$2:$B$100),$B$2:$B$100,IFERROR(DATE(2000+VALUE(RIGHT($B$2:$B$100,2)),VALUE(MID($B$2:$B$100,4,2)),VALUE(LEFT($B$2:$B$100,2))),0))&lt;IF(ISNUMBER(B31),B31,IFERROR(DATE(2000+VALUE(RIGHT(B31,2)),VALUE(MID(B31,4,2)),VALUE(LEFT(B31,2))),0))))+SUMPRODUCT(--ISNUMBER(SEARCH("WHEAT",$G$2:$G31))*--($H$2:$H31="OCCUPIED")*--($B$2:$B31&lt;&gt;"")*--(IF(ISNUMBER($B$2:$B31),$B$2:$B31,IFERROR(DATE(2000+VALUE(RIGHT($B$2:$B31,2)),VALUE(MID($B$2:$B31,4,2)),VALUE(LEFT($B$2:$B31,2))),0))=IF(ISNUMBER(B31),B31,IFERROR(DATE(2000+VALUE(RIGHT(B31,2)),VALUE(MID(B31,4,2)),VALUE(LEFT(B31,2))),0)))),""))</f>
        <v/>
      </c>
      <c r="R31" s="77">
        <f>IF(OR(B31="",G31="",H31&lt;&gt;"OCCUPIED"),"",IF(NOT(ISNUMBER(SEARCH("WHEAT",G31))),SUMPRODUCT(--($G$2:$G$100&lt;&gt;"")*--ISERROR(SEARCH("WHEAT",$G$2:$G$100))*--($H$2:$H$100="OCCUPIED")*--($B$2:$B$100&lt;&gt;"")*--(IF(ISNUMBER($B$2:$B$100),$B$2:$B$100,IFERROR(DATE(2000+VALUE(RIGHT($B$2:$B$100,2)),VALUE(MID($B$2:$B$100,4,2)),VALUE(LEFT($B$2:$B$100,2))),0))&lt;IF(ISNUMBER(B31),B31,IFERROR(DATE(2000+VALUE(RIGHT(B31,2)),VALUE(MID(B31,4,2)),VALUE(LEFT(B31,2))),0))))+SUMPRODUCT(--($G$2:$G31&lt;&gt;"")*--ISERROR(SEARCH("WHEAT",$G$2:$G31))*--($H$2:$H31="OCCUPIED")*--($B$2:$B31&lt;&gt;"")*--(IF(ISNUMBER($B$2:$B31),$B$2:$B31,IFERROR(DATE(2000+VALUE(RIGHT($B$2:$B31,2)),VALUE(MID($B$2:$B31,4,2)),VALUE(LEFT($B$2:$B31,2))),0))=IF(ISNUMBER(B31),B31,IFERROR(DATE(2000+VALUE(RIGHT(B31,2)),VALUE(MID(B31,4,2)),VALUE(LEFT(B31,2))),0)))),""))</f>
        <v/>
      </c>
    </row>
    <row r="32" ht="15" customHeight="1" s="42">
      <c r="A32" s="55">
        <f>IF(D32="","",ROWS($D$2:D32))</f>
        <v/>
      </c>
      <c r="B32" s="79" t="n">
        <v>46249</v>
      </c>
      <c r="C32" s="89" t="n">
        <v>9</v>
      </c>
      <c r="D32" s="89" t="inlineStr">
        <is>
          <t>9A07</t>
        </is>
      </c>
      <c r="E32" s="80" t="n">
        <v>3501</v>
      </c>
      <c r="F32" s="81" t="n">
        <v>172.964622</v>
      </c>
      <c r="G32" s="80" t="inlineStr">
        <is>
          <t>FRK  RRA 2024-25</t>
        </is>
      </c>
      <c r="H32" s="55">
        <f>IF(AND(E32="",F32="",G32=""),"EMPTY","OCCUPIED")</f>
        <v/>
      </c>
      <c r="I32" s="59">
        <f>IF(B32="","",IF(ISNUMBER(B32),MAX(0,TODAY()-(IF(ISNUMBER(B32),B32,IFERROR(DATE(2000+VALUE(RIGHT(B32,2)),VALUE(MID(B32,4,2)),VALUE(LEFT(B32,2))),"")))),IFERROR(MAX(0,TODAY()-DATE(2000+VALUE(RIGHT(B32,2)),VALUE(MID(B32,4,2)),VALUE(LEFT(B32,2))),"")))</f>
        <v/>
      </c>
      <c r="J32" s="79" t="n"/>
      <c r="K32" s="79" t="n"/>
      <c r="L32" s="79" t="n"/>
      <c r="M32" s="44">
        <f>IF(AND(H32="OCCUPIED",J32&lt;&gt;"",K32=""),1,0)</f>
        <v/>
      </c>
      <c r="N32" s="44">
        <f>IF(M32=1,COUNTIF($M$2:M32,1),"")</f>
        <v/>
      </c>
      <c r="O32" s="60">
        <f>IF(AND(J32&lt;&gt;"",K32=""),IF(ISNUMBER(J32),IF(TODAY()-(IF(ISNUMBER(J32),J32,IFERROR(DATE(2000+VALUE(RIGHT(J32,2)),VALUE(MID(J32,4,2)),VALUE(LEFT(J32,2))),"")))&gt;5,1,0),IFERROR(IF(TODAY()-DATE(2000+VALUE(RIGHT(J32,2)),VALUE(MID(J32,4,2)),VALUE(LEFT(J32,2)))&gt;5,1,0),0)),0)</f>
        <v/>
      </c>
      <c r="P32" s="60">
        <f>IF(O32=1,COUNTIF($O$2:O32,1),"")</f>
        <v/>
      </c>
      <c r="Q32" s="77">
        <f>IF(OR(B32="",G32="",H32&lt;&gt;"OCCUPIED"),"",IF(ISNUMBER(SEARCH("WHEAT",G32)),SUMPRODUCT(--ISNUMBER(SEARCH("WHEAT",$G$2:$G$100))*--($H$2:$H$100="OCCUPIED")*--($B$2:$B$100&lt;&gt;"")*--(IF(ISNUMBER($B$2:$B$100),$B$2:$B$100,IFERROR(DATE(2000+VALUE(RIGHT($B$2:$B$100,2)),VALUE(MID($B$2:$B$100,4,2)),VALUE(LEFT($B$2:$B$100,2))),0))&lt;IF(ISNUMBER(B32),B32,IFERROR(DATE(2000+VALUE(RIGHT(B32,2)),VALUE(MID(B32,4,2)),VALUE(LEFT(B32,2))),0))))+SUMPRODUCT(--ISNUMBER(SEARCH("WHEAT",$G$2:$G32))*--($H$2:$H32="OCCUPIED")*--($B$2:$B32&lt;&gt;"")*--(IF(ISNUMBER($B$2:$B32),$B$2:$B32,IFERROR(DATE(2000+VALUE(RIGHT($B$2:$B32,2)),VALUE(MID($B$2:$B32,4,2)),VALUE(LEFT($B$2:$B32,2))),0))=IF(ISNUMBER(B32),B32,IFERROR(DATE(2000+VALUE(RIGHT(B32,2)),VALUE(MID(B32,4,2)),VALUE(LEFT(B32,2))),0)))),""))</f>
        <v/>
      </c>
      <c r="R32" s="77">
        <f>IF(OR(B32="",G32="",H32&lt;&gt;"OCCUPIED"),"",IF(NOT(ISNUMBER(SEARCH("WHEAT",G32))),SUMPRODUCT(--($G$2:$G$100&lt;&gt;"")*--ISERROR(SEARCH("WHEAT",$G$2:$G$100))*--($H$2:$H$100="OCCUPIED")*--($B$2:$B$100&lt;&gt;"")*--(IF(ISNUMBER($B$2:$B$100),$B$2:$B$100,IFERROR(DATE(2000+VALUE(RIGHT($B$2:$B$100,2)),VALUE(MID($B$2:$B$100,4,2)),VALUE(LEFT($B$2:$B$100,2))),0))&lt;IF(ISNUMBER(B32),B32,IFERROR(DATE(2000+VALUE(RIGHT(B32,2)),VALUE(MID(B32,4,2)),VALUE(LEFT(B32,2))),0))))+SUMPRODUCT(--($G$2:$G32&lt;&gt;"")*--ISERROR(SEARCH("WHEAT",$G$2:$G32))*--($H$2:$H32="OCCUPIED")*--($B$2:$B32&lt;&gt;"")*--(IF(ISNUMBER($B$2:$B32),$B$2:$B32,IFERROR(DATE(2000+VALUE(RIGHT($B$2:$B32,2)),VALUE(MID($B$2:$B32,4,2)),VALUE(LEFT($B$2:$B32,2))),0))=IF(ISNUMBER(B32),B32,IFERROR(DATE(2000+VALUE(RIGHT(B32,2)),VALUE(MID(B32,4,2)),VALUE(LEFT(B32,2))),0)))),""))</f>
        <v/>
      </c>
    </row>
    <row r="33" ht="15" customHeight="1" s="42">
      <c r="A33" s="61">
        <f>IF(D33="","",ROWS($D$2:D33))</f>
        <v/>
      </c>
      <c r="B33" s="79" t="n">
        <v>46249</v>
      </c>
      <c r="C33" s="90" t="n">
        <v>9</v>
      </c>
      <c r="D33" s="90" t="inlineStr">
        <is>
          <t>9A08</t>
        </is>
      </c>
      <c r="E33" s="80" t="n">
        <v>3501</v>
      </c>
      <c r="F33" s="81" t="n">
        <v>173.953365</v>
      </c>
      <c r="G33" s="80" t="inlineStr">
        <is>
          <t>FRK  RRA 2024-25</t>
        </is>
      </c>
      <c r="H33" s="61">
        <f>IF(AND(E33="",F33="",G33=""),"EMPTY","OCCUPIED")</f>
        <v/>
      </c>
      <c r="I33" s="62">
        <f>IF(B33="","",IF(ISNUMBER(B33),MAX(0,TODAY()-(IF(ISNUMBER(B33),B33,IFERROR(DATE(2000+VALUE(RIGHT(B33,2)),VALUE(MID(B33,4,2)),VALUE(LEFT(B33,2))),"")))),IFERROR(MAX(0,TODAY()-DATE(2000+VALUE(RIGHT(B33,2)),VALUE(MID(B33,4,2)),VALUE(LEFT(B33,2))),"")))</f>
        <v/>
      </c>
      <c r="J33" s="79" t="n"/>
      <c r="K33" s="79" t="n"/>
      <c r="L33" s="79" t="n"/>
      <c r="M33" s="44">
        <f>IF(AND(H33="OCCUPIED",J33&lt;&gt;"",K33=""),1,0)</f>
        <v/>
      </c>
      <c r="N33" s="44">
        <f>IF(M33=1,COUNTIF($M$2:M33,1),"")</f>
        <v/>
      </c>
      <c r="O33" s="60">
        <f>IF(AND(J33&lt;&gt;"",K33=""),IF(ISNUMBER(J33),IF(TODAY()-(IF(ISNUMBER(J33),J33,IFERROR(DATE(2000+VALUE(RIGHT(J33,2)),VALUE(MID(J33,4,2)),VALUE(LEFT(J33,2))),"")))&gt;5,1,0),IFERROR(IF(TODAY()-DATE(2000+VALUE(RIGHT(J33,2)),VALUE(MID(J33,4,2)),VALUE(LEFT(J33,2)))&gt;5,1,0),0)),0)</f>
        <v/>
      </c>
      <c r="P33" s="60">
        <f>IF(O33=1,COUNTIF($O$2:O33,1),"")</f>
        <v/>
      </c>
      <c r="Q33" s="77">
        <f>IF(OR(B33="",G33="",H33&lt;&gt;"OCCUPIED"),"",IF(ISNUMBER(SEARCH("WHEAT",G33)),SUMPRODUCT(--ISNUMBER(SEARCH("WHEAT",$G$2:$G$100))*--($H$2:$H$100="OCCUPIED")*--($B$2:$B$100&lt;&gt;"")*--(IF(ISNUMBER($B$2:$B$100),$B$2:$B$100,IFERROR(DATE(2000+VALUE(RIGHT($B$2:$B$100,2)),VALUE(MID($B$2:$B$100,4,2)),VALUE(LEFT($B$2:$B$100,2))),0))&lt;IF(ISNUMBER(B33),B33,IFERROR(DATE(2000+VALUE(RIGHT(B33,2)),VALUE(MID(B33,4,2)),VALUE(LEFT(B33,2))),0))))+SUMPRODUCT(--ISNUMBER(SEARCH("WHEAT",$G$2:$G33))*--($H$2:$H33="OCCUPIED")*--($B$2:$B33&lt;&gt;"")*--(IF(ISNUMBER($B$2:$B33),$B$2:$B33,IFERROR(DATE(2000+VALUE(RIGHT($B$2:$B33,2)),VALUE(MID($B$2:$B33,4,2)),VALUE(LEFT($B$2:$B33,2))),0))=IF(ISNUMBER(B33),B33,IFERROR(DATE(2000+VALUE(RIGHT(B33,2)),VALUE(MID(B33,4,2)),VALUE(LEFT(B33,2))),0)))),""))</f>
        <v/>
      </c>
      <c r="R33" s="77">
        <f>IF(OR(B33="",G33="",H33&lt;&gt;"OCCUPIED"),"",IF(NOT(ISNUMBER(SEARCH("WHEAT",G33))),SUMPRODUCT(--($G$2:$G$100&lt;&gt;"")*--ISERROR(SEARCH("WHEAT",$G$2:$G$100))*--($H$2:$H$100="OCCUPIED")*--($B$2:$B$100&lt;&gt;"")*--(IF(ISNUMBER($B$2:$B$100),$B$2:$B$100,IFERROR(DATE(2000+VALUE(RIGHT($B$2:$B$100,2)),VALUE(MID($B$2:$B$100,4,2)),VALUE(LEFT($B$2:$B$100,2))),0))&lt;IF(ISNUMBER(B33),B33,IFERROR(DATE(2000+VALUE(RIGHT(B33,2)),VALUE(MID(B33,4,2)),VALUE(LEFT(B33,2))),0))))+SUMPRODUCT(--($G$2:$G33&lt;&gt;"")*--ISERROR(SEARCH("WHEAT",$G$2:$G33))*--($H$2:$H33="OCCUPIED")*--($B$2:$B33&lt;&gt;"")*--(IF(ISNUMBER($B$2:$B33),$B$2:$B33,IFERROR(DATE(2000+VALUE(RIGHT($B$2:$B33,2)),VALUE(MID($B$2:$B33,4,2)),VALUE(LEFT($B$2:$B33,2))),0))=IF(ISNUMBER(B33),B33,IFERROR(DATE(2000+VALUE(RIGHT(B33,2)),VALUE(MID(B33,4,2)),VALUE(LEFT(B33,2))),0)))),""))</f>
        <v/>
      </c>
    </row>
    <row r="34" ht="15" customHeight="1" s="42">
      <c r="A34" s="55">
        <f>IF(D34="","",ROWS($D$2:D34))</f>
        <v/>
      </c>
      <c r="B34" s="79" t="n"/>
      <c r="C34" s="89" t="n">
        <v>9</v>
      </c>
      <c r="D34" s="89" t="inlineStr">
        <is>
          <t>9A09</t>
        </is>
      </c>
      <c r="E34" s="80" t="n"/>
      <c r="F34" s="81" t="n"/>
      <c r="G34" s="80" t="n"/>
      <c r="H34" s="55">
        <f>IF(AND(E34="",F34="",G34=""),"EMPTY","OCCUPIED")</f>
        <v/>
      </c>
      <c r="I34" s="59">
        <f>IF(B34="","",IF(ISNUMBER(B34),MAX(0,TODAY()-(IF(ISNUMBER(B34),B34,IFERROR(DATE(2000+VALUE(RIGHT(B34,2)),VALUE(MID(B34,4,2)),VALUE(LEFT(B34,2))),"")))),IFERROR(MAX(0,TODAY()-DATE(2000+VALUE(RIGHT(B34,2)),VALUE(MID(B34,4,2)),VALUE(LEFT(B34,2))),"")))</f>
        <v/>
      </c>
      <c r="J34" s="79" t="n"/>
      <c r="K34" s="79" t="n"/>
      <c r="L34" s="79" t="n"/>
      <c r="M34" s="44">
        <f>IF(AND(H34="OCCUPIED",J34&lt;&gt;"",K34=""),1,0)</f>
        <v/>
      </c>
      <c r="N34" s="44">
        <f>IF(M34=1,COUNTIF($M$2:M34,1),"")</f>
        <v/>
      </c>
      <c r="O34" s="60">
        <f>IF(AND(J34&lt;&gt;"",K34=""),IF(ISNUMBER(J34),IF(TODAY()-(IF(ISNUMBER(J34),J34,IFERROR(DATE(2000+VALUE(RIGHT(J34,2)),VALUE(MID(J34,4,2)),VALUE(LEFT(J34,2))),"")))&gt;5,1,0),IFERROR(IF(TODAY()-DATE(2000+VALUE(RIGHT(J34,2)),VALUE(MID(J34,4,2)),VALUE(LEFT(J34,2)))&gt;5,1,0),0)),0)</f>
        <v/>
      </c>
      <c r="P34" s="60">
        <f>IF(O34=1,COUNTIF($O$2:O34,1),"")</f>
        <v/>
      </c>
      <c r="Q34" s="77">
        <f>IF(OR(B34="",G34="",H34&lt;&gt;"OCCUPIED"),"",IF(ISNUMBER(SEARCH("WHEAT",G34)),SUMPRODUCT(--ISNUMBER(SEARCH("WHEAT",$G$2:$G$100))*--($H$2:$H$100="OCCUPIED")*--($B$2:$B$100&lt;&gt;"")*--(IF(ISNUMBER($B$2:$B$100),$B$2:$B$100,IFERROR(DATE(2000+VALUE(RIGHT($B$2:$B$100,2)),VALUE(MID($B$2:$B$100,4,2)),VALUE(LEFT($B$2:$B$100,2))),0))&lt;IF(ISNUMBER(B34),B34,IFERROR(DATE(2000+VALUE(RIGHT(B34,2)),VALUE(MID(B34,4,2)),VALUE(LEFT(B34,2))),0))))+SUMPRODUCT(--ISNUMBER(SEARCH("WHEAT",$G$2:$G34))*--($H$2:$H34="OCCUPIED")*--($B$2:$B34&lt;&gt;"")*--(IF(ISNUMBER($B$2:$B34),$B$2:$B34,IFERROR(DATE(2000+VALUE(RIGHT($B$2:$B34,2)),VALUE(MID($B$2:$B34,4,2)),VALUE(LEFT($B$2:$B34,2))),0))=IF(ISNUMBER(B34),B34,IFERROR(DATE(2000+VALUE(RIGHT(B34,2)),VALUE(MID(B34,4,2)),VALUE(LEFT(B34,2))),0)))),""))</f>
        <v/>
      </c>
      <c r="R34" s="77">
        <f>IF(OR(B34="",G34="",H34&lt;&gt;"OCCUPIED"),"",IF(NOT(ISNUMBER(SEARCH("WHEAT",G34))),SUMPRODUCT(--($G$2:$G$100&lt;&gt;"")*--ISERROR(SEARCH("WHEAT",$G$2:$G$100))*--($H$2:$H$100="OCCUPIED")*--($B$2:$B$100&lt;&gt;"")*--(IF(ISNUMBER($B$2:$B$100),$B$2:$B$100,IFERROR(DATE(2000+VALUE(RIGHT($B$2:$B$100,2)),VALUE(MID($B$2:$B$100,4,2)),VALUE(LEFT($B$2:$B$100,2))),0))&lt;IF(ISNUMBER(B34),B34,IFERROR(DATE(2000+VALUE(RIGHT(B34,2)),VALUE(MID(B34,4,2)),VALUE(LEFT(B34,2))),0))))+SUMPRODUCT(--($G$2:$G34&lt;&gt;"")*--ISERROR(SEARCH("WHEAT",$G$2:$G34))*--($H$2:$H34="OCCUPIED")*--($B$2:$B34&lt;&gt;"")*--(IF(ISNUMBER($B$2:$B34),$B$2:$B34,IFERROR(DATE(2000+VALUE(RIGHT($B$2:$B34,2)),VALUE(MID($B$2:$B34,4,2)),VALUE(LEFT($B$2:$B34,2))),0))=IF(ISNUMBER(B34),B34,IFERROR(DATE(2000+VALUE(RIGHT(B34,2)),VALUE(MID(B34,4,2)),VALUE(LEFT(B34,2))),0)))),""))</f>
        <v/>
      </c>
    </row>
    <row r="35" ht="15" customHeight="1" s="42">
      <c r="A35" s="61">
        <f>IF(D35="","",ROWS($D$2:D35))</f>
        <v/>
      </c>
      <c r="B35" s="79" t="n">
        <v>46249</v>
      </c>
      <c r="C35" s="90" t="n">
        <v>9</v>
      </c>
      <c r="D35" s="90" t="inlineStr">
        <is>
          <t>9B10</t>
        </is>
      </c>
      <c r="E35" s="80" t="n">
        <v>3501</v>
      </c>
      <c r="F35" s="81" t="n">
        <v>170.647564</v>
      </c>
      <c r="G35" s="80" t="inlineStr">
        <is>
          <t>FRK  RRA 2024-25</t>
        </is>
      </c>
      <c r="H35" s="61">
        <f>IF(AND(E35="",F35="",G35=""),"EMPTY","OCCUPIED")</f>
        <v/>
      </c>
      <c r="I35" s="62">
        <f>IF(B35="","",IF(ISNUMBER(B35),MAX(0,TODAY()-(IF(ISNUMBER(B35),B35,IFERROR(DATE(2000+VALUE(RIGHT(B35,2)),VALUE(MID(B35,4,2)),VALUE(LEFT(B35,2))),"")))),IFERROR(MAX(0,TODAY()-DATE(2000+VALUE(RIGHT(B35,2)),VALUE(MID(B35,4,2)),VALUE(LEFT(B35,2))),"")))</f>
        <v/>
      </c>
      <c r="J35" s="79" t="n"/>
      <c r="K35" s="79" t="n"/>
      <c r="L35" s="79" t="n"/>
      <c r="M35" s="44">
        <f>IF(AND(H35="OCCUPIED",J35&lt;&gt;"",K35=""),1,0)</f>
        <v/>
      </c>
      <c r="N35" s="44">
        <f>IF(M35=1,COUNTIF($M$2:M35,1),"")</f>
        <v/>
      </c>
      <c r="O35" s="60">
        <f>IF(AND(J35&lt;&gt;"",K35=""),IF(ISNUMBER(J35),IF(TODAY()-(IF(ISNUMBER(J35),J35,IFERROR(DATE(2000+VALUE(RIGHT(J35,2)),VALUE(MID(J35,4,2)),VALUE(LEFT(J35,2))),"")))&gt;5,1,0),IFERROR(IF(TODAY()-DATE(2000+VALUE(RIGHT(J35,2)),VALUE(MID(J35,4,2)),VALUE(LEFT(J35,2)))&gt;5,1,0),0)),0)</f>
        <v/>
      </c>
      <c r="P35" s="60">
        <f>IF(O35=1,COUNTIF($O$2:O35,1),"")</f>
        <v/>
      </c>
      <c r="Q35" s="77">
        <f>IF(OR(B35="",G35="",H35&lt;&gt;"OCCUPIED"),"",IF(ISNUMBER(SEARCH("WHEAT",G35)),SUMPRODUCT(--ISNUMBER(SEARCH("WHEAT",$G$2:$G$100))*--($H$2:$H$100="OCCUPIED")*--($B$2:$B$100&lt;&gt;"")*--(IF(ISNUMBER($B$2:$B$100),$B$2:$B$100,IFERROR(DATE(2000+VALUE(RIGHT($B$2:$B$100,2)),VALUE(MID($B$2:$B$100,4,2)),VALUE(LEFT($B$2:$B$100,2))),0))&lt;IF(ISNUMBER(B35),B35,IFERROR(DATE(2000+VALUE(RIGHT(B35,2)),VALUE(MID(B35,4,2)),VALUE(LEFT(B35,2))),0))))+SUMPRODUCT(--ISNUMBER(SEARCH("WHEAT",$G$2:$G35))*--($H$2:$H35="OCCUPIED")*--($B$2:$B35&lt;&gt;"")*--(IF(ISNUMBER($B$2:$B35),$B$2:$B35,IFERROR(DATE(2000+VALUE(RIGHT($B$2:$B35,2)),VALUE(MID($B$2:$B35,4,2)),VALUE(LEFT($B$2:$B35,2))),0))=IF(ISNUMBER(B35),B35,IFERROR(DATE(2000+VALUE(RIGHT(B35,2)),VALUE(MID(B35,4,2)),VALUE(LEFT(B35,2))),0)))),""))</f>
        <v/>
      </c>
      <c r="R35" s="77">
        <f>IF(OR(B35="",G35="",H35&lt;&gt;"OCCUPIED"),"",IF(NOT(ISNUMBER(SEARCH("WHEAT",G35))),SUMPRODUCT(--($G$2:$G$100&lt;&gt;"")*--ISERROR(SEARCH("WHEAT",$G$2:$G$100))*--($H$2:$H$100="OCCUPIED")*--($B$2:$B$100&lt;&gt;"")*--(IF(ISNUMBER($B$2:$B$100),$B$2:$B$100,IFERROR(DATE(2000+VALUE(RIGHT($B$2:$B$100,2)),VALUE(MID($B$2:$B$100,4,2)),VALUE(LEFT($B$2:$B$100,2))),0))&lt;IF(ISNUMBER(B35),B35,IFERROR(DATE(2000+VALUE(RIGHT(B35,2)),VALUE(MID(B35,4,2)),VALUE(LEFT(B35,2))),0))))+SUMPRODUCT(--($G$2:$G35&lt;&gt;"")*--ISERROR(SEARCH("WHEAT",$G$2:$G35))*--($H$2:$H35="OCCUPIED")*--($B$2:$B35&lt;&gt;"")*--(IF(ISNUMBER($B$2:$B35),$B$2:$B35,IFERROR(DATE(2000+VALUE(RIGHT($B$2:$B35,2)),VALUE(MID($B$2:$B35,4,2)),VALUE(LEFT($B$2:$B35,2))),0))=IF(ISNUMBER(B35),B35,IFERROR(DATE(2000+VALUE(RIGHT(B35,2)),VALUE(MID(B35,4,2)),VALUE(LEFT(B35,2))),0)))),""))</f>
        <v/>
      </c>
    </row>
    <row r="36" ht="15" customHeight="1" s="42">
      <c r="A36" s="55">
        <f>IF(D36="","",ROWS($D$2:D36))</f>
        <v/>
      </c>
      <c r="B36" s="79" t="n">
        <v>46249</v>
      </c>
      <c r="C36" s="89" t="n">
        <v>9</v>
      </c>
      <c r="D36" s="89" t="inlineStr">
        <is>
          <t>9B11</t>
        </is>
      </c>
      <c r="E36" s="80" t="n">
        <v>3501</v>
      </c>
      <c r="F36" s="81" t="n">
        <v>177.259771</v>
      </c>
      <c r="G36" s="80" t="inlineStr">
        <is>
          <t>WHEAT FAQ 2025-26</t>
        </is>
      </c>
      <c r="H36" s="55">
        <f>IF(AND(E36="",F36="",G36=""),"EMPTY","OCCUPIED")</f>
        <v/>
      </c>
      <c r="I36" s="59">
        <f>IF(B36="","",IF(ISNUMBER(B36),MAX(0,TODAY()-(IF(ISNUMBER(B36),B36,IFERROR(DATE(2000+VALUE(RIGHT(B36,2)),VALUE(MID(B36,4,2)),VALUE(LEFT(B36,2))),"")))),IFERROR(MAX(0,TODAY()-DATE(2000+VALUE(RIGHT(B36,2)),VALUE(MID(B36,4,2)),VALUE(LEFT(B36,2))),"")))</f>
        <v/>
      </c>
      <c r="J36" s="79" t="n"/>
      <c r="K36" s="79" t="n"/>
      <c r="L36" s="79" t="n"/>
      <c r="M36" s="44">
        <f>IF(AND(H36="OCCUPIED",J36&lt;&gt;"",K36=""),1,0)</f>
        <v/>
      </c>
      <c r="N36" s="44">
        <f>IF(M36=1,COUNTIF($M$2:M36,1),"")</f>
        <v/>
      </c>
      <c r="O36" s="60">
        <f>IF(AND(J36&lt;&gt;"",K36=""),IF(ISNUMBER(J36),IF(TODAY()-(IF(ISNUMBER(J36),J36,IFERROR(DATE(2000+VALUE(RIGHT(J36,2)),VALUE(MID(J36,4,2)),VALUE(LEFT(J36,2))),"")))&gt;5,1,0),IFERROR(IF(TODAY()-DATE(2000+VALUE(RIGHT(J36,2)),VALUE(MID(J36,4,2)),VALUE(LEFT(J36,2)))&gt;5,1,0),0)),0)</f>
        <v/>
      </c>
      <c r="P36" s="60">
        <f>IF(O36=1,COUNTIF($O$2:O36,1),"")</f>
        <v/>
      </c>
      <c r="Q36" s="77">
        <f>IF(OR(B36="",G36="",H36&lt;&gt;"OCCUPIED"),"",IF(ISNUMBER(SEARCH("WHEAT",G36)),SUMPRODUCT(--ISNUMBER(SEARCH("WHEAT",$G$2:$G$100))*--($H$2:$H$100="OCCUPIED")*--($B$2:$B$100&lt;&gt;"")*--(IF(ISNUMBER($B$2:$B$100),$B$2:$B$100,IFERROR(DATE(2000+VALUE(RIGHT($B$2:$B$100,2)),VALUE(MID($B$2:$B$100,4,2)),VALUE(LEFT($B$2:$B$100,2))),0))&lt;IF(ISNUMBER(B36),B36,IFERROR(DATE(2000+VALUE(RIGHT(B36,2)),VALUE(MID(B36,4,2)),VALUE(LEFT(B36,2))),0))))+SUMPRODUCT(--ISNUMBER(SEARCH("WHEAT",$G$2:$G36))*--($H$2:$H36="OCCUPIED")*--($B$2:$B36&lt;&gt;"")*--(IF(ISNUMBER($B$2:$B36),$B$2:$B36,IFERROR(DATE(2000+VALUE(RIGHT($B$2:$B36,2)),VALUE(MID($B$2:$B36,4,2)),VALUE(LEFT($B$2:$B36,2))),0))=IF(ISNUMBER(B36),B36,IFERROR(DATE(2000+VALUE(RIGHT(B36,2)),VALUE(MID(B36,4,2)),VALUE(LEFT(B36,2))),0)))),""))</f>
        <v/>
      </c>
      <c r="R36" s="77">
        <f>IF(OR(B36="",G36="",H36&lt;&gt;"OCCUPIED"),"",IF(NOT(ISNUMBER(SEARCH("WHEAT",G36))),SUMPRODUCT(--($G$2:$G$100&lt;&gt;"")*--ISERROR(SEARCH("WHEAT",$G$2:$G$100))*--($H$2:$H$100="OCCUPIED")*--($B$2:$B$100&lt;&gt;"")*--(IF(ISNUMBER($B$2:$B$100),$B$2:$B$100,IFERROR(DATE(2000+VALUE(RIGHT($B$2:$B$100,2)),VALUE(MID($B$2:$B$100,4,2)),VALUE(LEFT($B$2:$B$100,2))),0))&lt;IF(ISNUMBER(B36),B36,IFERROR(DATE(2000+VALUE(RIGHT(B36,2)),VALUE(MID(B36,4,2)),VALUE(LEFT(B36,2))),0))))+SUMPRODUCT(--($G$2:$G36&lt;&gt;"")*--ISERROR(SEARCH("WHEAT",$G$2:$G36))*--($H$2:$H36="OCCUPIED")*--($B$2:$B36&lt;&gt;"")*--(IF(ISNUMBER($B$2:$B36),$B$2:$B36,IFERROR(DATE(2000+VALUE(RIGHT($B$2:$B36,2)),VALUE(MID($B$2:$B36,4,2)),VALUE(LEFT($B$2:$B36,2))),0))=IF(ISNUMBER(B36),B36,IFERROR(DATE(2000+VALUE(RIGHT(B36,2)),VALUE(MID(B36,4,2)),VALUE(LEFT(B36,2))),0)))),""))</f>
        <v/>
      </c>
    </row>
    <row r="37" ht="15" customHeight="1" s="42">
      <c r="A37" s="61">
        <f>IF(D37="","",ROWS($D$2:D37))</f>
        <v/>
      </c>
      <c r="B37" s="79" t="n">
        <v>46249</v>
      </c>
      <c r="C37" s="90" t="n">
        <v>9</v>
      </c>
      <c r="D37" s="90" t="inlineStr">
        <is>
          <t>9B12</t>
        </is>
      </c>
      <c r="E37" s="80" t="n">
        <v>3501</v>
      </c>
      <c r="F37" s="81" t="n">
        <v>172.85983</v>
      </c>
      <c r="G37" s="80" t="inlineStr">
        <is>
          <t>FRK  RRA 2024-25</t>
        </is>
      </c>
      <c r="H37" s="61">
        <f>IF(AND(E37="",F37="",G37=""),"EMPTY","OCCUPIED")</f>
        <v/>
      </c>
      <c r="I37" s="62">
        <f>IF(B37="","",IF(ISNUMBER(B37),MAX(0,TODAY()-(IF(ISNUMBER(B37),B37,IFERROR(DATE(2000+VALUE(RIGHT(B37,2)),VALUE(MID(B37,4,2)),VALUE(LEFT(B37,2))),"")))),IFERROR(MAX(0,TODAY()-DATE(2000+VALUE(RIGHT(B37,2)),VALUE(MID(B37,4,2)),VALUE(LEFT(B37,2))),"")))</f>
        <v/>
      </c>
      <c r="J37" s="79" t="n"/>
      <c r="K37" s="79" t="n"/>
      <c r="L37" s="79" t="n"/>
      <c r="M37" s="44">
        <f>IF(AND(H37="OCCUPIED",J37&lt;&gt;"",K37=""),1,0)</f>
        <v/>
      </c>
      <c r="N37" s="44">
        <f>IF(M37=1,COUNTIF($M$2:M37,1),"")</f>
        <v/>
      </c>
      <c r="O37" s="60">
        <f>IF(AND(J37&lt;&gt;"",K37=""),IF(ISNUMBER(J37),IF(TODAY()-(IF(ISNUMBER(J37),J37,IFERROR(DATE(2000+VALUE(RIGHT(J37,2)),VALUE(MID(J37,4,2)),VALUE(LEFT(J37,2))),"")))&gt;5,1,0),IFERROR(IF(TODAY()-DATE(2000+VALUE(RIGHT(J37,2)),VALUE(MID(J37,4,2)),VALUE(LEFT(J37,2)))&gt;5,1,0),0)),0)</f>
        <v/>
      </c>
      <c r="P37" s="60">
        <f>IF(O37=1,COUNTIF($O$2:O37,1),"")</f>
        <v/>
      </c>
      <c r="Q37" s="77">
        <f>IF(OR(B37="",G37="",H37&lt;&gt;"OCCUPIED"),"",IF(ISNUMBER(SEARCH("WHEAT",G37)),SUMPRODUCT(--ISNUMBER(SEARCH("WHEAT",$G$2:$G$100))*--($H$2:$H$100="OCCUPIED")*--($B$2:$B$100&lt;&gt;"")*--(IF(ISNUMBER($B$2:$B$100),$B$2:$B$100,IFERROR(DATE(2000+VALUE(RIGHT($B$2:$B$100,2)),VALUE(MID($B$2:$B$100,4,2)),VALUE(LEFT($B$2:$B$100,2))),0))&lt;IF(ISNUMBER(B37),B37,IFERROR(DATE(2000+VALUE(RIGHT(B37,2)),VALUE(MID(B37,4,2)),VALUE(LEFT(B37,2))),0))))+SUMPRODUCT(--ISNUMBER(SEARCH("WHEAT",$G$2:$G37))*--($H$2:$H37="OCCUPIED")*--($B$2:$B37&lt;&gt;"")*--(IF(ISNUMBER($B$2:$B37),$B$2:$B37,IFERROR(DATE(2000+VALUE(RIGHT($B$2:$B37,2)),VALUE(MID($B$2:$B37,4,2)),VALUE(LEFT($B$2:$B37,2))),0))=IF(ISNUMBER(B37),B37,IFERROR(DATE(2000+VALUE(RIGHT(B37,2)),VALUE(MID(B37,4,2)),VALUE(LEFT(B37,2))),0)))),""))</f>
        <v/>
      </c>
      <c r="R37" s="77">
        <f>IF(OR(B37="",G37="",H37&lt;&gt;"OCCUPIED"),"",IF(NOT(ISNUMBER(SEARCH("WHEAT",G37))),SUMPRODUCT(--($G$2:$G$100&lt;&gt;"")*--ISERROR(SEARCH("WHEAT",$G$2:$G$100))*--($H$2:$H$100="OCCUPIED")*--($B$2:$B$100&lt;&gt;"")*--(IF(ISNUMBER($B$2:$B$100),$B$2:$B$100,IFERROR(DATE(2000+VALUE(RIGHT($B$2:$B$100,2)),VALUE(MID($B$2:$B$100,4,2)),VALUE(LEFT($B$2:$B$100,2))),0))&lt;IF(ISNUMBER(B37),B37,IFERROR(DATE(2000+VALUE(RIGHT(B37,2)),VALUE(MID(B37,4,2)),VALUE(LEFT(B37,2))),0))))+SUMPRODUCT(--($G$2:$G37&lt;&gt;"")*--ISERROR(SEARCH("WHEAT",$G$2:$G37))*--($H$2:$H37="OCCUPIED")*--($B$2:$B37&lt;&gt;"")*--(IF(ISNUMBER($B$2:$B37),$B$2:$B37,IFERROR(DATE(2000+VALUE(RIGHT($B$2:$B37,2)),VALUE(MID($B$2:$B37,4,2)),VALUE(LEFT($B$2:$B37,2))),0))=IF(ISNUMBER(B37),B37,IFERROR(DATE(2000+VALUE(RIGHT(B37,2)),VALUE(MID(B37,4,2)),VALUE(LEFT(B37,2))),0)))),""))</f>
        <v/>
      </c>
    </row>
    <row r="38" ht="15" customHeight="1" s="42">
      <c r="A38" s="55">
        <f>IF(D38="","",ROWS($D$2:D38))</f>
        <v/>
      </c>
      <c r="B38" s="79" t="n">
        <v>46249</v>
      </c>
      <c r="C38" s="89" t="n">
        <v>9</v>
      </c>
      <c r="D38" s="89" t="inlineStr">
        <is>
          <t>9B13</t>
        </is>
      </c>
      <c r="E38" s="80" t="n">
        <v>3501</v>
      </c>
      <c r="F38" s="81" t="n">
        <v>172.480731</v>
      </c>
      <c r="G38" s="80" t="inlineStr">
        <is>
          <t>FRK  RRA 2024-25</t>
        </is>
      </c>
      <c r="H38" s="55">
        <f>IF(AND(E38="",F38="",G38=""),"EMPTY","OCCUPIED")</f>
        <v/>
      </c>
      <c r="I38" s="59">
        <f>IF(B38="","",IF(ISNUMBER(B38),MAX(0,TODAY()-(IF(ISNUMBER(B38),B38,IFERROR(DATE(2000+VALUE(RIGHT(B38,2)),VALUE(MID(B38,4,2)),VALUE(LEFT(B38,2))),"")))),IFERROR(MAX(0,TODAY()-DATE(2000+VALUE(RIGHT(B38,2)),VALUE(MID(B38,4,2)),VALUE(LEFT(B38,2))),"")))</f>
        <v/>
      </c>
      <c r="J38" s="79" t="n"/>
      <c r="K38" s="79" t="n"/>
      <c r="L38" s="79" t="n"/>
      <c r="M38" s="44">
        <f>IF(AND(H38="OCCUPIED",J38&lt;&gt;"",K38=""),1,0)</f>
        <v/>
      </c>
      <c r="N38" s="44">
        <f>IF(M38=1,COUNTIF($M$2:M38,1),"")</f>
        <v/>
      </c>
      <c r="O38" s="60">
        <f>IF(AND(J38&lt;&gt;"",K38=""),IF(ISNUMBER(J38),IF(TODAY()-(IF(ISNUMBER(J38),J38,IFERROR(DATE(2000+VALUE(RIGHT(J38,2)),VALUE(MID(J38,4,2)),VALUE(LEFT(J38,2))),"")))&gt;5,1,0),IFERROR(IF(TODAY()-DATE(2000+VALUE(RIGHT(J38,2)),VALUE(MID(J38,4,2)),VALUE(LEFT(J38,2)))&gt;5,1,0),0)),0)</f>
        <v/>
      </c>
      <c r="P38" s="60">
        <f>IF(O38=1,COUNTIF($O$2:O38,1),"")</f>
        <v/>
      </c>
      <c r="Q38" s="77">
        <f>IF(OR(B38="",G38="",H38&lt;&gt;"OCCUPIED"),"",IF(ISNUMBER(SEARCH("WHEAT",G38)),SUMPRODUCT(--ISNUMBER(SEARCH("WHEAT",$G$2:$G$100))*--($H$2:$H$100="OCCUPIED")*--($B$2:$B$100&lt;&gt;"")*--(IF(ISNUMBER($B$2:$B$100),$B$2:$B$100,IFERROR(DATE(2000+VALUE(RIGHT($B$2:$B$100,2)),VALUE(MID($B$2:$B$100,4,2)),VALUE(LEFT($B$2:$B$100,2))),0))&lt;IF(ISNUMBER(B38),B38,IFERROR(DATE(2000+VALUE(RIGHT(B38,2)),VALUE(MID(B38,4,2)),VALUE(LEFT(B38,2))),0))))+SUMPRODUCT(--ISNUMBER(SEARCH("WHEAT",$G$2:$G38))*--($H$2:$H38="OCCUPIED")*--($B$2:$B38&lt;&gt;"")*--(IF(ISNUMBER($B$2:$B38),$B$2:$B38,IFERROR(DATE(2000+VALUE(RIGHT($B$2:$B38,2)),VALUE(MID($B$2:$B38,4,2)),VALUE(LEFT($B$2:$B38,2))),0))=IF(ISNUMBER(B38),B38,IFERROR(DATE(2000+VALUE(RIGHT(B38,2)),VALUE(MID(B38,4,2)),VALUE(LEFT(B38,2))),0)))),""))</f>
        <v/>
      </c>
      <c r="R38" s="77">
        <f>IF(OR(B38="",G38="",H38&lt;&gt;"OCCUPIED"),"",IF(NOT(ISNUMBER(SEARCH("WHEAT",G38))),SUMPRODUCT(--($G$2:$G$100&lt;&gt;"")*--ISERROR(SEARCH("WHEAT",$G$2:$G$100))*--($H$2:$H$100="OCCUPIED")*--($B$2:$B$100&lt;&gt;"")*--(IF(ISNUMBER($B$2:$B$100),$B$2:$B$100,IFERROR(DATE(2000+VALUE(RIGHT($B$2:$B$100,2)),VALUE(MID($B$2:$B$100,4,2)),VALUE(LEFT($B$2:$B$100,2))),0))&lt;IF(ISNUMBER(B38),B38,IFERROR(DATE(2000+VALUE(RIGHT(B38,2)),VALUE(MID(B38,4,2)),VALUE(LEFT(B38,2))),0))))+SUMPRODUCT(--($G$2:$G38&lt;&gt;"")*--ISERROR(SEARCH("WHEAT",$G$2:$G38))*--($H$2:$H38="OCCUPIED")*--($B$2:$B38&lt;&gt;"")*--(IF(ISNUMBER($B$2:$B38),$B$2:$B38,IFERROR(DATE(2000+VALUE(RIGHT($B$2:$B38,2)),VALUE(MID($B$2:$B38,4,2)),VALUE(LEFT($B$2:$B38,2))),0))=IF(ISNUMBER(B38),B38,IFERROR(DATE(2000+VALUE(RIGHT(B38,2)),VALUE(MID(B38,4,2)),VALUE(LEFT(B38,2))),0)))),""))</f>
        <v/>
      </c>
    </row>
    <row r="39" ht="15" customHeight="1" s="42">
      <c r="A39" s="61">
        <f>IF(D39="","",ROWS($D$2:D39))</f>
        <v/>
      </c>
      <c r="B39" s="79" t="n">
        <v>46249</v>
      </c>
      <c r="C39" s="90" t="n">
        <v>9</v>
      </c>
      <c r="D39" s="90" t="inlineStr">
        <is>
          <t>9B14</t>
        </is>
      </c>
      <c r="E39" s="80" t="n">
        <v>3501</v>
      </c>
      <c r="F39" s="81" t="n">
        <v>173.251172</v>
      </c>
      <c r="G39" s="80" t="inlineStr">
        <is>
          <t>FRK  RRA 2024-25</t>
        </is>
      </c>
      <c r="H39" s="61">
        <f>IF(AND(E39="",F39="",G39=""),"EMPTY","OCCUPIED")</f>
        <v/>
      </c>
      <c r="I39" s="62">
        <f>IF(B39="","",IF(ISNUMBER(B39),MAX(0,TODAY()-(IF(ISNUMBER(B39),B39,IFERROR(DATE(2000+VALUE(RIGHT(B39,2)),VALUE(MID(B39,4,2)),VALUE(LEFT(B39,2))),"")))),IFERROR(MAX(0,TODAY()-DATE(2000+VALUE(RIGHT(B39,2)),VALUE(MID(B39,4,2)),VALUE(LEFT(B39,2))),"")))</f>
        <v/>
      </c>
      <c r="J39" s="79" t="n"/>
      <c r="K39" s="79" t="n"/>
      <c r="L39" s="79" t="n"/>
      <c r="M39" s="44">
        <f>IF(AND(H39="OCCUPIED",J39&lt;&gt;"",K39=""),1,0)</f>
        <v/>
      </c>
      <c r="N39" s="44">
        <f>IF(M39=1,COUNTIF($M$2:M39,1),"")</f>
        <v/>
      </c>
      <c r="O39" s="60">
        <f>IF(AND(J39&lt;&gt;"",K39=""),IF(ISNUMBER(J39),IF(TODAY()-(IF(ISNUMBER(J39),J39,IFERROR(DATE(2000+VALUE(RIGHT(J39,2)),VALUE(MID(J39,4,2)),VALUE(LEFT(J39,2))),"")))&gt;5,1,0),IFERROR(IF(TODAY()-DATE(2000+VALUE(RIGHT(J39,2)),VALUE(MID(J39,4,2)),VALUE(LEFT(J39,2)))&gt;5,1,0),0)),0)</f>
        <v/>
      </c>
      <c r="P39" s="60">
        <f>IF(O39=1,COUNTIF($O$2:O39,1),"")</f>
        <v/>
      </c>
      <c r="Q39" s="77">
        <f>IF(OR(B39="",G39="",H39&lt;&gt;"OCCUPIED"),"",IF(ISNUMBER(SEARCH("WHEAT",G39)),SUMPRODUCT(--ISNUMBER(SEARCH("WHEAT",$G$2:$G$100))*--($H$2:$H$100="OCCUPIED")*--($B$2:$B$100&lt;&gt;"")*--(IF(ISNUMBER($B$2:$B$100),$B$2:$B$100,IFERROR(DATE(2000+VALUE(RIGHT($B$2:$B$100,2)),VALUE(MID($B$2:$B$100,4,2)),VALUE(LEFT($B$2:$B$100,2))),0))&lt;IF(ISNUMBER(B39),B39,IFERROR(DATE(2000+VALUE(RIGHT(B39,2)),VALUE(MID(B39,4,2)),VALUE(LEFT(B39,2))),0))))+SUMPRODUCT(--ISNUMBER(SEARCH("WHEAT",$G$2:$G39))*--($H$2:$H39="OCCUPIED")*--($B$2:$B39&lt;&gt;"")*--(IF(ISNUMBER($B$2:$B39),$B$2:$B39,IFERROR(DATE(2000+VALUE(RIGHT($B$2:$B39,2)),VALUE(MID($B$2:$B39,4,2)),VALUE(LEFT($B$2:$B39,2))),0))=IF(ISNUMBER(B39),B39,IFERROR(DATE(2000+VALUE(RIGHT(B39,2)),VALUE(MID(B39,4,2)),VALUE(LEFT(B39,2))),0)))),""))</f>
        <v/>
      </c>
      <c r="R39" s="77">
        <f>IF(OR(B39="",G39="",H39&lt;&gt;"OCCUPIED"),"",IF(NOT(ISNUMBER(SEARCH("WHEAT",G39))),SUMPRODUCT(--($G$2:$G$100&lt;&gt;"")*--ISERROR(SEARCH("WHEAT",$G$2:$G$100))*--($H$2:$H$100="OCCUPIED")*--($B$2:$B$100&lt;&gt;"")*--(IF(ISNUMBER($B$2:$B$100),$B$2:$B$100,IFERROR(DATE(2000+VALUE(RIGHT($B$2:$B$100,2)),VALUE(MID($B$2:$B$100,4,2)),VALUE(LEFT($B$2:$B$100,2))),0))&lt;IF(ISNUMBER(B39),B39,IFERROR(DATE(2000+VALUE(RIGHT(B39,2)),VALUE(MID(B39,4,2)),VALUE(LEFT(B39,2))),0))))+SUMPRODUCT(--($G$2:$G39&lt;&gt;"")*--ISERROR(SEARCH("WHEAT",$G$2:$G39))*--($H$2:$H39="OCCUPIED")*--($B$2:$B39&lt;&gt;"")*--(IF(ISNUMBER($B$2:$B39),$B$2:$B39,IFERROR(DATE(2000+VALUE(RIGHT($B$2:$B39,2)),VALUE(MID($B$2:$B39,4,2)),VALUE(LEFT($B$2:$B39,2))),0))=IF(ISNUMBER(B39),B39,IFERROR(DATE(2000+VALUE(RIGHT(B39,2)),VALUE(MID(B39,4,2)),VALUE(LEFT(B39,2))),0)))),""))</f>
        <v/>
      </c>
    </row>
    <row r="40" ht="15" customHeight="1" s="42">
      <c r="A40" s="55">
        <f>IF(D40="","",ROWS($D$2:D40))</f>
        <v/>
      </c>
      <c r="B40" s="79" t="n">
        <v>46249</v>
      </c>
      <c r="C40" s="89" t="n">
        <v>9</v>
      </c>
      <c r="D40" s="89" t="inlineStr">
        <is>
          <t>9B15</t>
        </is>
      </c>
      <c r="E40" s="80" t="n">
        <v>3501</v>
      </c>
      <c r="F40" s="81" t="n">
        <v>174.491739</v>
      </c>
      <c r="G40" s="80" t="inlineStr">
        <is>
          <t>WHEAT FAQ 2025-26</t>
        </is>
      </c>
      <c r="H40" s="55">
        <f>IF(AND(E40="",F40="",G40=""),"EMPTY","OCCUPIED")</f>
        <v/>
      </c>
      <c r="I40" s="59">
        <f>IF(B40="","",IF(ISNUMBER(B40),MAX(0,TODAY()-(IF(ISNUMBER(B40),B40,IFERROR(DATE(2000+VALUE(RIGHT(B40,2)),VALUE(MID(B40,4,2)),VALUE(LEFT(B40,2))),"")))),IFERROR(MAX(0,TODAY()-DATE(2000+VALUE(RIGHT(B40,2)),VALUE(MID(B40,4,2)),VALUE(LEFT(B40,2))),"")))</f>
        <v/>
      </c>
      <c r="J40" s="79" t="n"/>
      <c r="K40" s="79" t="n"/>
      <c r="L40" s="79" t="n"/>
      <c r="M40" s="44">
        <f>IF(AND(H40="OCCUPIED",J40&lt;&gt;"",K40=""),1,0)</f>
        <v/>
      </c>
      <c r="N40" s="44">
        <f>IF(M40=1,COUNTIF($M$2:M40,1),"")</f>
        <v/>
      </c>
      <c r="O40" s="60">
        <f>IF(AND(J40&lt;&gt;"",K40=""),IF(ISNUMBER(J40),IF(TODAY()-(IF(ISNUMBER(J40),J40,IFERROR(DATE(2000+VALUE(RIGHT(J40,2)),VALUE(MID(J40,4,2)),VALUE(LEFT(J40,2))),"")))&gt;5,1,0),IFERROR(IF(TODAY()-DATE(2000+VALUE(RIGHT(J40,2)),VALUE(MID(J40,4,2)),VALUE(LEFT(J40,2)))&gt;5,1,0),0)),0)</f>
        <v/>
      </c>
      <c r="P40" s="60">
        <f>IF(O40=1,COUNTIF($O$2:O40,1),"")</f>
        <v/>
      </c>
      <c r="Q40" s="77">
        <f>IF(OR(B40="",G40="",H40&lt;&gt;"OCCUPIED"),"",IF(ISNUMBER(SEARCH("WHEAT",G40)),SUMPRODUCT(--ISNUMBER(SEARCH("WHEAT",$G$2:$G$100))*--($H$2:$H$100="OCCUPIED")*--($B$2:$B$100&lt;&gt;"")*--(IF(ISNUMBER($B$2:$B$100),$B$2:$B$100,IFERROR(DATE(2000+VALUE(RIGHT($B$2:$B$100,2)),VALUE(MID($B$2:$B$100,4,2)),VALUE(LEFT($B$2:$B$100,2))),0))&lt;IF(ISNUMBER(B40),B40,IFERROR(DATE(2000+VALUE(RIGHT(B40,2)),VALUE(MID(B40,4,2)),VALUE(LEFT(B40,2))),0))))+SUMPRODUCT(--ISNUMBER(SEARCH("WHEAT",$G$2:$G40))*--($H$2:$H40="OCCUPIED")*--($B$2:$B40&lt;&gt;"")*--(IF(ISNUMBER($B$2:$B40),$B$2:$B40,IFERROR(DATE(2000+VALUE(RIGHT($B$2:$B40,2)),VALUE(MID($B$2:$B40,4,2)),VALUE(LEFT($B$2:$B40,2))),0))=IF(ISNUMBER(B40),B40,IFERROR(DATE(2000+VALUE(RIGHT(B40,2)),VALUE(MID(B40,4,2)),VALUE(LEFT(B40,2))),0)))),""))</f>
        <v/>
      </c>
      <c r="R40" s="77">
        <f>IF(OR(B40="",G40="",H40&lt;&gt;"OCCUPIED"),"",IF(NOT(ISNUMBER(SEARCH("WHEAT",G40))),SUMPRODUCT(--($G$2:$G$100&lt;&gt;"")*--ISERROR(SEARCH("WHEAT",$G$2:$G$100))*--($H$2:$H$100="OCCUPIED")*--($B$2:$B$100&lt;&gt;"")*--(IF(ISNUMBER($B$2:$B$100),$B$2:$B$100,IFERROR(DATE(2000+VALUE(RIGHT($B$2:$B$100,2)),VALUE(MID($B$2:$B$100,4,2)),VALUE(LEFT($B$2:$B$100,2))),0))&lt;IF(ISNUMBER(B40),B40,IFERROR(DATE(2000+VALUE(RIGHT(B40,2)),VALUE(MID(B40,4,2)),VALUE(LEFT(B40,2))),0))))+SUMPRODUCT(--($G$2:$G40&lt;&gt;"")*--ISERROR(SEARCH("WHEAT",$G$2:$G40))*--($H$2:$H40="OCCUPIED")*--($B$2:$B40&lt;&gt;"")*--(IF(ISNUMBER($B$2:$B40),$B$2:$B40,IFERROR(DATE(2000+VALUE(RIGHT($B$2:$B40,2)),VALUE(MID($B$2:$B40,4,2)),VALUE(LEFT($B$2:$B40,2))),0))=IF(ISNUMBER(B40),B40,IFERROR(DATE(2000+VALUE(RIGHT(B40,2)),VALUE(MID(B40,4,2)),VALUE(LEFT(B40,2))),0)))),""))</f>
        <v/>
      </c>
    </row>
    <row r="41" ht="15" customHeight="1" s="42">
      <c r="A41" s="61">
        <f>IF(D41="","",ROWS($D$2:D41))</f>
        <v/>
      </c>
      <c r="B41" s="79" t="n">
        <v>46249</v>
      </c>
      <c r="C41" s="90" t="n">
        <v>9</v>
      </c>
      <c r="D41" s="90" t="inlineStr">
        <is>
          <t>9B16</t>
        </is>
      </c>
      <c r="E41" s="80" t="n">
        <v>3501</v>
      </c>
      <c r="F41" s="81" t="n">
        <v>172.736064</v>
      </c>
      <c r="G41" s="80" t="inlineStr">
        <is>
          <t>FRK  RRA 2024-25</t>
        </is>
      </c>
      <c r="H41" s="61">
        <f>IF(AND(E41="",F41="",G41=""),"EMPTY","OCCUPIED")</f>
        <v/>
      </c>
      <c r="I41" s="62">
        <f>IF(B41="","",IF(ISNUMBER(B41),MAX(0,TODAY()-(IF(ISNUMBER(B41),B41,IFERROR(DATE(2000+VALUE(RIGHT(B41,2)),VALUE(MID(B41,4,2)),VALUE(LEFT(B41,2))),"")))),IFERROR(MAX(0,TODAY()-DATE(2000+VALUE(RIGHT(B41,2)),VALUE(MID(B41,4,2)),VALUE(LEFT(B41,2))),"")))</f>
        <v/>
      </c>
      <c r="J41" s="79" t="n"/>
      <c r="K41" s="79" t="n"/>
      <c r="L41" s="79" t="n"/>
      <c r="M41" s="44">
        <f>IF(AND(H41="OCCUPIED",J41&lt;&gt;"",K41=""),1,0)</f>
        <v/>
      </c>
      <c r="N41" s="44">
        <f>IF(M41=1,COUNTIF($M$2:M41,1),"")</f>
        <v/>
      </c>
      <c r="O41" s="60">
        <f>IF(AND(J41&lt;&gt;"",K41=""),IF(ISNUMBER(J41),IF(TODAY()-(IF(ISNUMBER(J41),J41,IFERROR(DATE(2000+VALUE(RIGHT(J41,2)),VALUE(MID(J41,4,2)),VALUE(LEFT(J41,2))),"")))&gt;5,1,0),IFERROR(IF(TODAY()-DATE(2000+VALUE(RIGHT(J41,2)),VALUE(MID(J41,4,2)),VALUE(LEFT(J41,2)))&gt;5,1,0),0)),0)</f>
        <v/>
      </c>
      <c r="P41" s="60">
        <f>IF(O41=1,COUNTIF($O$2:O41,1),"")</f>
        <v/>
      </c>
      <c r="Q41" s="77">
        <f>IF(OR(B41="",G41="",H41&lt;&gt;"OCCUPIED"),"",IF(ISNUMBER(SEARCH("WHEAT",G41)),SUMPRODUCT(--ISNUMBER(SEARCH("WHEAT",$G$2:$G$100))*--($H$2:$H$100="OCCUPIED")*--($B$2:$B$100&lt;&gt;"")*--(IF(ISNUMBER($B$2:$B$100),$B$2:$B$100,IFERROR(DATE(2000+VALUE(RIGHT($B$2:$B$100,2)),VALUE(MID($B$2:$B$100,4,2)),VALUE(LEFT($B$2:$B$100,2))),0))&lt;IF(ISNUMBER(B41),B41,IFERROR(DATE(2000+VALUE(RIGHT(B41,2)),VALUE(MID(B41,4,2)),VALUE(LEFT(B41,2))),0))))+SUMPRODUCT(--ISNUMBER(SEARCH("WHEAT",$G$2:$G41))*--($H$2:$H41="OCCUPIED")*--($B$2:$B41&lt;&gt;"")*--(IF(ISNUMBER($B$2:$B41),$B$2:$B41,IFERROR(DATE(2000+VALUE(RIGHT($B$2:$B41,2)),VALUE(MID($B$2:$B41,4,2)),VALUE(LEFT($B$2:$B41,2))),0))=IF(ISNUMBER(B41),B41,IFERROR(DATE(2000+VALUE(RIGHT(B41,2)),VALUE(MID(B41,4,2)),VALUE(LEFT(B41,2))),0)))),""))</f>
        <v/>
      </c>
      <c r="R41" s="77">
        <f>IF(OR(B41="",G41="",H41&lt;&gt;"OCCUPIED"),"",IF(NOT(ISNUMBER(SEARCH("WHEAT",G41))),SUMPRODUCT(--($G$2:$G$100&lt;&gt;"")*--ISERROR(SEARCH("WHEAT",$G$2:$G$100))*--($H$2:$H$100="OCCUPIED")*--($B$2:$B$100&lt;&gt;"")*--(IF(ISNUMBER($B$2:$B$100),$B$2:$B$100,IFERROR(DATE(2000+VALUE(RIGHT($B$2:$B$100,2)),VALUE(MID($B$2:$B$100,4,2)),VALUE(LEFT($B$2:$B$100,2))),0))&lt;IF(ISNUMBER(B41),B41,IFERROR(DATE(2000+VALUE(RIGHT(B41,2)),VALUE(MID(B41,4,2)),VALUE(LEFT(B41,2))),0))))+SUMPRODUCT(--($G$2:$G41&lt;&gt;"")*--ISERROR(SEARCH("WHEAT",$G$2:$G41))*--($H$2:$H41="OCCUPIED")*--($B$2:$B41&lt;&gt;"")*--(IF(ISNUMBER($B$2:$B41),$B$2:$B41,IFERROR(DATE(2000+VALUE(RIGHT($B$2:$B41,2)),VALUE(MID($B$2:$B41,4,2)),VALUE(LEFT($B$2:$B41,2))),0))=IF(ISNUMBER(B41),B41,IFERROR(DATE(2000+VALUE(RIGHT(B41,2)),VALUE(MID(B41,4,2)),VALUE(LEFT(B41,2))),0)))),""))</f>
        <v/>
      </c>
    </row>
    <row r="42" ht="15" customHeight="1" s="42">
      <c r="A42" s="55">
        <f>IF(D42="","",ROWS($D$2:D42))</f>
        <v/>
      </c>
      <c r="B42" s="79" t="n"/>
      <c r="C42" s="89" t="n">
        <v>9</v>
      </c>
      <c r="D42" s="89" t="inlineStr">
        <is>
          <t>9B17</t>
        </is>
      </c>
      <c r="E42" s="80" t="n"/>
      <c r="F42" s="81" t="n"/>
      <c r="G42" s="80" t="n"/>
      <c r="H42" s="55">
        <f>IF(AND(E42="",F42="",G42=""),"EMPTY","OCCUPIED")</f>
        <v/>
      </c>
      <c r="I42" s="59">
        <f>IF(B42="","",IF(ISNUMBER(B42),MAX(0,TODAY()-(IF(ISNUMBER(B42),B42,IFERROR(DATE(2000+VALUE(RIGHT(B42,2)),VALUE(MID(B42,4,2)),VALUE(LEFT(B42,2))),"")))),IFERROR(MAX(0,TODAY()-DATE(2000+VALUE(RIGHT(B42,2)),VALUE(MID(B42,4,2)),VALUE(LEFT(B42,2))),"")))</f>
        <v/>
      </c>
      <c r="J42" s="79" t="n"/>
      <c r="K42" s="79" t="n"/>
      <c r="L42" s="79" t="n"/>
      <c r="M42" s="44">
        <f>IF(AND(H42="OCCUPIED",J42&lt;&gt;"",K42=""),1,0)</f>
        <v/>
      </c>
      <c r="N42" s="44">
        <f>IF(M42=1,COUNTIF($M$2:M42,1),"")</f>
        <v/>
      </c>
      <c r="O42" s="60">
        <f>IF(AND(J42&lt;&gt;"",K42=""),IF(ISNUMBER(J42),IF(TODAY()-(IF(ISNUMBER(J42),J42,IFERROR(DATE(2000+VALUE(RIGHT(J42,2)),VALUE(MID(J42,4,2)),VALUE(LEFT(J42,2))),"")))&gt;5,1,0),IFERROR(IF(TODAY()-DATE(2000+VALUE(RIGHT(J42,2)),VALUE(MID(J42,4,2)),VALUE(LEFT(J42,2)))&gt;5,1,0),0)),0)</f>
        <v/>
      </c>
      <c r="P42" s="60">
        <f>IF(O42=1,COUNTIF($O$2:O42,1),"")</f>
        <v/>
      </c>
      <c r="Q42" s="77">
        <f>IF(OR(B42="",G42="",H42&lt;&gt;"OCCUPIED"),"",IF(ISNUMBER(SEARCH("WHEAT",G42)),SUMPRODUCT(--ISNUMBER(SEARCH("WHEAT",$G$2:$G$100))*--($H$2:$H$100="OCCUPIED")*--($B$2:$B$100&lt;&gt;"")*--(IF(ISNUMBER($B$2:$B$100),$B$2:$B$100,IFERROR(DATE(2000+VALUE(RIGHT($B$2:$B$100,2)),VALUE(MID($B$2:$B$100,4,2)),VALUE(LEFT($B$2:$B$100,2))),0))&lt;IF(ISNUMBER(B42),B42,IFERROR(DATE(2000+VALUE(RIGHT(B42,2)),VALUE(MID(B42,4,2)),VALUE(LEFT(B42,2))),0))))+SUMPRODUCT(--ISNUMBER(SEARCH("WHEAT",$G$2:$G42))*--($H$2:$H42="OCCUPIED")*--($B$2:$B42&lt;&gt;"")*--(IF(ISNUMBER($B$2:$B42),$B$2:$B42,IFERROR(DATE(2000+VALUE(RIGHT($B$2:$B42,2)),VALUE(MID($B$2:$B42,4,2)),VALUE(LEFT($B$2:$B42,2))),0))=IF(ISNUMBER(B42),B42,IFERROR(DATE(2000+VALUE(RIGHT(B42,2)),VALUE(MID(B42,4,2)),VALUE(LEFT(B42,2))),0)))),""))</f>
        <v/>
      </c>
      <c r="R42" s="77">
        <f>IF(OR(B42="",G42="",H42&lt;&gt;"OCCUPIED"),"",IF(NOT(ISNUMBER(SEARCH("WHEAT",G42))),SUMPRODUCT(--($G$2:$G$100&lt;&gt;"")*--ISERROR(SEARCH("WHEAT",$G$2:$G$100))*--($H$2:$H$100="OCCUPIED")*--($B$2:$B$100&lt;&gt;"")*--(IF(ISNUMBER($B$2:$B$100),$B$2:$B$100,IFERROR(DATE(2000+VALUE(RIGHT($B$2:$B$100,2)),VALUE(MID($B$2:$B$100,4,2)),VALUE(LEFT($B$2:$B$100,2))),0))&lt;IF(ISNUMBER(B42),B42,IFERROR(DATE(2000+VALUE(RIGHT(B42,2)),VALUE(MID(B42,4,2)),VALUE(LEFT(B42,2))),0))))+SUMPRODUCT(--($G$2:$G42&lt;&gt;"")*--ISERROR(SEARCH("WHEAT",$G$2:$G42))*--($H$2:$H42="OCCUPIED")*--($B$2:$B42&lt;&gt;"")*--(IF(ISNUMBER($B$2:$B42),$B$2:$B42,IFERROR(DATE(2000+VALUE(RIGHT($B$2:$B42,2)),VALUE(MID($B$2:$B42,4,2)),VALUE(LEFT($B$2:$B42,2))),0))=IF(ISNUMBER(B42),B42,IFERROR(DATE(2000+VALUE(RIGHT(B42,2)),VALUE(MID(B42,4,2)),VALUE(LEFT(B42,2))),0)))),""))</f>
        <v/>
      </c>
    </row>
    <row r="43" ht="15" customHeight="1" s="42">
      <c r="A43" s="61">
        <f>IF(D43="","",ROWS($D$2:D43))</f>
        <v/>
      </c>
      <c r="B43" s="79" t="n">
        <v>46249</v>
      </c>
      <c r="C43" s="90" t="n">
        <v>9</v>
      </c>
      <c r="D43" s="90" t="inlineStr">
        <is>
          <t>9B18</t>
        </is>
      </c>
      <c r="E43" s="80" t="n">
        <v>3501</v>
      </c>
      <c r="F43" s="81" t="n">
        <v>174.355417</v>
      </c>
      <c r="G43" s="80" t="inlineStr">
        <is>
          <t>WHEAT FAQ 2025-26</t>
        </is>
      </c>
      <c r="H43" s="61">
        <f>IF(AND(E43="",F43="",G43=""),"EMPTY","OCCUPIED")</f>
        <v/>
      </c>
      <c r="I43" s="62">
        <f>IF(B43="","",IF(ISNUMBER(B43),MAX(0,TODAY()-(IF(ISNUMBER(B43),B43,IFERROR(DATE(2000+VALUE(RIGHT(B43,2)),VALUE(MID(B43,4,2)),VALUE(LEFT(B43,2))),"")))),IFERROR(MAX(0,TODAY()-DATE(2000+VALUE(RIGHT(B43,2)),VALUE(MID(B43,4,2)),VALUE(LEFT(B43,2))),"")))</f>
        <v/>
      </c>
      <c r="J43" s="79" t="n"/>
      <c r="K43" s="79" t="n"/>
      <c r="L43" s="79" t="n"/>
      <c r="M43" s="44">
        <f>IF(AND(H43="OCCUPIED",J43&lt;&gt;"",K43=""),1,0)</f>
        <v/>
      </c>
      <c r="N43" s="44">
        <f>IF(M43=1,COUNTIF($M$2:M43,1),"")</f>
        <v/>
      </c>
      <c r="O43" s="60">
        <f>IF(AND(J43&lt;&gt;"",K43=""),IF(ISNUMBER(J43),IF(TODAY()-(IF(ISNUMBER(J43),J43,IFERROR(DATE(2000+VALUE(RIGHT(J43,2)),VALUE(MID(J43,4,2)),VALUE(LEFT(J43,2))),"")))&gt;5,1,0),IFERROR(IF(TODAY()-DATE(2000+VALUE(RIGHT(J43,2)),VALUE(MID(J43,4,2)),VALUE(LEFT(J43,2)))&gt;5,1,0),0)),0)</f>
        <v/>
      </c>
      <c r="P43" s="60">
        <f>IF(O43=1,COUNTIF($O$2:O43,1),"")</f>
        <v/>
      </c>
      <c r="Q43" s="77">
        <f>IF(OR(B43="",G43="",H43&lt;&gt;"OCCUPIED"),"",IF(ISNUMBER(SEARCH("WHEAT",G43)),SUMPRODUCT(--ISNUMBER(SEARCH("WHEAT",$G$2:$G$100))*--($H$2:$H$100="OCCUPIED")*--($B$2:$B$100&lt;&gt;"")*--(IF(ISNUMBER($B$2:$B$100),$B$2:$B$100,IFERROR(DATE(2000+VALUE(RIGHT($B$2:$B$100,2)),VALUE(MID($B$2:$B$100,4,2)),VALUE(LEFT($B$2:$B$100,2))),0))&lt;IF(ISNUMBER(B43),B43,IFERROR(DATE(2000+VALUE(RIGHT(B43,2)),VALUE(MID(B43,4,2)),VALUE(LEFT(B43,2))),0))))+SUMPRODUCT(--ISNUMBER(SEARCH("WHEAT",$G$2:$G43))*--($H$2:$H43="OCCUPIED")*--($B$2:$B43&lt;&gt;"")*--(IF(ISNUMBER($B$2:$B43),$B$2:$B43,IFERROR(DATE(2000+VALUE(RIGHT($B$2:$B43,2)),VALUE(MID($B$2:$B43,4,2)),VALUE(LEFT($B$2:$B43,2))),0))=IF(ISNUMBER(B43),B43,IFERROR(DATE(2000+VALUE(RIGHT(B43,2)),VALUE(MID(B43,4,2)),VALUE(LEFT(B43,2))),0)))),""))</f>
        <v/>
      </c>
      <c r="R43" s="77">
        <f>IF(OR(B43="",G43="",H43&lt;&gt;"OCCUPIED"),"",IF(NOT(ISNUMBER(SEARCH("WHEAT",G43))),SUMPRODUCT(--($G$2:$G$100&lt;&gt;"")*--ISERROR(SEARCH("WHEAT",$G$2:$G$100))*--($H$2:$H$100="OCCUPIED")*--($B$2:$B$100&lt;&gt;"")*--(IF(ISNUMBER($B$2:$B$100),$B$2:$B$100,IFERROR(DATE(2000+VALUE(RIGHT($B$2:$B$100,2)),VALUE(MID($B$2:$B$100,4,2)),VALUE(LEFT($B$2:$B$100,2))),0))&lt;IF(ISNUMBER(B43),B43,IFERROR(DATE(2000+VALUE(RIGHT(B43,2)),VALUE(MID(B43,4,2)),VALUE(LEFT(B43,2))),0))))+SUMPRODUCT(--($G$2:$G43&lt;&gt;"")*--ISERROR(SEARCH("WHEAT",$G$2:$G43))*--($H$2:$H43="OCCUPIED")*--($B$2:$B43&lt;&gt;"")*--(IF(ISNUMBER($B$2:$B43),$B$2:$B43,IFERROR(DATE(2000+VALUE(RIGHT($B$2:$B43,2)),VALUE(MID($B$2:$B43,4,2)),VALUE(LEFT($B$2:$B43,2))),0))=IF(ISNUMBER(B43),B43,IFERROR(DATE(2000+VALUE(RIGHT(B43,2)),VALUE(MID(B43,4,2)),VALUE(LEFT(B43,2))),0)))),""))</f>
        <v/>
      </c>
    </row>
    <row r="44" ht="15" customHeight="1" s="42">
      <c r="A44" s="55">
        <f>IF(D44="","",ROWS($D$2:D44))</f>
        <v/>
      </c>
      <c r="B44" s="79" t="n">
        <v>46249</v>
      </c>
      <c r="C44" s="89" t="n">
        <v>9</v>
      </c>
      <c r="D44" s="89" t="inlineStr">
        <is>
          <t>9TS12</t>
        </is>
      </c>
      <c r="E44" s="80" t="n">
        <v>16</v>
      </c>
      <c r="F44" s="81" t="n">
        <v>0.767946</v>
      </c>
      <c r="G44" s="80" t="inlineStr">
        <is>
          <t>FRK  RRA 2023-24</t>
        </is>
      </c>
      <c r="H44" s="55">
        <f>IF(AND(E44="",F44="",G44=""),"EMPTY","OCCUPIED")</f>
        <v/>
      </c>
      <c r="I44" s="59">
        <f>IF(B44="","",IF(ISNUMBER(B44),MAX(0,TODAY()-(IF(ISNUMBER(B44),B44,IFERROR(DATE(2000+VALUE(RIGHT(B44,2)),VALUE(MID(B44,4,2)),VALUE(LEFT(B44,2))),"")))),IFERROR(MAX(0,TODAY()-DATE(2000+VALUE(RIGHT(B44,2)),VALUE(MID(B44,4,2)),VALUE(LEFT(B44,2))),"")))</f>
        <v/>
      </c>
      <c r="J44" s="79" t="n"/>
      <c r="K44" s="79" t="n"/>
      <c r="L44" s="79" t="n"/>
      <c r="M44" s="44">
        <f>IF(AND(H44="OCCUPIED",J44&lt;&gt;"",K44=""),1,0)</f>
        <v/>
      </c>
      <c r="N44" s="44">
        <f>IF(M44=1,COUNTIF($M$2:M44,1),"")</f>
        <v/>
      </c>
      <c r="O44" s="60">
        <f>IF(AND(J44&lt;&gt;"",K44=""),IF(ISNUMBER(J44),IF(TODAY()-(IF(ISNUMBER(J44),J44,IFERROR(DATE(2000+VALUE(RIGHT(J44,2)),VALUE(MID(J44,4,2)),VALUE(LEFT(J44,2))),"")))&gt;5,1,0),IFERROR(IF(TODAY()-DATE(2000+VALUE(RIGHT(J44,2)),VALUE(MID(J44,4,2)),VALUE(LEFT(J44,2)))&gt;5,1,0),0)),0)</f>
        <v/>
      </c>
      <c r="P44" s="60">
        <f>IF(O44=1,COUNTIF($O$2:O44,1),"")</f>
        <v/>
      </c>
      <c r="Q44" s="77">
        <f>IF(OR(B44="",G44="",H44&lt;&gt;"OCCUPIED"),"",IF(ISNUMBER(SEARCH("WHEAT",G44)),SUMPRODUCT(--ISNUMBER(SEARCH("WHEAT",$G$2:$G$100))*--($H$2:$H$100="OCCUPIED")*--($B$2:$B$100&lt;&gt;"")*--(IF(ISNUMBER($B$2:$B$100),$B$2:$B$100,IFERROR(DATE(2000+VALUE(RIGHT($B$2:$B$100,2)),VALUE(MID($B$2:$B$100,4,2)),VALUE(LEFT($B$2:$B$100,2))),0))&lt;IF(ISNUMBER(B44),B44,IFERROR(DATE(2000+VALUE(RIGHT(B44,2)),VALUE(MID(B44,4,2)),VALUE(LEFT(B44,2))),0))))+SUMPRODUCT(--ISNUMBER(SEARCH("WHEAT",$G$2:$G44))*--($H$2:$H44="OCCUPIED")*--($B$2:$B44&lt;&gt;"")*--(IF(ISNUMBER($B$2:$B44),$B$2:$B44,IFERROR(DATE(2000+VALUE(RIGHT($B$2:$B44,2)),VALUE(MID($B$2:$B44,4,2)),VALUE(LEFT($B$2:$B44,2))),0))=IF(ISNUMBER(B44),B44,IFERROR(DATE(2000+VALUE(RIGHT(B44,2)),VALUE(MID(B44,4,2)),VALUE(LEFT(B44,2))),0)))),""))</f>
        <v/>
      </c>
      <c r="R44" s="77">
        <f>IF(OR(B44="",G44="",H44&lt;&gt;"OCCUPIED"),"",IF(NOT(ISNUMBER(SEARCH("WHEAT",G44))),SUMPRODUCT(--($G$2:$G$100&lt;&gt;"")*--ISERROR(SEARCH("WHEAT",$G$2:$G$100))*--($H$2:$H$100="OCCUPIED")*--($B$2:$B$100&lt;&gt;"")*--(IF(ISNUMBER($B$2:$B$100),$B$2:$B$100,IFERROR(DATE(2000+VALUE(RIGHT($B$2:$B$100,2)),VALUE(MID($B$2:$B$100,4,2)),VALUE(LEFT($B$2:$B$100,2))),0))&lt;IF(ISNUMBER(B44),B44,IFERROR(DATE(2000+VALUE(RIGHT(B44,2)),VALUE(MID(B44,4,2)),VALUE(LEFT(B44,2))),0))))+SUMPRODUCT(--($G$2:$G44&lt;&gt;"")*--ISERROR(SEARCH("WHEAT",$G$2:$G44))*--($H$2:$H44="OCCUPIED")*--($B$2:$B44&lt;&gt;"")*--(IF(ISNUMBER($B$2:$B44),$B$2:$B44,IFERROR(DATE(2000+VALUE(RIGHT($B$2:$B44,2)),VALUE(MID($B$2:$B44,4,2)),VALUE(LEFT($B$2:$B44,2))),0))=IF(ISNUMBER(B44),B44,IFERROR(DATE(2000+VALUE(RIGHT(B44,2)),VALUE(MID(B44,4,2)),VALUE(LEFT(B44,2))),0)))),""))</f>
        <v/>
      </c>
    </row>
    <row r="45" ht="15" customHeight="1" s="42">
      <c r="A45" s="61">
        <f>IF(D45="","",ROWS($D$2:D45))</f>
        <v/>
      </c>
      <c r="B45" s="79" t="n">
        <v>46249</v>
      </c>
      <c r="C45" s="90" t="n">
        <v>20</v>
      </c>
      <c r="D45" s="90" t="inlineStr">
        <is>
          <t>M6A01</t>
        </is>
      </c>
      <c r="E45" s="80" t="n">
        <v>3456</v>
      </c>
      <c r="F45" s="81" t="n">
        <v>174.908</v>
      </c>
      <c r="G45" s="80" t="inlineStr">
        <is>
          <t>WHEAT FAQ 2025-26</t>
        </is>
      </c>
      <c r="H45" s="61">
        <f>IF(AND(E45="",F45="",G45=""),"EMPTY","OCCUPIED")</f>
        <v/>
      </c>
      <c r="I45" s="62">
        <f>IF(B45="","",IF(ISNUMBER(B45),MAX(0,TODAY()-(IF(ISNUMBER(B45),B45,IFERROR(DATE(2000+VALUE(RIGHT(B45,2)),VALUE(MID(B45,4,2)),VALUE(LEFT(B45,2))),"")))),IFERROR(MAX(0,TODAY()-DATE(2000+VALUE(RIGHT(B45,2)),VALUE(MID(B45,4,2)),VALUE(LEFT(B45,2))),"")))</f>
        <v/>
      </c>
      <c r="J45" s="79" t="n"/>
      <c r="K45" s="79" t="n"/>
      <c r="L45" s="79" t="n"/>
      <c r="M45" s="44">
        <f>IF(AND(H45="OCCUPIED",J45&lt;&gt;"",K45=""),1,0)</f>
        <v/>
      </c>
      <c r="N45" s="44">
        <f>IF(M45=1,COUNTIF($M$2:M45,1),"")</f>
        <v/>
      </c>
      <c r="O45" s="60">
        <f>IF(AND(J45&lt;&gt;"",K45=""),IF(ISNUMBER(J45),IF(TODAY()-(IF(ISNUMBER(J45),J45,IFERROR(DATE(2000+VALUE(RIGHT(J45,2)),VALUE(MID(J45,4,2)),VALUE(LEFT(J45,2))),"")))&gt;5,1,0),IFERROR(IF(TODAY()-DATE(2000+VALUE(RIGHT(J45,2)),VALUE(MID(J45,4,2)),VALUE(LEFT(J45,2)))&gt;5,1,0),0)),0)</f>
        <v/>
      </c>
      <c r="P45" s="60">
        <f>IF(O45=1,COUNTIF($O$2:O45,1),"")</f>
        <v/>
      </c>
      <c r="Q45" s="77">
        <f>IF(OR(B45="",G45="",H45&lt;&gt;"OCCUPIED"),"",IF(ISNUMBER(SEARCH("WHEAT",G45)),SUMPRODUCT(--ISNUMBER(SEARCH("WHEAT",$G$2:$G$100))*--($H$2:$H$100="OCCUPIED")*--($B$2:$B$100&lt;&gt;"")*--(IF(ISNUMBER($B$2:$B$100),$B$2:$B$100,IFERROR(DATE(2000+VALUE(RIGHT($B$2:$B$100,2)),VALUE(MID($B$2:$B$100,4,2)),VALUE(LEFT($B$2:$B$100,2))),0))&lt;IF(ISNUMBER(B45),B45,IFERROR(DATE(2000+VALUE(RIGHT(B45,2)),VALUE(MID(B45,4,2)),VALUE(LEFT(B45,2))),0))))+SUMPRODUCT(--ISNUMBER(SEARCH("WHEAT",$G$2:$G45))*--($H$2:$H45="OCCUPIED")*--($B$2:$B45&lt;&gt;"")*--(IF(ISNUMBER($B$2:$B45),$B$2:$B45,IFERROR(DATE(2000+VALUE(RIGHT($B$2:$B45,2)),VALUE(MID($B$2:$B45,4,2)),VALUE(LEFT($B$2:$B45,2))),0))=IF(ISNUMBER(B45),B45,IFERROR(DATE(2000+VALUE(RIGHT(B45,2)),VALUE(MID(B45,4,2)),VALUE(LEFT(B45,2))),0)))),""))</f>
        <v/>
      </c>
      <c r="R45" s="77">
        <f>IF(OR(B45="",G45="",H45&lt;&gt;"OCCUPIED"),"",IF(NOT(ISNUMBER(SEARCH("WHEAT",G45))),SUMPRODUCT(--($G$2:$G$100&lt;&gt;"")*--ISERROR(SEARCH("WHEAT",$G$2:$G$100))*--($H$2:$H$100="OCCUPIED")*--($B$2:$B$100&lt;&gt;"")*--(IF(ISNUMBER($B$2:$B$100),$B$2:$B$100,IFERROR(DATE(2000+VALUE(RIGHT($B$2:$B$100,2)),VALUE(MID($B$2:$B$100,4,2)),VALUE(LEFT($B$2:$B$100,2))),0))&lt;IF(ISNUMBER(B45),B45,IFERROR(DATE(2000+VALUE(RIGHT(B45,2)),VALUE(MID(B45,4,2)),VALUE(LEFT(B45,2))),0))))+SUMPRODUCT(--($G$2:$G45&lt;&gt;"")*--ISERROR(SEARCH("WHEAT",$G$2:$G45))*--($H$2:$H45="OCCUPIED")*--($B$2:$B45&lt;&gt;"")*--(IF(ISNUMBER($B$2:$B45),$B$2:$B45,IFERROR(DATE(2000+VALUE(RIGHT($B$2:$B45,2)),VALUE(MID($B$2:$B45,4,2)),VALUE(LEFT($B$2:$B45,2))),0))=IF(ISNUMBER(B45),B45,IFERROR(DATE(2000+VALUE(RIGHT(B45,2)),VALUE(MID(B45,4,2)),VALUE(LEFT(B45,2))),0)))),""))</f>
        <v/>
      </c>
    </row>
    <row r="46" ht="15" customHeight="1" s="42">
      <c r="A46" s="55">
        <f>IF(D46="","",ROWS($D$2:D46))</f>
        <v/>
      </c>
      <c r="B46" s="79" t="n"/>
      <c r="C46" s="89" t="n">
        <v>20</v>
      </c>
      <c r="D46" s="89" t="inlineStr">
        <is>
          <t>M6A02</t>
        </is>
      </c>
      <c r="E46" s="80" t="n"/>
      <c r="F46" s="81" t="n"/>
      <c r="G46" s="80" t="n"/>
      <c r="H46" s="55">
        <f>IF(AND(E46="",F46="",G46=""),"EMPTY","OCCUPIED")</f>
        <v/>
      </c>
      <c r="I46" s="59">
        <f>IF(B46="","",IF(ISNUMBER(B46),MAX(0,TODAY()-(IF(ISNUMBER(B46),B46,IFERROR(DATE(2000+VALUE(RIGHT(B46,2)),VALUE(MID(B46,4,2)),VALUE(LEFT(B46,2))),"")))),IFERROR(MAX(0,TODAY()-DATE(2000+VALUE(RIGHT(B46,2)),VALUE(MID(B46,4,2)),VALUE(LEFT(B46,2))),"")))</f>
        <v/>
      </c>
      <c r="J46" s="79" t="n"/>
      <c r="K46" s="79" t="n"/>
      <c r="L46" s="79" t="n"/>
      <c r="M46" s="44">
        <f>IF(AND(H46="OCCUPIED",J46&lt;&gt;"",K46=""),1,0)</f>
        <v/>
      </c>
      <c r="N46" s="44">
        <f>IF(M46=1,COUNTIF($M$2:M46,1),"")</f>
        <v/>
      </c>
      <c r="O46" s="60">
        <f>IF(AND(J46&lt;&gt;"",K46=""),IF(ISNUMBER(J46),IF(TODAY()-(IF(ISNUMBER(J46),J46,IFERROR(DATE(2000+VALUE(RIGHT(J46,2)),VALUE(MID(J46,4,2)),VALUE(LEFT(J46,2))),"")))&gt;5,1,0),IFERROR(IF(TODAY()-DATE(2000+VALUE(RIGHT(J46,2)),VALUE(MID(J46,4,2)),VALUE(LEFT(J46,2)))&gt;5,1,0),0)),0)</f>
        <v/>
      </c>
      <c r="P46" s="60">
        <f>IF(O46=1,COUNTIF($O$2:O46,1),"")</f>
        <v/>
      </c>
      <c r="Q46" s="77">
        <f>IF(OR(B46="",G46="",H46&lt;&gt;"OCCUPIED"),"",IF(ISNUMBER(SEARCH("WHEAT",G46)),SUMPRODUCT(--ISNUMBER(SEARCH("WHEAT",$G$2:$G$100))*--($H$2:$H$100="OCCUPIED")*--($B$2:$B$100&lt;&gt;"")*--(IF(ISNUMBER($B$2:$B$100),$B$2:$B$100,IFERROR(DATE(2000+VALUE(RIGHT($B$2:$B$100,2)),VALUE(MID($B$2:$B$100,4,2)),VALUE(LEFT($B$2:$B$100,2))),0))&lt;IF(ISNUMBER(B46),B46,IFERROR(DATE(2000+VALUE(RIGHT(B46,2)),VALUE(MID(B46,4,2)),VALUE(LEFT(B46,2))),0))))+SUMPRODUCT(--ISNUMBER(SEARCH("WHEAT",$G$2:$G46))*--($H$2:$H46="OCCUPIED")*--($B$2:$B46&lt;&gt;"")*--(IF(ISNUMBER($B$2:$B46),$B$2:$B46,IFERROR(DATE(2000+VALUE(RIGHT($B$2:$B46,2)),VALUE(MID($B$2:$B46,4,2)),VALUE(LEFT($B$2:$B46,2))),0))=IF(ISNUMBER(B46),B46,IFERROR(DATE(2000+VALUE(RIGHT(B46,2)),VALUE(MID(B46,4,2)),VALUE(LEFT(B46,2))),0)))),""))</f>
        <v/>
      </c>
      <c r="R46" s="77">
        <f>IF(OR(B46="",G46="",H46&lt;&gt;"OCCUPIED"),"",IF(NOT(ISNUMBER(SEARCH("WHEAT",G46))),SUMPRODUCT(--($G$2:$G$100&lt;&gt;"")*--ISERROR(SEARCH("WHEAT",$G$2:$G$100))*--($H$2:$H$100="OCCUPIED")*--($B$2:$B$100&lt;&gt;"")*--(IF(ISNUMBER($B$2:$B$100),$B$2:$B$100,IFERROR(DATE(2000+VALUE(RIGHT($B$2:$B$100,2)),VALUE(MID($B$2:$B$100,4,2)),VALUE(LEFT($B$2:$B$100,2))),0))&lt;IF(ISNUMBER(B46),B46,IFERROR(DATE(2000+VALUE(RIGHT(B46,2)),VALUE(MID(B46,4,2)),VALUE(LEFT(B46,2))),0))))+SUMPRODUCT(--($G$2:$G46&lt;&gt;"")*--ISERROR(SEARCH("WHEAT",$G$2:$G46))*--($H$2:$H46="OCCUPIED")*--($B$2:$B46&lt;&gt;"")*--(IF(ISNUMBER($B$2:$B46),$B$2:$B46,IFERROR(DATE(2000+VALUE(RIGHT($B$2:$B46,2)),VALUE(MID($B$2:$B46,4,2)),VALUE(LEFT($B$2:$B46,2))),0))=IF(ISNUMBER(B46),B46,IFERROR(DATE(2000+VALUE(RIGHT(B46,2)),VALUE(MID(B46,4,2)),VALUE(LEFT(B46,2))),0)))),""))</f>
        <v/>
      </c>
    </row>
    <row r="47" ht="15" customHeight="1" s="42">
      <c r="A47" s="61">
        <f>IF(D47="","",ROWS($D$2:D47))</f>
        <v/>
      </c>
      <c r="B47" s="79" t="n">
        <v>46249</v>
      </c>
      <c r="C47" s="90" t="n">
        <v>20</v>
      </c>
      <c r="D47" s="90" t="inlineStr">
        <is>
          <t>M6A03</t>
        </is>
      </c>
      <c r="E47" s="80" t="n">
        <v>3501</v>
      </c>
      <c r="F47" s="81" t="n">
        <v>177.099</v>
      </c>
      <c r="G47" s="80" t="inlineStr">
        <is>
          <t>WHEAT FAQ 2025-26</t>
        </is>
      </c>
      <c r="H47" s="61">
        <f>IF(AND(E47="",F47="",G47=""),"EMPTY","OCCUPIED")</f>
        <v/>
      </c>
      <c r="I47" s="62">
        <f>IF(B47="","",IF(ISNUMBER(B47),MAX(0,TODAY()-(IF(ISNUMBER(B47),B47,IFERROR(DATE(2000+VALUE(RIGHT(B47,2)),VALUE(MID(B47,4,2)),VALUE(LEFT(B47,2))),"")))),IFERROR(MAX(0,TODAY()-DATE(2000+VALUE(RIGHT(B47,2)),VALUE(MID(B47,4,2)),VALUE(LEFT(B47,2))),"")))</f>
        <v/>
      </c>
      <c r="J47" s="79" t="n"/>
      <c r="K47" s="79" t="n"/>
      <c r="L47" s="79" t="n"/>
      <c r="M47" s="44">
        <f>IF(AND(H47="OCCUPIED",J47&lt;&gt;"",K47=""),1,0)</f>
        <v/>
      </c>
      <c r="N47" s="44">
        <f>IF(M47=1,COUNTIF($M$2:M47,1),"")</f>
        <v/>
      </c>
      <c r="O47" s="60">
        <f>IF(AND(J47&lt;&gt;"",K47=""),IF(ISNUMBER(J47),IF(TODAY()-(IF(ISNUMBER(J47),J47,IFERROR(DATE(2000+VALUE(RIGHT(J47,2)),VALUE(MID(J47,4,2)),VALUE(LEFT(J47,2))),"")))&gt;5,1,0),IFERROR(IF(TODAY()-DATE(2000+VALUE(RIGHT(J47,2)),VALUE(MID(J47,4,2)),VALUE(LEFT(J47,2)))&gt;5,1,0),0)),0)</f>
        <v/>
      </c>
      <c r="P47" s="60">
        <f>IF(O47=1,COUNTIF($O$2:O47,1),"")</f>
        <v/>
      </c>
      <c r="Q47" s="77">
        <f>IF(OR(B47="",G47="",H47&lt;&gt;"OCCUPIED"),"",IF(ISNUMBER(SEARCH("WHEAT",G47)),SUMPRODUCT(--ISNUMBER(SEARCH("WHEAT",$G$2:$G$100))*--($H$2:$H$100="OCCUPIED")*--($B$2:$B$100&lt;&gt;"")*--(IF(ISNUMBER($B$2:$B$100),$B$2:$B$100,IFERROR(DATE(2000+VALUE(RIGHT($B$2:$B$100,2)),VALUE(MID($B$2:$B$100,4,2)),VALUE(LEFT($B$2:$B$100,2))),0))&lt;IF(ISNUMBER(B47),B47,IFERROR(DATE(2000+VALUE(RIGHT(B47,2)),VALUE(MID(B47,4,2)),VALUE(LEFT(B47,2))),0))))+SUMPRODUCT(--ISNUMBER(SEARCH("WHEAT",$G$2:$G47))*--($H$2:$H47="OCCUPIED")*--($B$2:$B47&lt;&gt;"")*--(IF(ISNUMBER($B$2:$B47),$B$2:$B47,IFERROR(DATE(2000+VALUE(RIGHT($B$2:$B47,2)),VALUE(MID($B$2:$B47,4,2)),VALUE(LEFT($B$2:$B47,2))),0))=IF(ISNUMBER(B47),B47,IFERROR(DATE(2000+VALUE(RIGHT(B47,2)),VALUE(MID(B47,4,2)),VALUE(LEFT(B47,2))),0)))),""))</f>
        <v/>
      </c>
      <c r="R47" s="77">
        <f>IF(OR(B47="",G47="",H47&lt;&gt;"OCCUPIED"),"",IF(NOT(ISNUMBER(SEARCH("WHEAT",G47))),SUMPRODUCT(--($G$2:$G$100&lt;&gt;"")*--ISERROR(SEARCH("WHEAT",$G$2:$G$100))*--($H$2:$H$100="OCCUPIED")*--($B$2:$B$100&lt;&gt;"")*--(IF(ISNUMBER($B$2:$B$100),$B$2:$B$100,IFERROR(DATE(2000+VALUE(RIGHT($B$2:$B$100,2)),VALUE(MID($B$2:$B$100,4,2)),VALUE(LEFT($B$2:$B$100,2))),0))&lt;IF(ISNUMBER(B47),B47,IFERROR(DATE(2000+VALUE(RIGHT(B47,2)),VALUE(MID(B47,4,2)),VALUE(LEFT(B47,2))),0))))+SUMPRODUCT(--($G$2:$G47&lt;&gt;"")*--ISERROR(SEARCH("WHEAT",$G$2:$G47))*--($H$2:$H47="OCCUPIED")*--($B$2:$B47&lt;&gt;"")*--(IF(ISNUMBER($B$2:$B47),$B$2:$B47,IFERROR(DATE(2000+VALUE(RIGHT($B$2:$B47,2)),VALUE(MID($B$2:$B47,4,2)),VALUE(LEFT($B$2:$B47,2))),0))=IF(ISNUMBER(B47),B47,IFERROR(DATE(2000+VALUE(RIGHT(B47,2)),VALUE(MID(B47,4,2)),VALUE(LEFT(B47,2))),0)))),""))</f>
        <v/>
      </c>
    </row>
    <row r="48" ht="15.75" customHeight="1" s="42">
      <c r="A48" s="44">
        <f>IF(D48="","",ROWS($D$2:D48))</f>
        <v/>
      </c>
      <c r="B48" s="82" t="n"/>
      <c r="C48" s="83" t="n"/>
      <c r="D48" s="83" t="n"/>
      <c r="E48" s="83" t="n"/>
      <c r="F48" s="83" t="n"/>
      <c r="G48" s="83" t="n"/>
      <c r="H48" s="44">
        <f>IF(AND(E48="",F48="",G48=""),"EMPTY","OCCUPIED")</f>
        <v/>
      </c>
      <c r="I48" s="44">
        <f>IF(B48="","",IF(ISNUMBER(B48),MAX(0,TODAY()-(IF(ISNUMBER(B48),B48,IFERROR(DATE(2000+VALUE(RIGHT(B48,2)),VALUE(MID(B48,4,2)),VALUE(LEFT(B48,2))),"")))),IFERROR(MAX(0,TODAY()-DATE(2000+VALUE(RIGHT(B48,2)),VALUE(MID(B48,4,2)),VALUE(LEFT(B48,2))),"")))</f>
        <v/>
      </c>
      <c r="J48" s="82" t="n"/>
      <c r="K48" s="82" t="n"/>
      <c r="L48" s="82" t="n"/>
      <c r="M48" s="44">
        <f>IF(AND(H48="OCCUPIED",J48&lt;&gt;"",K48=""),1,0)</f>
        <v/>
      </c>
      <c r="N48" s="44">
        <f>IF(M48=1,COUNTIF($M$2:M48,1),"")</f>
        <v/>
      </c>
      <c r="O48" s="44">
        <f>IF(AND(J48&lt;&gt;"",K48=""),IF(ISNUMBER(J48),IF(TODAY()-(IF(ISNUMBER(J48),J48,IFERROR(DATE(2000+VALUE(RIGHT(J48,2)),VALUE(MID(J48,4,2)),VALUE(LEFT(J48,2))),"")))&gt;5,1,0),IFERROR(IF(TODAY()-DATE(2000+VALUE(RIGHT(J48,2)),VALUE(MID(J48,4,2)),VALUE(LEFT(J48,2)))&gt;5,1,0),0)),0)</f>
        <v/>
      </c>
      <c r="P48" s="44">
        <f>IF(O48=1,COUNTIF($O$2:O48,1),"")</f>
        <v/>
      </c>
      <c r="Q48" s="77">
        <f>IF(OR(B48="",G48="",H48&lt;&gt;"OCCUPIED"),"",IF(ISNUMBER(SEARCH("WHEAT",G48)),SUMPRODUCT(--ISNUMBER(SEARCH("WHEAT",$G$2:$G$100))*--($H$2:$H$100="OCCUPIED")*--($B$2:$B$100&lt;&gt;"")*--(IF(ISNUMBER($B$2:$B$100),$B$2:$B$100,IFERROR(DATE(2000+VALUE(RIGHT($B$2:$B$100,2)),VALUE(MID($B$2:$B$100,4,2)),VALUE(LEFT($B$2:$B$100,2))),0))&lt;IF(ISNUMBER(B48),B48,IFERROR(DATE(2000+VALUE(RIGHT(B48,2)),VALUE(MID(B48,4,2)),VALUE(LEFT(B48,2))),0))))+SUMPRODUCT(--ISNUMBER(SEARCH("WHEAT",$G$2:$G48))*--($H$2:$H48="OCCUPIED")*--($B$2:$B48&lt;&gt;"")*--(IF(ISNUMBER($B$2:$B48),$B$2:$B48,IFERROR(DATE(2000+VALUE(RIGHT($B$2:$B48,2)),VALUE(MID($B$2:$B48,4,2)),VALUE(LEFT($B$2:$B48,2))),0))=IF(ISNUMBER(B48),B48,IFERROR(DATE(2000+VALUE(RIGHT(B48,2)),VALUE(MID(B48,4,2)),VALUE(LEFT(B48,2))),0)))),""))</f>
        <v/>
      </c>
      <c r="R48" s="77">
        <f>IF(OR(B48="",G48="",H48&lt;&gt;"OCCUPIED"),"",IF(NOT(ISNUMBER(SEARCH("WHEAT",G48))),SUMPRODUCT(--($G$2:$G$100&lt;&gt;"")*--ISERROR(SEARCH("WHEAT",$G$2:$G$100))*--($H$2:$H$100="OCCUPIED")*--($B$2:$B$100&lt;&gt;"")*--(IF(ISNUMBER($B$2:$B$100),$B$2:$B$100,IFERROR(DATE(2000+VALUE(RIGHT($B$2:$B$100,2)),VALUE(MID($B$2:$B$100,4,2)),VALUE(LEFT($B$2:$B$100,2))),0))&lt;IF(ISNUMBER(B48),B48,IFERROR(DATE(2000+VALUE(RIGHT(B48,2)),VALUE(MID(B48,4,2)),VALUE(LEFT(B48,2))),0))))+SUMPRODUCT(--($G$2:$G48&lt;&gt;"")*--ISERROR(SEARCH("WHEAT",$G$2:$G48))*--($H$2:$H48="OCCUPIED")*--($B$2:$B48&lt;&gt;"")*--(IF(ISNUMBER($B$2:$B48),$B$2:$B48,IFERROR(DATE(2000+VALUE(RIGHT($B$2:$B48,2)),VALUE(MID($B$2:$B48,4,2)),VALUE(LEFT($B$2:$B48,2))),0))=IF(ISNUMBER(B48),B48,IFERROR(DATE(2000+VALUE(RIGHT(B48,2)),VALUE(MID(B48,4,2)),VALUE(LEFT(B48,2))),0)))),""))</f>
        <v/>
      </c>
    </row>
    <row r="49" ht="15.75" customHeight="1" s="42">
      <c r="A49" s="44">
        <f>IF(D49="","",ROWS($D$2:D49))</f>
        <v/>
      </c>
      <c r="B49" s="82" t="n"/>
      <c r="C49" s="83" t="n"/>
      <c r="D49" s="83" t="n"/>
      <c r="E49" s="83" t="n"/>
      <c r="F49" s="83" t="n"/>
      <c r="G49" s="83" t="n"/>
      <c r="H49" s="44">
        <f>IF(AND(E49="",F49="",G49=""),"EMPTY","OCCUPIED")</f>
        <v/>
      </c>
      <c r="I49" s="44">
        <f>IF(B49="","",IF(ISNUMBER(B49),MAX(0,TODAY()-(IF(ISNUMBER(B49),B49,IFERROR(DATE(2000+VALUE(RIGHT(B49,2)),VALUE(MID(B49,4,2)),VALUE(LEFT(B49,2))),"")))),IFERROR(MAX(0,TODAY()-DATE(2000+VALUE(RIGHT(B49,2)),VALUE(MID(B49,4,2)),VALUE(LEFT(B49,2))),"")))</f>
        <v/>
      </c>
      <c r="J49" s="82" t="n"/>
      <c r="K49" s="82" t="n"/>
      <c r="L49" s="82" t="n"/>
      <c r="M49" s="44">
        <f>IF(AND(H49="OCCUPIED",J49&lt;&gt;"",K49=""),1,0)</f>
        <v/>
      </c>
      <c r="N49" s="44">
        <f>IF(M49=1,COUNTIF($M$2:M49,1),"")</f>
        <v/>
      </c>
      <c r="O49" s="44">
        <f>IF(AND(J49&lt;&gt;"",K49=""),IF(ISNUMBER(J49),IF(TODAY()-(IF(ISNUMBER(J49),J49,IFERROR(DATE(2000+VALUE(RIGHT(J49,2)),VALUE(MID(J49,4,2)),VALUE(LEFT(J49,2))),"")))&gt;5,1,0),IFERROR(IF(TODAY()-DATE(2000+VALUE(RIGHT(J49,2)),VALUE(MID(J49,4,2)),VALUE(LEFT(J49,2)))&gt;5,1,0),0)),0)</f>
        <v/>
      </c>
      <c r="P49" s="44">
        <f>IF(O49=1,COUNTIF($O$2:O49,1),"")</f>
        <v/>
      </c>
      <c r="Q49" s="77">
        <f>IF(OR(B49="",G49="",H49&lt;&gt;"OCCUPIED"),"",IF(ISNUMBER(SEARCH("WHEAT",G49)),SUMPRODUCT(--ISNUMBER(SEARCH("WHEAT",$G$2:$G$100))*--($H$2:$H$100="OCCUPIED")*--($B$2:$B$100&lt;&gt;"")*--(IF(ISNUMBER($B$2:$B$100),$B$2:$B$100,IFERROR(DATE(2000+VALUE(RIGHT($B$2:$B$100,2)),VALUE(MID($B$2:$B$100,4,2)),VALUE(LEFT($B$2:$B$100,2))),0))&lt;IF(ISNUMBER(B49),B49,IFERROR(DATE(2000+VALUE(RIGHT(B49,2)),VALUE(MID(B49,4,2)),VALUE(LEFT(B49,2))),0))))+SUMPRODUCT(--ISNUMBER(SEARCH("WHEAT",$G$2:$G49))*--($H$2:$H49="OCCUPIED")*--($B$2:$B49&lt;&gt;"")*--(IF(ISNUMBER($B$2:$B49),$B$2:$B49,IFERROR(DATE(2000+VALUE(RIGHT($B$2:$B49,2)),VALUE(MID($B$2:$B49,4,2)),VALUE(LEFT($B$2:$B49,2))),0))=IF(ISNUMBER(B49),B49,IFERROR(DATE(2000+VALUE(RIGHT(B49,2)),VALUE(MID(B49,4,2)),VALUE(LEFT(B49,2))),0)))),""))</f>
        <v/>
      </c>
      <c r="R49" s="77">
        <f>IF(OR(B49="",G49="",H49&lt;&gt;"OCCUPIED"),"",IF(NOT(ISNUMBER(SEARCH("WHEAT",G49))),SUMPRODUCT(--($G$2:$G$100&lt;&gt;"")*--ISERROR(SEARCH("WHEAT",$G$2:$G$100))*--($H$2:$H$100="OCCUPIED")*--($B$2:$B$100&lt;&gt;"")*--(IF(ISNUMBER($B$2:$B$100),$B$2:$B$100,IFERROR(DATE(2000+VALUE(RIGHT($B$2:$B$100,2)),VALUE(MID($B$2:$B$100,4,2)),VALUE(LEFT($B$2:$B$100,2))),0))&lt;IF(ISNUMBER(B49),B49,IFERROR(DATE(2000+VALUE(RIGHT(B49,2)),VALUE(MID(B49,4,2)),VALUE(LEFT(B49,2))),0))))+SUMPRODUCT(--($G$2:$G49&lt;&gt;"")*--ISERROR(SEARCH("WHEAT",$G$2:$G49))*--($H$2:$H49="OCCUPIED")*--($B$2:$B49&lt;&gt;"")*--(IF(ISNUMBER($B$2:$B49),$B$2:$B49,IFERROR(DATE(2000+VALUE(RIGHT($B$2:$B49,2)),VALUE(MID($B$2:$B49,4,2)),VALUE(LEFT($B$2:$B49,2))),0))=IF(ISNUMBER(B49),B49,IFERROR(DATE(2000+VALUE(RIGHT(B49,2)),VALUE(MID(B49,4,2)),VALUE(LEFT(B49,2))),0)))),""))</f>
        <v/>
      </c>
    </row>
    <row r="50" ht="15.75" customHeight="1" s="42">
      <c r="A50" s="44">
        <f>IF(D50="","",ROWS($D$2:D50))</f>
        <v/>
      </c>
      <c r="B50" s="82" t="n"/>
      <c r="C50" s="83" t="n"/>
      <c r="D50" s="83" t="n"/>
      <c r="E50" s="83" t="n"/>
      <c r="F50" s="83" t="n"/>
      <c r="G50" s="83" t="n"/>
      <c r="H50" s="44">
        <f>IF(AND(E50="",F50="",G50=""),"EMPTY","OCCUPIED")</f>
        <v/>
      </c>
      <c r="I50" s="44">
        <f>IF(B50="","",IF(ISNUMBER(B50),MAX(0,TODAY()-(IF(ISNUMBER(B50),B50,IFERROR(DATE(2000+VALUE(RIGHT(B50,2)),VALUE(MID(B50,4,2)),VALUE(LEFT(B50,2))),"")))),IFERROR(MAX(0,TODAY()-DATE(2000+VALUE(RIGHT(B50,2)),VALUE(MID(B50,4,2)),VALUE(LEFT(B50,2))),"")))</f>
        <v/>
      </c>
      <c r="J50" s="82" t="n"/>
      <c r="K50" s="82" t="n"/>
      <c r="L50" s="82" t="n"/>
      <c r="M50" s="44">
        <f>IF(AND(H50="OCCUPIED",J50&lt;&gt;"",K50=""),1,0)</f>
        <v/>
      </c>
      <c r="N50" s="44">
        <f>IF(M50=1,COUNTIF($M$2:M50,1),"")</f>
        <v/>
      </c>
      <c r="O50" s="44">
        <f>IF(AND(J50&lt;&gt;"",K50=""),IF(ISNUMBER(J50),IF(TODAY()-(IF(ISNUMBER(J50),J50,IFERROR(DATE(2000+VALUE(RIGHT(J50,2)),VALUE(MID(J50,4,2)),VALUE(LEFT(J50,2))),"")))&gt;5,1,0),IFERROR(IF(TODAY()-DATE(2000+VALUE(RIGHT(J50,2)),VALUE(MID(J50,4,2)),VALUE(LEFT(J50,2)))&gt;5,1,0),0)),0)</f>
        <v/>
      </c>
      <c r="P50" s="44">
        <f>IF(O50=1,COUNTIF($O$2:O50,1),"")</f>
        <v/>
      </c>
      <c r="Q50" s="77">
        <f>IF(OR(B50="",G50="",H50&lt;&gt;"OCCUPIED"),"",IF(ISNUMBER(SEARCH("WHEAT",G50)),SUMPRODUCT(--ISNUMBER(SEARCH("WHEAT",$G$2:$G$100))*--($H$2:$H$100="OCCUPIED")*--($B$2:$B$100&lt;&gt;"")*--(IF(ISNUMBER($B$2:$B$100),$B$2:$B$100,IFERROR(DATE(2000+VALUE(RIGHT($B$2:$B$100,2)),VALUE(MID($B$2:$B$100,4,2)),VALUE(LEFT($B$2:$B$100,2))),0))&lt;IF(ISNUMBER(B50),B50,IFERROR(DATE(2000+VALUE(RIGHT(B50,2)),VALUE(MID(B50,4,2)),VALUE(LEFT(B50,2))),0))))+SUMPRODUCT(--ISNUMBER(SEARCH("WHEAT",$G$2:$G50))*--($H$2:$H50="OCCUPIED")*--($B$2:$B50&lt;&gt;"")*--(IF(ISNUMBER($B$2:$B50),$B$2:$B50,IFERROR(DATE(2000+VALUE(RIGHT($B$2:$B50,2)),VALUE(MID($B$2:$B50,4,2)),VALUE(LEFT($B$2:$B50,2))),0))=IF(ISNUMBER(B50),B50,IFERROR(DATE(2000+VALUE(RIGHT(B50,2)),VALUE(MID(B50,4,2)),VALUE(LEFT(B50,2))),0)))),""))</f>
        <v/>
      </c>
      <c r="R50" s="77">
        <f>IF(OR(B50="",G50="",H50&lt;&gt;"OCCUPIED"),"",IF(NOT(ISNUMBER(SEARCH("WHEAT",G50))),SUMPRODUCT(--($G$2:$G$100&lt;&gt;"")*--ISERROR(SEARCH("WHEAT",$G$2:$G$100))*--($H$2:$H$100="OCCUPIED")*--($B$2:$B$100&lt;&gt;"")*--(IF(ISNUMBER($B$2:$B$100),$B$2:$B$100,IFERROR(DATE(2000+VALUE(RIGHT($B$2:$B$100,2)),VALUE(MID($B$2:$B$100,4,2)),VALUE(LEFT($B$2:$B$100,2))),0))&lt;IF(ISNUMBER(B50),B50,IFERROR(DATE(2000+VALUE(RIGHT(B50,2)),VALUE(MID(B50,4,2)),VALUE(LEFT(B50,2))),0))))+SUMPRODUCT(--($G$2:$G50&lt;&gt;"")*--ISERROR(SEARCH("WHEAT",$G$2:$G50))*--($H$2:$H50="OCCUPIED")*--($B$2:$B50&lt;&gt;"")*--(IF(ISNUMBER($B$2:$B50),$B$2:$B50,IFERROR(DATE(2000+VALUE(RIGHT($B$2:$B50,2)),VALUE(MID($B$2:$B50,4,2)),VALUE(LEFT($B$2:$B50,2))),0))=IF(ISNUMBER(B50),B50,IFERROR(DATE(2000+VALUE(RIGHT(B50,2)),VALUE(MID(B50,4,2)),VALUE(LEFT(B50,2))),0)))),""))</f>
        <v/>
      </c>
    </row>
    <row r="51" ht="15.75" customHeight="1" s="42">
      <c r="A51" s="44">
        <f>IF(D51="","",ROWS($D$2:D51))</f>
        <v/>
      </c>
      <c r="B51" s="82" t="n"/>
      <c r="C51" s="83" t="n"/>
      <c r="D51" s="83" t="n"/>
      <c r="E51" s="83" t="n"/>
      <c r="F51" s="83" t="n"/>
      <c r="G51" s="83" t="n"/>
      <c r="H51" s="44">
        <f>IF(AND(E51="",F51="",G51=""),"EMPTY","OCCUPIED")</f>
        <v/>
      </c>
      <c r="I51" s="44">
        <f>IF(B51="","",IF(ISNUMBER(B51),MAX(0,TODAY()-(IF(ISNUMBER(B51),B51,IFERROR(DATE(2000+VALUE(RIGHT(B51,2)),VALUE(MID(B51,4,2)),VALUE(LEFT(B51,2))),"")))),IFERROR(MAX(0,TODAY()-DATE(2000+VALUE(RIGHT(B51,2)),VALUE(MID(B51,4,2)),VALUE(LEFT(B51,2))),"")))</f>
        <v/>
      </c>
      <c r="J51" s="82" t="n"/>
      <c r="K51" s="82" t="n"/>
      <c r="L51" s="82" t="n"/>
      <c r="M51" s="44">
        <f>IF(AND(H51="OCCUPIED",J51&lt;&gt;"",K51=""),1,0)</f>
        <v/>
      </c>
      <c r="N51" s="44">
        <f>IF(M51=1,COUNTIF($M$2:M51,1),"")</f>
        <v/>
      </c>
      <c r="O51" s="44">
        <f>IF(AND(J51&lt;&gt;"",K51=""),IF(ISNUMBER(J51),IF(TODAY()-(IF(ISNUMBER(J51),J51,IFERROR(DATE(2000+VALUE(RIGHT(J51,2)),VALUE(MID(J51,4,2)),VALUE(LEFT(J51,2))),"")))&gt;5,1,0),IFERROR(IF(TODAY()-DATE(2000+VALUE(RIGHT(J51,2)),VALUE(MID(J51,4,2)),VALUE(LEFT(J51,2)))&gt;5,1,0),0)),0)</f>
        <v/>
      </c>
      <c r="P51" s="44">
        <f>IF(O51=1,COUNTIF($O$2:O51,1),"")</f>
        <v/>
      </c>
      <c r="Q51" s="77">
        <f>IF(OR(B51="",G51="",H51&lt;&gt;"OCCUPIED"),"",IF(ISNUMBER(SEARCH("WHEAT",G51)),SUMPRODUCT(--ISNUMBER(SEARCH("WHEAT",$G$2:$G$100))*--($H$2:$H$100="OCCUPIED")*--($B$2:$B$100&lt;&gt;"")*--(IF(ISNUMBER($B$2:$B$100),$B$2:$B$100,IFERROR(DATE(2000+VALUE(RIGHT($B$2:$B$100,2)),VALUE(MID($B$2:$B$100,4,2)),VALUE(LEFT($B$2:$B$100,2))),0))&lt;IF(ISNUMBER(B51),B51,IFERROR(DATE(2000+VALUE(RIGHT(B51,2)),VALUE(MID(B51,4,2)),VALUE(LEFT(B51,2))),0))))+SUMPRODUCT(--ISNUMBER(SEARCH("WHEAT",$G$2:$G51))*--($H$2:$H51="OCCUPIED")*--($B$2:$B51&lt;&gt;"")*--(IF(ISNUMBER($B$2:$B51),$B$2:$B51,IFERROR(DATE(2000+VALUE(RIGHT($B$2:$B51,2)),VALUE(MID($B$2:$B51,4,2)),VALUE(LEFT($B$2:$B51,2))),0))=IF(ISNUMBER(B51),B51,IFERROR(DATE(2000+VALUE(RIGHT(B51,2)),VALUE(MID(B51,4,2)),VALUE(LEFT(B51,2))),0)))),""))</f>
        <v/>
      </c>
      <c r="R51" s="77">
        <f>IF(OR(B51="",G51="",H51&lt;&gt;"OCCUPIED"),"",IF(NOT(ISNUMBER(SEARCH("WHEAT",G51))),SUMPRODUCT(--($G$2:$G$100&lt;&gt;"")*--ISERROR(SEARCH("WHEAT",$G$2:$G$100))*--($H$2:$H$100="OCCUPIED")*--($B$2:$B$100&lt;&gt;"")*--(IF(ISNUMBER($B$2:$B$100),$B$2:$B$100,IFERROR(DATE(2000+VALUE(RIGHT($B$2:$B$100,2)),VALUE(MID($B$2:$B$100,4,2)),VALUE(LEFT($B$2:$B$100,2))),0))&lt;IF(ISNUMBER(B51),B51,IFERROR(DATE(2000+VALUE(RIGHT(B51,2)),VALUE(MID(B51,4,2)),VALUE(LEFT(B51,2))),0))))+SUMPRODUCT(--($G$2:$G51&lt;&gt;"")*--ISERROR(SEARCH("WHEAT",$G$2:$G51))*--($H$2:$H51="OCCUPIED")*--($B$2:$B51&lt;&gt;"")*--(IF(ISNUMBER($B$2:$B51),$B$2:$B51,IFERROR(DATE(2000+VALUE(RIGHT($B$2:$B51,2)),VALUE(MID($B$2:$B51,4,2)),VALUE(LEFT($B$2:$B51,2))),0))=IF(ISNUMBER(B51),B51,IFERROR(DATE(2000+VALUE(RIGHT(B51,2)),VALUE(MID(B51,4,2)),VALUE(LEFT(B51,2))),0)))),""))</f>
        <v/>
      </c>
    </row>
    <row r="52" ht="15.75" customHeight="1" s="42">
      <c r="A52" s="44">
        <f>IF(D52="","",ROWS($D$2:D52))</f>
        <v/>
      </c>
      <c r="B52" s="82" t="n"/>
      <c r="C52" s="83" t="n"/>
      <c r="D52" s="83" t="n"/>
      <c r="E52" s="83" t="n"/>
      <c r="F52" s="83" t="n"/>
      <c r="G52" s="83" t="n"/>
      <c r="H52" s="44">
        <f>IF(AND(E52="",F52="",G52=""),"EMPTY","OCCUPIED")</f>
        <v/>
      </c>
      <c r="I52" s="44">
        <f>IF(B52="","",IF(ISNUMBER(B52),MAX(0,TODAY()-(IF(ISNUMBER(B52),B52,IFERROR(DATE(2000+VALUE(RIGHT(B52,2)),VALUE(MID(B52,4,2)),VALUE(LEFT(B52,2))),"")))),IFERROR(MAX(0,TODAY()-DATE(2000+VALUE(RIGHT(B52,2)),VALUE(MID(B52,4,2)),VALUE(LEFT(B52,2))),"")))</f>
        <v/>
      </c>
      <c r="J52" s="82" t="n"/>
      <c r="K52" s="82" t="n"/>
      <c r="L52" s="82" t="n"/>
      <c r="M52" s="44">
        <f>IF(AND(H52="OCCUPIED",J52&lt;&gt;"",K52=""),1,0)</f>
        <v/>
      </c>
      <c r="N52" s="44">
        <f>IF(M52=1,COUNTIF($M$2:M52,1),"")</f>
        <v/>
      </c>
      <c r="O52" s="44">
        <f>IF(AND(J52&lt;&gt;"",K52=""),IF(ISNUMBER(J52),IF(TODAY()-(IF(ISNUMBER(J52),J52,IFERROR(DATE(2000+VALUE(RIGHT(J52,2)),VALUE(MID(J52,4,2)),VALUE(LEFT(J52,2))),"")))&gt;5,1,0),IFERROR(IF(TODAY()-DATE(2000+VALUE(RIGHT(J52,2)),VALUE(MID(J52,4,2)),VALUE(LEFT(J52,2)))&gt;5,1,0),0)),0)</f>
        <v/>
      </c>
      <c r="P52" s="44">
        <f>IF(O52=1,COUNTIF($O$2:O52,1),"")</f>
        <v/>
      </c>
      <c r="Q52" s="77">
        <f>IF(OR(B52="",G52="",H52&lt;&gt;"OCCUPIED"),"",IF(ISNUMBER(SEARCH("WHEAT",G52)),SUMPRODUCT(--ISNUMBER(SEARCH("WHEAT",$G$2:$G$100))*--($H$2:$H$100="OCCUPIED")*--($B$2:$B$100&lt;&gt;"")*--(IF(ISNUMBER($B$2:$B$100),$B$2:$B$100,IFERROR(DATE(2000+VALUE(RIGHT($B$2:$B$100,2)),VALUE(MID($B$2:$B$100,4,2)),VALUE(LEFT($B$2:$B$100,2))),0))&lt;IF(ISNUMBER(B52),B52,IFERROR(DATE(2000+VALUE(RIGHT(B52,2)),VALUE(MID(B52,4,2)),VALUE(LEFT(B52,2))),0))))+SUMPRODUCT(--ISNUMBER(SEARCH("WHEAT",$G$2:$G52))*--($H$2:$H52="OCCUPIED")*--($B$2:$B52&lt;&gt;"")*--(IF(ISNUMBER($B$2:$B52),$B$2:$B52,IFERROR(DATE(2000+VALUE(RIGHT($B$2:$B52,2)),VALUE(MID($B$2:$B52,4,2)),VALUE(LEFT($B$2:$B52,2))),0))=IF(ISNUMBER(B52),B52,IFERROR(DATE(2000+VALUE(RIGHT(B52,2)),VALUE(MID(B52,4,2)),VALUE(LEFT(B52,2))),0)))),""))</f>
        <v/>
      </c>
      <c r="R52" s="77">
        <f>IF(OR(B52="",G52="",H52&lt;&gt;"OCCUPIED"),"",IF(NOT(ISNUMBER(SEARCH("WHEAT",G52))),SUMPRODUCT(--($G$2:$G$100&lt;&gt;"")*--ISERROR(SEARCH("WHEAT",$G$2:$G$100))*--($H$2:$H$100="OCCUPIED")*--($B$2:$B$100&lt;&gt;"")*--(IF(ISNUMBER($B$2:$B$100),$B$2:$B$100,IFERROR(DATE(2000+VALUE(RIGHT($B$2:$B$100,2)),VALUE(MID($B$2:$B$100,4,2)),VALUE(LEFT($B$2:$B$100,2))),0))&lt;IF(ISNUMBER(B52),B52,IFERROR(DATE(2000+VALUE(RIGHT(B52,2)),VALUE(MID(B52,4,2)),VALUE(LEFT(B52,2))),0))))+SUMPRODUCT(--($G$2:$G52&lt;&gt;"")*--ISERROR(SEARCH("WHEAT",$G$2:$G52))*--($H$2:$H52="OCCUPIED")*--($B$2:$B52&lt;&gt;"")*--(IF(ISNUMBER($B$2:$B52),$B$2:$B52,IFERROR(DATE(2000+VALUE(RIGHT($B$2:$B52,2)),VALUE(MID($B$2:$B52,4,2)),VALUE(LEFT($B$2:$B52,2))),0))=IF(ISNUMBER(B52),B52,IFERROR(DATE(2000+VALUE(RIGHT(B52,2)),VALUE(MID(B52,4,2)),VALUE(LEFT(B52,2))),0)))),""))</f>
        <v/>
      </c>
    </row>
    <row r="53" ht="15.75" customHeight="1" s="42">
      <c r="A53" s="44">
        <f>IF(D53="","",ROWS($D$2:D53))</f>
        <v/>
      </c>
      <c r="B53" s="82" t="n"/>
      <c r="C53" s="83" t="n"/>
      <c r="D53" s="83" t="n"/>
      <c r="E53" s="83" t="n"/>
      <c r="F53" s="83" t="n"/>
      <c r="G53" s="83" t="n"/>
      <c r="H53" s="44">
        <f>IF(AND(E53="",F53="",G53=""),"EMPTY","OCCUPIED")</f>
        <v/>
      </c>
      <c r="I53" s="44">
        <f>IF(B53="","",IF(ISNUMBER(B53),MAX(0,TODAY()-(IF(ISNUMBER(B53),B53,IFERROR(DATE(2000+VALUE(RIGHT(B53,2)),VALUE(MID(B53,4,2)),VALUE(LEFT(B53,2))),"")))),IFERROR(MAX(0,TODAY()-DATE(2000+VALUE(RIGHT(B53,2)),VALUE(MID(B53,4,2)),VALUE(LEFT(B53,2))),"")))</f>
        <v/>
      </c>
      <c r="J53" s="82" t="n"/>
      <c r="K53" s="82" t="n"/>
      <c r="L53" s="82" t="n"/>
      <c r="M53" s="44">
        <f>IF(AND(H53="OCCUPIED",J53&lt;&gt;"",K53=""),1,0)</f>
        <v/>
      </c>
      <c r="N53" s="44">
        <f>IF(M53=1,COUNTIF($M$2:M53,1),"")</f>
        <v/>
      </c>
      <c r="O53" s="44">
        <f>IF(AND(J53&lt;&gt;"",K53=""),IF(ISNUMBER(J53),IF(TODAY()-(IF(ISNUMBER(J53),J53,IFERROR(DATE(2000+VALUE(RIGHT(J53,2)),VALUE(MID(J53,4,2)),VALUE(LEFT(J53,2))),"")))&gt;5,1,0),IFERROR(IF(TODAY()-DATE(2000+VALUE(RIGHT(J53,2)),VALUE(MID(J53,4,2)),VALUE(LEFT(J53,2)))&gt;5,1,0),0)),0)</f>
        <v/>
      </c>
      <c r="P53" s="44">
        <f>IF(O53=1,COUNTIF($O$2:O53,1),"")</f>
        <v/>
      </c>
      <c r="Q53" s="77">
        <f>IF(OR(B53="",G53="",H53&lt;&gt;"OCCUPIED"),"",IF(ISNUMBER(SEARCH("WHEAT",G53)),SUMPRODUCT(--ISNUMBER(SEARCH("WHEAT",$G$2:$G$100))*--($H$2:$H$100="OCCUPIED")*--($B$2:$B$100&lt;&gt;"")*--(IF(ISNUMBER($B$2:$B$100),$B$2:$B$100,IFERROR(DATE(2000+VALUE(RIGHT($B$2:$B$100,2)),VALUE(MID($B$2:$B$100,4,2)),VALUE(LEFT($B$2:$B$100,2))),0))&lt;IF(ISNUMBER(B53),B53,IFERROR(DATE(2000+VALUE(RIGHT(B53,2)),VALUE(MID(B53,4,2)),VALUE(LEFT(B53,2))),0))))+SUMPRODUCT(--ISNUMBER(SEARCH("WHEAT",$G$2:$G53))*--($H$2:$H53="OCCUPIED")*--($B$2:$B53&lt;&gt;"")*--(IF(ISNUMBER($B$2:$B53),$B$2:$B53,IFERROR(DATE(2000+VALUE(RIGHT($B$2:$B53,2)),VALUE(MID($B$2:$B53,4,2)),VALUE(LEFT($B$2:$B53,2))),0))=IF(ISNUMBER(B53),B53,IFERROR(DATE(2000+VALUE(RIGHT(B53,2)),VALUE(MID(B53,4,2)),VALUE(LEFT(B53,2))),0)))),""))</f>
        <v/>
      </c>
      <c r="R53" s="77">
        <f>IF(OR(B53="",G53="",H53&lt;&gt;"OCCUPIED"),"",IF(NOT(ISNUMBER(SEARCH("WHEAT",G53))),SUMPRODUCT(--($G$2:$G$100&lt;&gt;"")*--ISERROR(SEARCH("WHEAT",$G$2:$G$100))*--($H$2:$H$100="OCCUPIED")*--($B$2:$B$100&lt;&gt;"")*--(IF(ISNUMBER($B$2:$B$100),$B$2:$B$100,IFERROR(DATE(2000+VALUE(RIGHT($B$2:$B$100,2)),VALUE(MID($B$2:$B$100,4,2)),VALUE(LEFT($B$2:$B$100,2))),0))&lt;IF(ISNUMBER(B53),B53,IFERROR(DATE(2000+VALUE(RIGHT(B53,2)),VALUE(MID(B53,4,2)),VALUE(LEFT(B53,2))),0))))+SUMPRODUCT(--($G$2:$G53&lt;&gt;"")*--ISERROR(SEARCH("WHEAT",$G$2:$G53))*--($H$2:$H53="OCCUPIED")*--($B$2:$B53&lt;&gt;"")*--(IF(ISNUMBER($B$2:$B53),$B$2:$B53,IFERROR(DATE(2000+VALUE(RIGHT($B$2:$B53,2)),VALUE(MID($B$2:$B53,4,2)),VALUE(LEFT($B$2:$B53,2))),0))=IF(ISNUMBER(B53),B53,IFERROR(DATE(2000+VALUE(RIGHT(B53,2)),VALUE(MID(B53,4,2)),VALUE(LEFT(B53,2))),0)))),""))</f>
        <v/>
      </c>
    </row>
    <row r="54" ht="15.75" customHeight="1" s="42">
      <c r="A54" s="44">
        <f>IF(D54="","",ROWS($D$2:D54))</f>
        <v/>
      </c>
      <c r="B54" s="82" t="n"/>
      <c r="C54" s="83" t="n"/>
      <c r="D54" s="83" t="n"/>
      <c r="E54" s="83" t="n"/>
      <c r="F54" s="83" t="n"/>
      <c r="G54" s="83" t="n"/>
      <c r="H54" s="44">
        <f>IF(AND(E54="",F54="",G54=""),"EMPTY","OCCUPIED")</f>
        <v/>
      </c>
      <c r="I54" s="44">
        <f>IF(B54="","",IF(ISNUMBER(B54),MAX(0,TODAY()-(IF(ISNUMBER(B54),B54,IFERROR(DATE(2000+VALUE(RIGHT(B54,2)),VALUE(MID(B54,4,2)),VALUE(LEFT(B54,2))),"")))),IFERROR(MAX(0,TODAY()-DATE(2000+VALUE(RIGHT(B54,2)),VALUE(MID(B54,4,2)),VALUE(LEFT(B54,2))),"")))</f>
        <v/>
      </c>
      <c r="J54" s="82" t="n"/>
      <c r="K54" s="82" t="n"/>
      <c r="L54" s="82" t="n"/>
      <c r="M54" s="44">
        <f>IF(AND(H54="OCCUPIED",J54&lt;&gt;"",K54=""),1,0)</f>
        <v/>
      </c>
      <c r="N54" s="44">
        <f>IF(M54=1,COUNTIF($M$2:M54,1),"")</f>
        <v/>
      </c>
      <c r="O54" s="44">
        <f>IF(AND(J54&lt;&gt;"",K54=""),IF(ISNUMBER(J54),IF(TODAY()-(IF(ISNUMBER(J54),J54,IFERROR(DATE(2000+VALUE(RIGHT(J54,2)),VALUE(MID(J54,4,2)),VALUE(LEFT(J54,2))),"")))&gt;5,1,0),IFERROR(IF(TODAY()-DATE(2000+VALUE(RIGHT(J54,2)),VALUE(MID(J54,4,2)),VALUE(LEFT(J54,2)))&gt;5,1,0),0)),0)</f>
        <v/>
      </c>
      <c r="P54" s="44">
        <f>IF(O54=1,COUNTIF($O$2:O54,1),"")</f>
        <v/>
      </c>
      <c r="Q54" s="77">
        <f>IF(OR(B54="",G54="",H54&lt;&gt;"OCCUPIED"),"",IF(ISNUMBER(SEARCH("WHEAT",G54)),SUMPRODUCT(--ISNUMBER(SEARCH("WHEAT",$G$2:$G$100))*--($H$2:$H$100="OCCUPIED")*--($B$2:$B$100&lt;&gt;"")*--(IF(ISNUMBER($B$2:$B$100),$B$2:$B$100,IFERROR(DATE(2000+VALUE(RIGHT($B$2:$B$100,2)),VALUE(MID($B$2:$B$100,4,2)),VALUE(LEFT($B$2:$B$100,2))),0))&lt;IF(ISNUMBER(B54),B54,IFERROR(DATE(2000+VALUE(RIGHT(B54,2)),VALUE(MID(B54,4,2)),VALUE(LEFT(B54,2))),0))))+SUMPRODUCT(--ISNUMBER(SEARCH("WHEAT",$G$2:$G54))*--($H$2:$H54="OCCUPIED")*--($B$2:$B54&lt;&gt;"")*--(IF(ISNUMBER($B$2:$B54),$B$2:$B54,IFERROR(DATE(2000+VALUE(RIGHT($B$2:$B54,2)),VALUE(MID($B$2:$B54,4,2)),VALUE(LEFT($B$2:$B54,2))),0))=IF(ISNUMBER(B54),B54,IFERROR(DATE(2000+VALUE(RIGHT(B54,2)),VALUE(MID(B54,4,2)),VALUE(LEFT(B54,2))),0)))),""))</f>
        <v/>
      </c>
      <c r="R54" s="77">
        <f>IF(OR(B54="",G54="",H54&lt;&gt;"OCCUPIED"),"",IF(NOT(ISNUMBER(SEARCH("WHEAT",G54))),SUMPRODUCT(--($G$2:$G$100&lt;&gt;"")*--ISERROR(SEARCH("WHEAT",$G$2:$G$100))*--($H$2:$H$100="OCCUPIED")*--($B$2:$B$100&lt;&gt;"")*--(IF(ISNUMBER($B$2:$B$100),$B$2:$B$100,IFERROR(DATE(2000+VALUE(RIGHT($B$2:$B$100,2)),VALUE(MID($B$2:$B$100,4,2)),VALUE(LEFT($B$2:$B$100,2))),0))&lt;IF(ISNUMBER(B54),B54,IFERROR(DATE(2000+VALUE(RIGHT(B54,2)),VALUE(MID(B54,4,2)),VALUE(LEFT(B54,2))),0))))+SUMPRODUCT(--($G$2:$G54&lt;&gt;"")*--ISERROR(SEARCH("WHEAT",$G$2:$G54))*--($H$2:$H54="OCCUPIED")*--($B$2:$B54&lt;&gt;"")*--(IF(ISNUMBER($B$2:$B54),$B$2:$B54,IFERROR(DATE(2000+VALUE(RIGHT($B$2:$B54,2)),VALUE(MID($B$2:$B54,4,2)),VALUE(LEFT($B$2:$B54,2))),0))=IF(ISNUMBER(B54),B54,IFERROR(DATE(2000+VALUE(RIGHT(B54,2)),VALUE(MID(B54,4,2)),VALUE(LEFT(B54,2))),0)))),""))</f>
        <v/>
      </c>
    </row>
    <row r="55" ht="15.75" customHeight="1" s="42">
      <c r="A55" s="44">
        <f>IF(D55="","",ROWS($D$2:D55))</f>
        <v/>
      </c>
      <c r="B55" s="82" t="n"/>
      <c r="C55" s="83" t="n"/>
      <c r="D55" s="83" t="n"/>
      <c r="E55" s="83" t="n"/>
      <c r="F55" s="83" t="n"/>
      <c r="G55" s="83" t="n"/>
      <c r="H55" s="44">
        <f>IF(AND(E55="",F55="",G55=""),"EMPTY","OCCUPIED")</f>
        <v/>
      </c>
      <c r="I55" s="44">
        <f>IF(B55="","",IF(ISNUMBER(B55),MAX(0,TODAY()-(IF(ISNUMBER(B55),B55,IFERROR(DATE(2000+VALUE(RIGHT(B55,2)),VALUE(MID(B55,4,2)),VALUE(LEFT(B55,2))),"")))),IFERROR(MAX(0,TODAY()-DATE(2000+VALUE(RIGHT(B55,2)),VALUE(MID(B55,4,2)),VALUE(LEFT(B55,2))),"")))</f>
        <v/>
      </c>
      <c r="J55" s="82" t="n"/>
      <c r="K55" s="82" t="n"/>
      <c r="L55" s="82" t="n"/>
      <c r="M55" s="44">
        <f>IF(AND(H55="OCCUPIED",J55&lt;&gt;"",K55=""),1,0)</f>
        <v/>
      </c>
      <c r="N55" s="44">
        <f>IF(M55=1,COUNTIF($M$2:M55,1),"")</f>
        <v/>
      </c>
      <c r="O55" s="44">
        <f>IF(AND(J55&lt;&gt;"",K55=""),IF(ISNUMBER(J55),IF(TODAY()-(IF(ISNUMBER(J55),J55,IFERROR(DATE(2000+VALUE(RIGHT(J55,2)),VALUE(MID(J55,4,2)),VALUE(LEFT(J55,2))),"")))&gt;5,1,0),IFERROR(IF(TODAY()-DATE(2000+VALUE(RIGHT(J55,2)),VALUE(MID(J55,4,2)),VALUE(LEFT(J55,2)))&gt;5,1,0),0)),0)</f>
        <v/>
      </c>
      <c r="P55" s="44">
        <f>IF(O55=1,COUNTIF($O$2:O55,1),"")</f>
        <v/>
      </c>
      <c r="Q55" s="77">
        <f>IF(OR(B55="",G55="",H55&lt;&gt;"OCCUPIED"),"",IF(ISNUMBER(SEARCH("WHEAT",G55)),SUMPRODUCT(--ISNUMBER(SEARCH("WHEAT",$G$2:$G$100))*--($H$2:$H$100="OCCUPIED")*--($B$2:$B$100&lt;&gt;"")*--(IF(ISNUMBER($B$2:$B$100),$B$2:$B$100,IFERROR(DATE(2000+VALUE(RIGHT($B$2:$B$100,2)),VALUE(MID($B$2:$B$100,4,2)),VALUE(LEFT($B$2:$B$100,2))),0))&lt;IF(ISNUMBER(B55),B55,IFERROR(DATE(2000+VALUE(RIGHT(B55,2)),VALUE(MID(B55,4,2)),VALUE(LEFT(B55,2))),0))))+SUMPRODUCT(--ISNUMBER(SEARCH("WHEAT",$G$2:$G55))*--($H$2:$H55="OCCUPIED")*--($B$2:$B55&lt;&gt;"")*--(IF(ISNUMBER($B$2:$B55),$B$2:$B55,IFERROR(DATE(2000+VALUE(RIGHT($B$2:$B55,2)),VALUE(MID($B$2:$B55,4,2)),VALUE(LEFT($B$2:$B55,2))),0))=IF(ISNUMBER(B55),B55,IFERROR(DATE(2000+VALUE(RIGHT(B55,2)),VALUE(MID(B55,4,2)),VALUE(LEFT(B55,2))),0)))),""))</f>
        <v/>
      </c>
      <c r="R55" s="77">
        <f>IF(OR(B55="",G55="",H55&lt;&gt;"OCCUPIED"),"",IF(NOT(ISNUMBER(SEARCH("WHEAT",G55))),SUMPRODUCT(--($G$2:$G$100&lt;&gt;"")*--ISERROR(SEARCH("WHEAT",$G$2:$G$100))*--($H$2:$H$100="OCCUPIED")*--($B$2:$B$100&lt;&gt;"")*--(IF(ISNUMBER($B$2:$B$100),$B$2:$B$100,IFERROR(DATE(2000+VALUE(RIGHT($B$2:$B$100,2)),VALUE(MID($B$2:$B$100,4,2)),VALUE(LEFT($B$2:$B$100,2))),0))&lt;IF(ISNUMBER(B55),B55,IFERROR(DATE(2000+VALUE(RIGHT(B55,2)),VALUE(MID(B55,4,2)),VALUE(LEFT(B55,2))),0))))+SUMPRODUCT(--($G$2:$G55&lt;&gt;"")*--ISERROR(SEARCH("WHEAT",$G$2:$G55))*--($H$2:$H55="OCCUPIED")*--($B$2:$B55&lt;&gt;"")*--(IF(ISNUMBER($B$2:$B55),$B$2:$B55,IFERROR(DATE(2000+VALUE(RIGHT($B$2:$B55,2)),VALUE(MID($B$2:$B55,4,2)),VALUE(LEFT($B$2:$B55,2))),0))=IF(ISNUMBER(B55),B55,IFERROR(DATE(2000+VALUE(RIGHT(B55,2)),VALUE(MID(B55,4,2)),VALUE(LEFT(B55,2))),0)))),""))</f>
        <v/>
      </c>
    </row>
    <row r="56" ht="15.75" customHeight="1" s="42">
      <c r="A56" s="44">
        <f>IF(D56="","",ROWS($D$2:D56))</f>
        <v/>
      </c>
      <c r="B56" s="82" t="n"/>
      <c r="C56" s="83" t="n"/>
      <c r="D56" s="83" t="n"/>
      <c r="E56" s="83" t="n"/>
      <c r="F56" s="83" t="n"/>
      <c r="G56" s="83" t="n"/>
      <c r="H56" s="44">
        <f>IF(AND(E56="",F56="",G56=""),"EMPTY","OCCUPIED")</f>
        <v/>
      </c>
      <c r="I56" s="44">
        <f>IF(B56="","",IF(ISNUMBER(B56),MAX(0,TODAY()-(IF(ISNUMBER(B56),B56,IFERROR(DATE(2000+VALUE(RIGHT(B56,2)),VALUE(MID(B56,4,2)),VALUE(LEFT(B56,2))),"")))),IFERROR(MAX(0,TODAY()-DATE(2000+VALUE(RIGHT(B56,2)),VALUE(MID(B56,4,2)),VALUE(LEFT(B56,2))),"")))</f>
        <v/>
      </c>
      <c r="J56" s="82" t="n"/>
      <c r="K56" s="82" t="n"/>
      <c r="L56" s="82" t="n"/>
      <c r="M56" s="44">
        <f>IF(AND(H56="OCCUPIED",J56&lt;&gt;"",K56=""),1,0)</f>
        <v/>
      </c>
      <c r="N56" s="44">
        <f>IF(M56=1,COUNTIF($M$2:M56,1),"")</f>
        <v/>
      </c>
      <c r="O56" s="44">
        <f>IF(AND(J56&lt;&gt;"",K56=""),IF(ISNUMBER(J56),IF(TODAY()-(IF(ISNUMBER(J56),J56,IFERROR(DATE(2000+VALUE(RIGHT(J56,2)),VALUE(MID(J56,4,2)),VALUE(LEFT(J56,2))),"")))&gt;5,1,0),IFERROR(IF(TODAY()-DATE(2000+VALUE(RIGHT(J56,2)),VALUE(MID(J56,4,2)),VALUE(LEFT(J56,2)))&gt;5,1,0),0)),0)</f>
        <v/>
      </c>
      <c r="P56" s="44">
        <f>IF(O56=1,COUNTIF($O$2:O56,1),"")</f>
        <v/>
      </c>
      <c r="Q56" s="77">
        <f>IF(OR(B56="",G56="",H56&lt;&gt;"OCCUPIED"),"",IF(ISNUMBER(SEARCH("WHEAT",G56)),SUMPRODUCT(--ISNUMBER(SEARCH("WHEAT",$G$2:$G$100))*--($H$2:$H$100="OCCUPIED")*--($B$2:$B$100&lt;&gt;"")*--(IF(ISNUMBER($B$2:$B$100),$B$2:$B$100,IFERROR(DATE(2000+VALUE(RIGHT($B$2:$B$100,2)),VALUE(MID($B$2:$B$100,4,2)),VALUE(LEFT($B$2:$B$100,2))),0))&lt;IF(ISNUMBER(B56),B56,IFERROR(DATE(2000+VALUE(RIGHT(B56,2)),VALUE(MID(B56,4,2)),VALUE(LEFT(B56,2))),0))))+SUMPRODUCT(--ISNUMBER(SEARCH("WHEAT",$G$2:$G56))*--($H$2:$H56="OCCUPIED")*--($B$2:$B56&lt;&gt;"")*--(IF(ISNUMBER($B$2:$B56),$B$2:$B56,IFERROR(DATE(2000+VALUE(RIGHT($B$2:$B56,2)),VALUE(MID($B$2:$B56,4,2)),VALUE(LEFT($B$2:$B56,2))),0))=IF(ISNUMBER(B56),B56,IFERROR(DATE(2000+VALUE(RIGHT(B56,2)),VALUE(MID(B56,4,2)),VALUE(LEFT(B56,2))),0)))),""))</f>
        <v/>
      </c>
      <c r="R56" s="77">
        <f>IF(OR(B56="",G56="",H56&lt;&gt;"OCCUPIED"),"",IF(NOT(ISNUMBER(SEARCH("WHEAT",G56))),SUMPRODUCT(--($G$2:$G$100&lt;&gt;"")*--ISERROR(SEARCH("WHEAT",$G$2:$G$100))*--($H$2:$H$100="OCCUPIED")*--($B$2:$B$100&lt;&gt;"")*--(IF(ISNUMBER($B$2:$B$100),$B$2:$B$100,IFERROR(DATE(2000+VALUE(RIGHT($B$2:$B$100,2)),VALUE(MID($B$2:$B$100,4,2)),VALUE(LEFT($B$2:$B$100,2))),0))&lt;IF(ISNUMBER(B56),B56,IFERROR(DATE(2000+VALUE(RIGHT(B56,2)),VALUE(MID(B56,4,2)),VALUE(LEFT(B56,2))),0))))+SUMPRODUCT(--($G$2:$G56&lt;&gt;"")*--ISERROR(SEARCH("WHEAT",$G$2:$G56))*--($H$2:$H56="OCCUPIED")*--($B$2:$B56&lt;&gt;"")*--(IF(ISNUMBER($B$2:$B56),$B$2:$B56,IFERROR(DATE(2000+VALUE(RIGHT($B$2:$B56,2)),VALUE(MID($B$2:$B56,4,2)),VALUE(LEFT($B$2:$B56,2))),0))=IF(ISNUMBER(B56),B56,IFERROR(DATE(2000+VALUE(RIGHT(B56,2)),VALUE(MID(B56,4,2)),VALUE(LEFT(B56,2))),0)))),""))</f>
        <v/>
      </c>
    </row>
    <row r="57" ht="15.75" customHeight="1" s="42">
      <c r="A57" s="44">
        <f>IF(D57="","",ROWS($D$2:D57))</f>
        <v/>
      </c>
      <c r="B57" s="82" t="n"/>
      <c r="C57" s="83" t="n"/>
      <c r="D57" s="83" t="n"/>
      <c r="E57" s="83" t="n"/>
      <c r="F57" s="83" t="n"/>
      <c r="G57" s="83" t="n"/>
      <c r="H57" s="44">
        <f>IF(AND(E57="",F57="",G57=""),"EMPTY","OCCUPIED")</f>
        <v/>
      </c>
      <c r="I57" s="44">
        <f>IF(B57="","",IF(ISNUMBER(B57),MAX(0,TODAY()-(IF(ISNUMBER(B57),B57,IFERROR(DATE(2000+VALUE(RIGHT(B57,2)),VALUE(MID(B57,4,2)),VALUE(LEFT(B57,2))),"")))),IFERROR(MAX(0,TODAY()-DATE(2000+VALUE(RIGHT(B57,2)),VALUE(MID(B57,4,2)),VALUE(LEFT(B57,2))),"")))</f>
        <v/>
      </c>
      <c r="J57" s="82" t="n"/>
      <c r="K57" s="82" t="n"/>
      <c r="L57" s="82" t="n"/>
      <c r="M57" s="44">
        <f>IF(AND(H57="OCCUPIED",J57&lt;&gt;"",K57=""),1,0)</f>
        <v/>
      </c>
      <c r="N57" s="44">
        <f>IF(M57=1,COUNTIF($M$2:M57,1),"")</f>
        <v/>
      </c>
      <c r="O57" s="44">
        <f>IF(AND(J57&lt;&gt;"",K57=""),IF(ISNUMBER(J57),IF(TODAY()-(IF(ISNUMBER(J57),J57,IFERROR(DATE(2000+VALUE(RIGHT(J57,2)),VALUE(MID(J57,4,2)),VALUE(LEFT(J57,2))),"")))&gt;5,1,0),IFERROR(IF(TODAY()-DATE(2000+VALUE(RIGHT(J57,2)),VALUE(MID(J57,4,2)),VALUE(LEFT(J57,2)))&gt;5,1,0),0)),0)</f>
        <v/>
      </c>
      <c r="P57" s="44">
        <f>IF(O57=1,COUNTIF($O$2:O57,1),"")</f>
        <v/>
      </c>
      <c r="Q57" s="77">
        <f>IF(OR(B57="",G57="",H57&lt;&gt;"OCCUPIED"),"",IF(ISNUMBER(SEARCH("WHEAT",G57)),SUMPRODUCT(--ISNUMBER(SEARCH("WHEAT",$G$2:$G$100))*--($H$2:$H$100="OCCUPIED")*--($B$2:$B$100&lt;&gt;"")*--(IF(ISNUMBER($B$2:$B$100),$B$2:$B$100,IFERROR(DATE(2000+VALUE(RIGHT($B$2:$B$100,2)),VALUE(MID($B$2:$B$100,4,2)),VALUE(LEFT($B$2:$B$100,2))),0))&lt;IF(ISNUMBER(B57),B57,IFERROR(DATE(2000+VALUE(RIGHT(B57,2)),VALUE(MID(B57,4,2)),VALUE(LEFT(B57,2))),0))))+SUMPRODUCT(--ISNUMBER(SEARCH("WHEAT",$G$2:$G57))*--($H$2:$H57="OCCUPIED")*--($B$2:$B57&lt;&gt;"")*--(IF(ISNUMBER($B$2:$B57),$B$2:$B57,IFERROR(DATE(2000+VALUE(RIGHT($B$2:$B57,2)),VALUE(MID($B$2:$B57,4,2)),VALUE(LEFT($B$2:$B57,2))),0))=IF(ISNUMBER(B57),B57,IFERROR(DATE(2000+VALUE(RIGHT(B57,2)),VALUE(MID(B57,4,2)),VALUE(LEFT(B57,2))),0)))),""))</f>
        <v/>
      </c>
      <c r="R57" s="77">
        <f>IF(OR(B57="",G57="",H57&lt;&gt;"OCCUPIED"),"",IF(NOT(ISNUMBER(SEARCH("WHEAT",G57))),SUMPRODUCT(--($G$2:$G$100&lt;&gt;"")*--ISERROR(SEARCH("WHEAT",$G$2:$G$100))*--($H$2:$H$100="OCCUPIED")*--($B$2:$B$100&lt;&gt;"")*--(IF(ISNUMBER($B$2:$B$100),$B$2:$B$100,IFERROR(DATE(2000+VALUE(RIGHT($B$2:$B$100,2)),VALUE(MID($B$2:$B$100,4,2)),VALUE(LEFT($B$2:$B$100,2))),0))&lt;IF(ISNUMBER(B57),B57,IFERROR(DATE(2000+VALUE(RIGHT(B57,2)),VALUE(MID(B57,4,2)),VALUE(LEFT(B57,2))),0))))+SUMPRODUCT(--($G$2:$G57&lt;&gt;"")*--ISERROR(SEARCH("WHEAT",$G$2:$G57))*--($H$2:$H57="OCCUPIED")*--($B$2:$B57&lt;&gt;"")*--(IF(ISNUMBER($B$2:$B57),$B$2:$B57,IFERROR(DATE(2000+VALUE(RIGHT($B$2:$B57,2)),VALUE(MID($B$2:$B57,4,2)),VALUE(LEFT($B$2:$B57,2))),0))=IF(ISNUMBER(B57),B57,IFERROR(DATE(2000+VALUE(RIGHT(B57,2)),VALUE(MID(B57,4,2)),VALUE(LEFT(B57,2))),0)))),""))</f>
        <v/>
      </c>
    </row>
    <row r="58" ht="15.75" customHeight="1" s="42">
      <c r="A58" s="44">
        <f>IF(D58="","",ROWS($D$2:D58))</f>
        <v/>
      </c>
      <c r="B58" s="82" t="n"/>
      <c r="C58" s="83" t="n"/>
      <c r="D58" s="83" t="n"/>
      <c r="E58" s="83" t="n"/>
      <c r="F58" s="83" t="n"/>
      <c r="G58" s="83" t="n"/>
      <c r="H58" s="44">
        <f>IF(AND(E58="",F58="",G58=""),"EMPTY","OCCUPIED")</f>
        <v/>
      </c>
      <c r="I58" s="44">
        <f>IF(B58="","",IF(ISNUMBER(B58),MAX(0,TODAY()-(IF(ISNUMBER(B58),B58,IFERROR(DATE(2000+VALUE(RIGHT(B58,2)),VALUE(MID(B58,4,2)),VALUE(LEFT(B58,2))),"")))),IFERROR(MAX(0,TODAY()-DATE(2000+VALUE(RIGHT(B58,2)),VALUE(MID(B58,4,2)),VALUE(LEFT(B58,2))),"")))</f>
        <v/>
      </c>
      <c r="J58" s="82" t="n"/>
      <c r="K58" s="82" t="n"/>
      <c r="L58" s="82" t="n"/>
      <c r="M58" s="44">
        <f>IF(AND(H58="OCCUPIED",J58&lt;&gt;"",K58=""),1,0)</f>
        <v/>
      </c>
      <c r="N58" s="44">
        <f>IF(M58=1,COUNTIF($M$2:M58,1),"")</f>
        <v/>
      </c>
      <c r="O58" s="44">
        <f>IF(AND(J58&lt;&gt;"",K58=""),IF(ISNUMBER(J58),IF(TODAY()-(IF(ISNUMBER(J58),J58,IFERROR(DATE(2000+VALUE(RIGHT(J58,2)),VALUE(MID(J58,4,2)),VALUE(LEFT(J58,2))),"")))&gt;5,1,0),IFERROR(IF(TODAY()-DATE(2000+VALUE(RIGHT(J58,2)),VALUE(MID(J58,4,2)),VALUE(LEFT(J58,2)))&gt;5,1,0),0)),0)</f>
        <v/>
      </c>
      <c r="P58" s="44">
        <f>IF(O58=1,COUNTIF($O$2:O58,1),"")</f>
        <v/>
      </c>
      <c r="Q58" s="77">
        <f>IF(OR(B58="",G58="",H58&lt;&gt;"OCCUPIED"),"",IF(ISNUMBER(SEARCH("WHEAT",G58)),SUMPRODUCT(--ISNUMBER(SEARCH("WHEAT",$G$2:$G$100))*--($H$2:$H$100="OCCUPIED")*--($B$2:$B$100&lt;&gt;"")*--(IF(ISNUMBER($B$2:$B$100),$B$2:$B$100,IFERROR(DATE(2000+VALUE(RIGHT($B$2:$B$100,2)),VALUE(MID($B$2:$B$100,4,2)),VALUE(LEFT($B$2:$B$100,2))),0))&lt;IF(ISNUMBER(B58),B58,IFERROR(DATE(2000+VALUE(RIGHT(B58,2)),VALUE(MID(B58,4,2)),VALUE(LEFT(B58,2))),0))))+SUMPRODUCT(--ISNUMBER(SEARCH("WHEAT",$G$2:$G58))*--($H$2:$H58="OCCUPIED")*--($B$2:$B58&lt;&gt;"")*--(IF(ISNUMBER($B$2:$B58),$B$2:$B58,IFERROR(DATE(2000+VALUE(RIGHT($B$2:$B58,2)),VALUE(MID($B$2:$B58,4,2)),VALUE(LEFT($B$2:$B58,2))),0))=IF(ISNUMBER(B58),B58,IFERROR(DATE(2000+VALUE(RIGHT(B58,2)),VALUE(MID(B58,4,2)),VALUE(LEFT(B58,2))),0)))),""))</f>
        <v/>
      </c>
      <c r="R58" s="77">
        <f>IF(OR(B58="",G58="",H58&lt;&gt;"OCCUPIED"),"",IF(NOT(ISNUMBER(SEARCH("WHEAT",G58))),SUMPRODUCT(--($G$2:$G$100&lt;&gt;"")*--ISERROR(SEARCH("WHEAT",$G$2:$G$100))*--($H$2:$H$100="OCCUPIED")*--($B$2:$B$100&lt;&gt;"")*--(IF(ISNUMBER($B$2:$B$100),$B$2:$B$100,IFERROR(DATE(2000+VALUE(RIGHT($B$2:$B$100,2)),VALUE(MID($B$2:$B$100,4,2)),VALUE(LEFT($B$2:$B$100,2))),0))&lt;IF(ISNUMBER(B58),B58,IFERROR(DATE(2000+VALUE(RIGHT(B58,2)),VALUE(MID(B58,4,2)),VALUE(LEFT(B58,2))),0))))+SUMPRODUCT(--($G$2:$G58&lt;&gt;"")*--ISERROR(SEARCH("WHEAT",$G$2:$G58))*--($H$2:$H58="OCCUPIED")*--($B$2:$B58&lt;&gt;"")*--(IF(ISNUMBER($B$2:$B58),$B$2:$B58,IFERROR(DATE(2000+VALUE(RIGHT($B$2:$B58,2)),VALUE(MID($B$2:$B58,4,2)),VALUE(LEFT($B$2:$B58,2))),0))=IF(ISNUMBER(B58),B58,IFERROR(DATE(2000+VALUE(RIGHT(B58,2)),VALUE(MID(B58,4,2)),VALUE(LEFT(B58,2))),0)))),""))</f>
        <v/>
      </c>
    </row>
    <row r="59" ht="15.75" customHeight="1" s="42">
      <c r="A59" s="44">
        <f>IF(D59="","",ROWS($D$2:D59))</f>
        <v/>
      </c>
      <c r="B59" s="82" t="n"/>
      <c r="C59" s="83" t="n"/>
      <c r="D59" s="83" t="n"/>
      <c r="E59" s="83" t="n"/>
      <c r="F59" s="83" t="n"/>
      <c r="G59" s="83" t="n"/>
      <c r="H59" s="44">
        <f>IF(AND(E59="",F59="",G59=""),"EMPTY","OCCUPIED")</f>
        <v/>
      </c>
      <c r="I59" s="44">
        <f>IF(B59="","",IF(ISNUMBER(B59),MAX(0,TODAY()-(IF(ISNUMBER(B59),B59,IFERROR(DATE(2000+VALUE(RIGHT(B59,2)),VALUE(MID(B59,4,2)),VALUE(LEFT(B59,2))),"")))),IFERROR(MAX(0,TODAY()-DATE(2000+VALUE(RIGHT(B59,2)),VALUE(MID(B59,4,2)),VALUE(LEFT(B59,2))),"")))</f>
        <v/>
      </c>
      <c r="J59" s="82" t="n"/>
      <c r="K59" s="82" t="n"/>
      <c r="L59" s="82" t="n"/>
      <c r="M59" s="44">
        <f>IF(AND(H59="OCCUPIED",J59&lt;&gt;"",K59=""),1,0)</f>
        <v/>
      </c>
      <c r="N59" s="44">
        <f>IF(M59=1,COUNTIF($M$2:M59,1),"")</f>
        <v/>
      </c>
      <c r="O59" s="44">
        <f>IF(AND(J59&lt;&gt;"",K59=""),IF(ISNUMBER(J59),IF(TODAY()-(IF(ISNUMBER(J59),J59,IFERROR(DATE(2000+VALUE(RIGHT(J59,2)),VALUE(MID(J59,4,2)),VALUE(LEFT(J59,2))),"")))&gt;5,1,0),IFERROR(IF(TODAY()-DATE(2000+VALUE(RIGHT(J59,2)),VALUE(MID(J59,4,2)),VALUE(LEFT(J59,2)))&gt;5,1,0),0)),0)</f>
        <v/>
      </c>
      <c r="P59" s="44">
        <f>IF(O59=1,COUNTIF($O$2:O59,1),"")</f>
        <v/>
      </c>
      <c r="Q59" s="77">
        <f>IF(OR(B59="",G59="",H59&lt;&gt;"OCCUPIED"),"",IF(ISNUMBER(SEARCH("WHEAT",G59)),SUMPRODUCT(--ISNUMBER(SEARCH("WHEAT",$G$2:$G$100))*--($H$2:$H$100="OCCUPIED")*--($B$2:$B$100&lt;&gt;"")*--(IF(ISNUMBER($B$2:$B$100),$B$2:$B$100,IFERROR(DATE(2000+VALUE(RIGHT($B$2:$B$100,2)),VALUE(MID($B$2:$B$100,4,2)),VALUE(LEFT($B$2:$B$100,2))),0))&lt;IF(ISNUMBER(B59),B59,IFERROR(DATE(2000+VALUE(RIGHT(B59,2)),VALUE(MID(B59,4,2)),VALUE(LEFT(B59,2))),0))))+SUMPRODUCT(--ISNUMBER(SEARCH("WHEAT",$G$2:$G59))*--($H$2:$H59="OCCUPIED")*--($B$2:$B59&lt;&gt;"")*--(IF(ISNUMBER($B$2:$B59),$B$2:$B59,IFERROR(DATE(2000+VALUE(RIGHT($B$2:$B59,2)),VALUE(MID($B$2:$B59,4,2)),VALUE(LEFT($B$2:$B59,2))),0))=IF(ISNUMBER(B59),B59,IFERROR(DATE(2000+VALUE(RIGHT(B59,2)),VALUE(MID(B59,4,2)),VALUE(LEFT(B59,2))),0)))),""))</f>
        <v/>
      </c>
      <c r="R59" s="77">
        <f>IF(OR(B59="",G59="",H59&lt;&gt;"OCCUPIED"),"",IF(NOT(ISNUMBER(SEARCH("WHEAT",G59))),SUMPRODUCT(--($G$2:$G$100&lt;&gt;"")*--ISERROR(SEARCH("WHEAT",$G$2:$G$100))*--($H$2:$H$100="OCCUPIED")*--($B$2:$B$100&lt;&gt;"")*--(IF(ISNUMBER($B$2:$B$100),$B$2:$B$100,IFERROR(DATE(2000+VALUE(RIGHT($B$2:$B$100,2)),VALUE(MID($B$2:$B$100,4,2)),VALUE(LEFT($B$2:$B$100,2))),0))&lt;IF(ISNUMBER(B59),B59,IFERROR(DATE(2000+VALUE(RIGHT(B59,2)),VALUE(MID(B59,4,2)),VALUE(LEFT(B59,2))),0))))+SUMPRODUCT(--($G$2:$G59&lt;&gt;"")*--ISERROR(SEARCH("WHEAT",$G$2:$G59))*--($H$2:$H59="OCCUPIED")*--($B$2:$B59&lt;&gt;"")*--(IF(ISNUMBER($B$2:$B59),$B$2:$B59,IFERROR(DATE(2000+VALUE(RIGHT($B$2:$B59,2)),VALUE(MID($B$2:$B59,4,2)),VALUE(LEFT($B$2:$B59,2))),0))=IF(ISNUMBER(B59),B59,IFERROR(DATE(2000+VALUE(RIGHT(B59,2)),VALUE(MID(B59,4,2)),VALUE(LEFT(B59,2))),0)))),""))</f>
        <v/>
      </c>
    </row>
    <row r="60" ht="15.75" customHeight="1" s="42">
      <c r="A60" s="44">
        <f>IF(D60="","",ROWS($D$2:D60))</f>
        <v/>
      </c>
      <c r="B60" s="82" t="n"/>
      <c r="C60" s="83" t="n"/>
      <c r="D60" s="83" t="n"/>
      <c r="E60" s="83" t="n"/>
      <c r="F60" s="83" t="n"/>
      <c r="G60" s="83" t="n"/>
      <c r="H60" s="44">
        <f>IF(AND(E60="",F60="",G60=""),"EMPTY","OCCUPIED")</f>
        <v/>
      </c>
      <c r="I60" s="44">
        <f>IF(B60="","",IF(ISNUMBER(B60),MAX(0,TODAY()-(IF(ISNUMBER(B60),B60,IFERROR(DATE(2000+VALUE(RIGHT(B60,2)),VALUE(MID(B60,4,2)),VALUE(LEFT(B60,2))),"")))),IFERROR(MAX(0,TODAY()-DATE(2000+VALUE(RIGHT(B60,2)),VALUE(MID(B60,4,2)),VALUE(LEFT(B60,2))),"")))</f>
        <v/>
      </c>
      <c r="J60" s="82" t="n"/>
      <c r="K60" s="82" t="n"/>
      <c r="L60" s="82" t="n"/>
      <c r="M60" s="44">
        <f>IF(AND(H60="OCCUPIED",J60&lt;&gt;"",K60=""),1,0)</f>
        <v/>
      </c>
      <c r="N60" s="44">
        <f>IF(M60=1,COUNTIF($M$2:M60,1),"")</f>
        <v/>
      </c>
      <c r="O60" s="44">
        <f>IF(AND(J60&lt;&gt;"",K60=""),IF(ISNUMBER(J60),IF(TODAY()-(IF(ISNUMBER(J60),J60,IFERROR(DATE(2000+VALUE(RIGHT(J60,2)),VALUE(MID(J60,4,2)),VALUE(LEFT(J60,2))),"")))&gt;5,1,0),IFERROR(IF(TODAY()-DATE(2000+VALUE(RIGHT(J60,2)),VALUE(MID(J60,4,2)),VALUE(LEFT(J60,2)))&gt;5,1,0),0)),0)</f>
        <v/>
      </c>
      <c r="P60" s="44">
        <f>IF(O60=1,COUNTIF($O$2:O60,1),"")</f>
        <v/>
      </c>
      <c r="Q60" s="77">
        <f>IF(OR(B60="",G60="",H60&lt;&gt;"OCCUPIED"),"",IF(ISNUMBER(SEARCH("WHEAT",G60)),SUMPRODUCT(--ISNUMBER(SEARCH("WHEAT",$G$2:$G$100))*--($H$2:$H$100="OCCUPIED")*--($B$2:$B$100&lt;&gt;"")*--(IF(ISNUMBER($B$2:$B$100),$B$2:$B$100,IFERROR(DATE(2000+VALUE(RIGHT($B$2:$B$100,2)),VALUE(MID($B$2:$B$100,4,2)),VALUE(LEFT($B$2:$B$100,2))),0))&lt;IF(ISNUMBER(B60),B60,IFERROR(DATE(2000+VALUE(RIGHT(B60,2)),VALUE(MID(B60,4,2)),VALUE(LEFT(B60,2))),0))))+SUMPRODUCT(--ISNUMBER(SEARCH("WHEAT",$G$2:$G60))*--($H$2:$H60="OCCUPIED")*--($B$2:$B60&lt;&gt;"")*--(IF(ISNUMBER($B$2:$B60),$B$2:$B60,IFERROR(DATE(2000+VALUE(RIGHT($B$2:$B60,2)),VALUE(MID($B$2:$B60,4,2)),VALUE(LEFT($B$2:$B60,2))),0))=IF(ISNUMBER(B60),B60,IFERROR(DATE(2000+VALUE(RIGHT(B60,2)),VALUE(MID(B60,4,2)),VALUE(LEFT(B60,2))),0)))),""))</f>
        <v/>
      </c>
      <c r="R60" s="77">
        <f>IF(OR(B60="",G60="",H60&lt;&gt;"OCCUPIED"),"",IF(NOT(ISNUMBER(SEARCH("WHEAT",G60))),SUMPRODUCT(--($G$2:$G$100&lt;&gt;"")*--ISERROR(SEARCH("WHEAT",$G$2:$G$100))*--($H$2:$H$100="OCCUPIED")*--($B$2:$B$100&lt;&gt;"")*--(IF(ISNUMBER($B$2:$B$100),$B$2:$B$100,IFERROR(DATE(2000+VALUE(RIGHT($B$2:$B$100,2)),VALUE(MID($B$2:$B$100,4,2)),VALUE(LEFT($B$2:$B$100,2))),0))&lt;IF(ISNUMBER(B60),B60,IFERROR(DATE(2000+VALUE(RIGHT(B60,2)),VALUE(MID(B60,4,2)),VALUE(LEFT(B60,2))),0))))+SUMPRODUCT(--($G$2:$G60&lt;&gt;"")*--ISERROR(SEARCH("WHEAT",$G$2:$G60))*--($H$2:$H60="OCCUPIED")*--($B$2:$B60&lt;&gt;"")*--(IF(ISNUMBER($B$2:$B60),$B$2:$B60,IFERROR(DATE(2000+VALUE(RIGHT($B$2:$B60,2)),VALUE(MID($B$2:$B60,4,2)),VALUE(LEFT($B$2:$B60,2))),0))=IF(ISNUMBER(B60),B60,IFERROR(DATE(2000+VALUE(RIGHT(B60,2)),VALUE(MID(B60,4,2)),VALUE(LEFT(B60,2))),0)))),""))</f>
        <v/>
      </c>
    </row>
    <row r="61" ht="15.75" customHeight="1" s="42">
      <c r="A61" s="44">
        <f>IF(D61="","",ROWS($D$2:D61))</f>
        <v/>
      </c>
      <c r="B61" s="82" t="n"/>
      <c r="C61" s="83" t="n"/>
      <c r="D61" s="83" t="n"/>
      <c r="E61" s="83" t="n"/>
      <c r="F61" s="83" t="n"/>
      <c r="G61" s="83" t="n"/>
      <c r="H61" s="44">
        <f>IF(AND(E61="",F61="",G61=""),"EMPTY","OCCUPIED")</f>
        <v/>
      </c>
      <c r="I61" s="44">
        <f>IF(B61="","",IF(ISNUMBER(B61),MAX(0,TODAY()-(IF(ISNUMBER(B61),B61,IFERROR(DATE(2000+VALUE(RIGHT(B61,2)),VALUE(MID(B61,4,2)),VALUE(LEFT(B61,2))),"")))),IFERROR(MAX(0,TODAY()-DATE(2000+VALUE(RIGHT(B61,2)),VALUE(MID(B61,4,2)),VALUE(LEFT(B61,2))),"")))</f>
        <v/>
      </c>
      <c r="J61" s="82" t="n"/>
      <c r="K61" s="82" t="n"/>
      <c r="L61" s="82" t="n"/>
      <c r="M61" s="44">
        <f>IF(AND(H61="OCCUPIED",J61&lt;&gt;"",K61=""),1,0)</f>
        <v/>
      </c>
      <c r="N61" s="44">
        <f>IF(M61=1,COUNTIF($M$2:M61,1),"")</f>
        <v/>
      </c>
      <c r="O61" s="44">
        <f>IF(AND(J61&lt;&gt;"",K61=""),IF(ISNUMBER(J61),IF(TODAY()-(IF(ISNUMBER(J61),J61,IFERROR(DATE(2000+VALUE(RIGHT(J61,2)),VALUE(MID(J61,4,2)),VALUE(LEFT(J61,2))),"")))&gt;5,1,0),IFERROR(IF(TODAY()-DATE(2000+VALUE(RIGHT(J61,2)),VALUE(MID(J61,4,2)),VALUE(LEFT(J61,2)))&gt;5,1,0),0)),0)</f>
        <v/>
      </c>
      <c r="P61" s="44">
        <f>IF(O61=1,COUNTIF($O$2:O61,1),"")</f>
        <v/>
      </c>
      <c r="Q61" s="77">
        <f>IF(OR(B61="",G61="",H61&lt;&gt;"OCCUPIED"),"",IF(ISNUMBER(SEARCH("WHEAT",G61)),SUMPRODUCT(--ISNUMBER(SEARCH("WHEAT",$G$2:$G$100))*--($H$2:$H$100="OCCUPIED")*--($B$2:$B$100&lt;&gt;"")*--(IF(ISNUMBER($B$2:$B$100),$B$2:$B$100,IFERROR(DATE(2000+VALUE(RIGHT($B$2:$B$100,2)),VALUE(MID($B$2:$B$100,4,2)),VALUE(LEFT($B$2:$B$100,2))),0))&lt;IF(ISNUMBER(B61),B61,IFERROR(DATE(2000+VALUE(RIGHT(B61,2)),VALUE(MID(B61,4,2)),VALUE(LEFT(B61,2))),0))))+SUMPRODUCT(--ISNUMBER(SEARCH("WHEAT",$G$2:$G61))*--($H$2:$H61="OCCUPIED")*--($B$2:$B61&lt;&gt;"")*--(IF(ISNUMBER($B$2:$B61),$B$2:$B61,IFERROR(DATE(2000+VALUE(RIGHT($B$2:$B61,2)),VALUE(MID($B$2:$B61,4,2)),VALUE(LEFT($B$2:$B61,2))),0))=IF(ISNUMBER(B61),B61,IFERROR(DATE(2000+VALUE(RIGHT(B61,2)),VALUE(MID(B61,4,2)),VALUE(LEFT(B61,2))),0)))),""))</f>
        <v/>
      </c>
      <c r="R61" s="77">
        <f>IF(OR(B61="",G61="",H61&lt;&gt;"OCCUPIED"),"",IF(NOT(ISNUMBER(SEARCH("WHEAT",G61))),SUMPRODUCT(--($G$2:$G$100&lt;&gt;"")*--ISERROR(SEARCH("WHEAT",$G$2:$G$100))*--($H$2:$H$100="OCCUPIED")*--($B$2:$B$100&lt;&gt;"")*--(IF(ISNUMBER($B$2:$B$100),$B$2:$B$100,IFERROR(DATE(2000+VALUE(RIGHT($B$2:$B$100,2)),VALUE(MID($B$2:$B$100,4,2)),VALUE(LEFT($B$2:$B$100,2))),0))&lt;IF(ISNUMBER(B61),B61,IFERROR(DATE(2000+VALUE(RIGHT(B61,2)),VALUE(MID(B61,4,2)),VALUE(LEFT(B61,2))),0))))+SUMPRODUCT(--($G$2:$G61&lt;&gt;"")*--ISERROR(SEARCH("WHEAT",$G$2:$G61))*--($H$2:$H61="OCCUPIED")*--($B$2:$B61&lt;&gt;"")*--(IF(ISNUMBER($B$2:$B61),$B$2:$B61,IFERROR(DATE(2000+VALUE(RIGHT($B$2:$B61,2)),VALUE(MID($B$2:$B61,4,2)),VALUE(LEFT($B$2:$B61,2))),0))=IF(ISNUMBER(B61),B61,IFERROR(DATE(2000+VALUE(RIGHT(B61,2)),VALUE(MID(B61,4,2)),VALUE(LEFT(B61,2))),0)))),""))</f>
        <v/>
      </c>
    </row>
    <row r="62" ht="15.75" customHeight="1" s="42">
      <c r="A62" s="44">
        <f>IF(D62="","",ROWS($D$2:D62))</f>
        <v/>
      </c>
      <c r="B62" s="82" t="n"/>
      <c r="C62" s="83" t="n"/>
      <c r="D62" s="83" t="n"/>
      <c r="E62" s="83" t="n"/>
      <c r="F62" s="83" t="n"/>
      <c r="G62" s="83" t="n"/>
      <c r="H62" s="44">
        <f>IF(AND(E62="",F62="",G62=""),"EMPTY","OCCUPIED")</f>
        <v/>
      </c>
      <c r="I62" s="44">
        <f>IF(B62="","",IF(ISNUMBER(B62),MAX(0,TODAY()-(IF(ISNUMBER(B62),B62,IFERROR(DATE(2000+VALUE(RIGHT(B62,2)),VALUE(MID(B62,4,2)),VALUE(LEFT(B62,2))),"")))),IFERROR(MAX(0,TODAY()-DATE(2000+VALUE(RIGHT(B62,2)),VALUE(MID(B62,4,2)),VALUE(LEFT(B62,2))),"")))</f>
        <v/>
      </c>
      <c r="J62" s="82" t="n"/>
      <c r="K62" s="82" t="n"/>
      <c r="L62" s="82" t="n"/>
      <c r="M62" s="44">
        <f>IF(AND(H62="OCCUPIED",J62&lt;&gt;"",K62=""),1,0)</f>
        <v/>
      </c>
      <c r="N62" s="44">
        <f>IF(M62=1,COUNTIF($M$2:M62,1),"")</f>
        <v/>
      </c>
      <c r="O62" s="44">
        <f>IF(AND(J62&lt;&gt;"",K62=""),IF(ISNUMBER(J62),IF(TODAY()-(IF(ISNUMBER(J62),J62,IFERROR(DATE(2000+VALUE(RIGHT(J62,2)),VALUE(MID(J62,4,2)),VALUE(LEFT(J62,2))),"")))&gt;5,1,0),IFERROR(IF(TODAY()-DATE(2000+VALUE(RIGHT(J62,2)),VALUE(MID(J62,4,2)),VALUE(LEFT(J62,2)))&gt;5,1,0),0)),0)</f>
        <v/>
      </c>
      <c r="P62" s="44">
        <f>IF(O62=1,COUNTIF($O$2:O62,1),"")</f>
        <v/>
      </c>
      <c r="Q62" s="77">
        <f>IF(OR(B62="",G62="",H62&lt;&gt;"OCCUPIED"),"",IF(ISNUMBER(SEARCH("WHEAT",G62)),SUMPRODUCT(--ISNUMBER(SEARCH("WHEAT",$G$2:$G$100))*--($H$2:$H$100="OCCUPIED")*--($B$2:$B$100&lt;&gt;"")*--(IF(ISNUMBER($B$2:$B$100),$B$2:$B$100,IFERROR(DATE(2000+VALUE(RIGHT($B$2:$B$100,2)),VALUE(MID($B$2:$B$100,4,2)),VALUE(LEFT($B$2:$B$100,2))),0))&lt;IF(ISNUMBER(B62),B62,IFERROR(DATE(2000+VALUE(RIGHT(B62,2)),VALUE(MID(B62,4,2)),VALUE(LEFT(B62,2))),0))))+SUMPRODUCT(--ISNUMBER(SEARCH("WHEAT",$G$2:$G62))*--($H$2:$H62="OCCUPIED")*--($B$2:$B62&lt;&gt;"")*--(IF(ISNUMBER($B$2:$B62),$B$2:$B62,IFERROR(DATE(2000+VALUE(RIGHT($B$2:$B62,2)),VALUE(MID($B$2:$B62,4,2)),VALUE(LEFT($B$2:$B62,2))),0))=IF(ISNUMBER(B62),B62,IFERROR(DATE(2000+VALUE(RIGHT(B62,2)),VALUE(MID(B62,4,2)),VALUE(LEFT(B62,2))),0)))),""))</f>
        <v/>
      </c>
      <c r="R62" s="77">
        <f>IF(OR(B62="",G62="",H62&lt;&gt;"OCCUPIED"),"",IF(NOT(ISNUMBER(SEARCH("WHEAT",G62))),SUMPRODUCT(--($G$2:$G$100&lt;&gt;"")*--ISERROR(SEARCH("WHEAT",$G$2:$G$100))*--($H$2:$H$100="OCCUPIED")*--($B$2:$B$100&lt;&gt;"")*--(IF(ISNUMBER($B$2:$B$100),$B$2:$B$100,IFERROR(DATE(2000+VALUE(RIGHT($B$2:$B$100,2)),VALUE(MID($B$2:$B$100,4,2)),VALUE(LEFT($B$2:$B$100,2))),0))&lt;IF(ISNUMBER(B62),B62,IFERROR(DATE(2000+VALUE(RIGHT(B62,2)),VALUE(MID(B62,4,2)),VALUE(LEFT(B62,2))),0))))+SUMPRODUCT(--($G$2:$G62&lt;&gt;"")*--ISERROR(SEARCH("WHEAT",$G$2:$G62))*--($H$2:$H62="OCCUPIED")*--($B$2:$B62&lt;&gt;"")*--(IF(ISNUMBER($B$2:$B62),$B$2:$B62,IFERROR(DATE(2000+VALUE(RIGHT($B$2:$B62,2)),VALUE(MID($B$2:$B62,4,2)),VALUE(LEFT($B$2:$B62,2))),0))=IF(ISNUMBER(B62),B62,IFERROR(DATE(2000+VALUE(RIGHT(B62,2)),VALUE(MID(B62,4,2)),VALUE(LEFT(B62,2))),0)))),""))</f>
        <v/>
      </c>
    </row>
    <row r="63" ht="15.75" customHeight="1" s="42">
      <c r="A63" s="44">
        <f>IF(D63="","",ROWS($D$2:D63))</f>
        <v/>
      </c>
      <c r="B63" s="82" t="n"/>
      <c r="C63" s="83" t="n"/>
      <c r="D63" s="83" t="n"/>
      <c r="E63" s="83" t="n"/>
      <c r="F63" s="83" t="n"/>
      <c r="G63" s="83" t="n"/>
      <c r="H63" s="44">
        <f>IF(AND(E63="",F63="",G63=""),"EMPTY","OCCUPIED")</f>
        <v/>
      </c>
      <c r="I63" s="44">
        <f>IF(B63="","",IF(ISNUMBER(B63),MAX(0,TODAY()-(IF(ISNUMBER(B63),B63,IFERROR(DATE(2000+VALUE(RIGHT(B63,2)),VALUE(MID(B63,4,2)),VALUE(LEFT(B63,2))),"")))),IFERROR(MAX(0,TODAY()-DATE(2000+VALUE(RIGHT(B63,2)),VALUE(MID(B63,4,2)),VALUE(LEFT(B63,2))),"")))</f>
        <v/>
      </c>
      <c r="J63" s="82" t="n"/>
      <c r="K63" s="82" t="n"/>
      <c r="L63" s="82" t="n"/>
      <c r="M63" s="44">
        <f>IF(AND(H63="OCCUPIED",J63&lt;&gt;"",K63=""),1,0)</f>
        <v/>
      </c>
      <c r="N63" s="44">
        <f>IF(M63=1,COUNTIF($M$2:M63,1),"")</f>
        <v/>
      </c>
      <c r="O63" s="44">
        <f>IF(AND(J63&lt;&gt;"",K63=""),IF(ISNUMBER(J63),IF(TODAY()-(IF(ISNUMBER(J63),J63,IFERROR(DATE(2000+VALUE(RIGHT(J63,2)),VALUE(MID(J63,4,2)),VALUE(LEFT(J63,2))),"")))&gt;5,1,0),IFERROR(IF(TODAY()-DATE(2000+VALUE(RIGHT(J63,2)),VALUE(MID(J63,4,2)),VALUE(LEFT(J63,2)))&gt;5,1,0),0)),0)</f>
        <v/>
      </c>
      <c r="P63" s="44">
        <f>IF(O63=1,COUNTIF($O$2:O63,1),"")</f>
        <v/>
      </c>
      <c r="Q63" s="77">
        <f>IF(OR(B63="",G63="",H63&lt;&gt;"OCCUPIED"),"",IF(ISNUMBER(SEARCH("WHEAT",G63)),SUMPRODUCT(--ISNUMBER(SEARCH("WHEAT",$G$2:$G$100))*--($H$2:$H$100="OCCUPIED")*--($B$2:$B$100&lt;&gt;"")*--(IF(ISNUMBER($B$2:$B$100),$B$2:$B$100,IFERROR(DATE(2000+VALUE(RIGHT($B$2:$B$100,2)),VALUE(MID($B$2:$B$100,4,2)),VALUE(LEFT($B$2:$B$100,2))),0))&lt;IF(ISNUMBER(B63),B63,IFERROR(DATE(2000+VALUE(RIGHT(B63,2)),VALUE(MID(B63,4,2)),VALUE(LEFT(B63,2))),0))))+SUMPRODUCT(--ISNUMBER(SEARCH("WHEAT",$G$2:$G63))*--($H$2:$H63="OCCUPIED")*--($B$2:$B63&lt;&gt;"")*--(IF(ISNUMBER($B$2:$B63),$B$2:$B63,IFERROR(DATE(2000+VALUE(RIGHT($B$2:$B63,2)),VALUE(MID($B$2:$B63,4,2)),VALUE(LEFT($B$2:$B63,2))),0))=IF(ISNUMBER(B63),B63,IFERROR(DATE(2000+VALUE(RIGHT(B63,2)),VALUE(MID(B63,4,2)),VALUE(LEFT(B63,2))),0)))),""))</f>
        <v/>
      </c>
      <c r="R63" s="77">
        <f>IF(OR(B63="",G63="",H63&lt;&gt;"OCCUPIED"),"",IF(NOT(ISNUMBER(SEARCH("WHEAT",G63))),SUMPRODUCT(--($G$2:$G$100&lt;&gt;"")*--ISERROR(SEARCH("WHEAT",$G$2:$G$100))*--($H$2:$H$100="OCCUPIED")*--($B$2:$B$100&lt;&gt;"")*--(IF(ISNUMBER($B$2:$B$100),$B$2:$B$100,IFERROR(DATE(2000+VALUE(RIGHT($B$2:$B$100,2)),VALUE(MID($B$2:$B$100,4,2)),VALUE(LEFT($B$2:$B$100,2))),0))&lt;IF(ISNUMBER(B63),B63,IFERROR(DATE(2000+VALUE(RIGHT(B63,2)),VALUE(MID(B63,4,2)),VALUE(LEFT(B63,2))),0))))+SUMPRODUCT(--($G$2:$G63&lt;&gt;"")*--ISERROR(SEARCH("WHEAT",$G$2:$G63))*--($H$2:$H63="OCCUPIED")*--($B$2:$B63&lt;&gt;"")*--(IF(ISNUMBER($B$2:$B63),$B$2:$B63,IFERROR(DATE(2000+VALUE(RIGHT($B$2:$B63,2)),VALUE(MID($B$2:$B63,4,2)),VALUE(LEFT($B$2:$B63,2))),0))=IF(ISNUMBER(B63),B63,IFERROR(DATE(2000+VALUE(RIGHT(B63,2)),VALUE(MID(B63,4,2)),VALUE(LEFT(B63,2))),0)))),""))</f>
        <v/>
      </c>
    </row>
    <row r="64" ht="15.75" customHeight="1" s="42">
      <c r="A64" s="44">
        <f>IF(D64="","",ROWS($D$2:D64))</f>
        <v/>
      </c>
      <c r="B64" s="82" t="n"/>
      <c r="C64" s="83" t="n"/>
      <c r="D64" s="83" t="n"/>
      <c r="E64" s="83" t="n"/>
      <c r="F64" s="83" t="n"/>
      <c r="G64" s="83" t="n"/>
      <c r="H64" s="44">
        <f>IF(AND(E64="",F64="",G64=""),"EMPTY","OCCUPIED")</f>
        <v/>
      </c>
      <c r="I64" s="44">
        <f>IF(B64="","",IF(ISNUMBER(B64),MAX(0,TODAY()-(IF(ISNUMBER(B64),B64,IFERROR(DATE(2000+VALUE(RIGHT(B64,2)),VALUE(MID(B64,4,2)),VALUE(LEFT(B64,2))),"")))),IFERROR(MAX(0,TODAY()-DATE(2000+VALUE(RIGHT(B64,2)),VALUE(MID(B64,4,2)),VALUE(LEFT(B64,2))),"")))</f>
        <v/>
      </c>
      <c r="J64" s="82" t="n"/>
      <c r="K64" s="82" t="n"/>
      <c r="L64" s="82" t="n"/>
      <c r="M64" s="44">
        <f>IF(AND(H64="OCCUPIED",J64&lt;&gt;"",K64=""),1,0)</f>
        <v/>
      </c>
      <c r="N64" s="44">
        <f>IF(M64=1,COUNTIF($M$2:M64,1),"")</f>
        <v/>
      </c>
      <c r="O64" s="44">
        <f>IF(AND(J64&lt;&gt;"",K64=""),IF(ISNUMBER(J64),IF(TODAY()-(IF(ISNUMBER(J64),J64,IFERROR(DATE(2000+VALUE(RIGHT(J64,2)),VALUE(MID(J64,4,2)),VALUE(LEFT(J64,2))),"")))&gt;5,1,0),IFERROR(IF(TODAY()-DATE(2000+VALUE(RIGHT(J64,2)),VALUE(MID(J64,4,2)),VALUE(LEFT(J64,2)))&gt;5,1,0),0)),0)</f>
        <v/>
      </c>
      <c r="P64" s="44">
        <f>IF(O64=1,COUNTIF($O$2:O64,1),"")</f>
        <v/>
      </c>
      <c r="Q64" s="77">
        <f>IF(OR(B64="",G64="",H64&lt;&gt;"OCCUPIED"),"",IF(ISNUMBER(SEARCH("WHEAT",G64)),SUMPRODUCT(--ISNUMBER(SEARCH("WHEAT",$G$2:$G$100))*--($H$2:$H$100="OCCUPIED")*--($B$2:$B$100&lt;&gt;"")*--(IF(ISNUMBER($B$2:$B$100),$B$2:$B$100,IFERROR(DATE(2000+VALUE(RIGHT($B$2:$B$100,2)),VALUE(MID($B$2:$B$100,4,2)),VALUE(LEFT($B$2:$B$100,2))),0))&lt;IF(ISNUMBER(B64),B64,IFERROR(DATE(2000+VALUE(RIGHT(B64,2)),VALUE(MID(B64,4,2)),VALUE(LEFT(B64,2))),0))))+SUMPRODUCT(--ISNUMBER(SEARCH("WHEAT",$G$2:$G64))*--($H$2:$H64="OCCUPIED")*--($B$2:$B64&lt;&gt;"")*--(IF(ISNUMBER($B$2:$B64),$B$2:$B64,IFERROR(DATE(2000+VALUE(RIGHT($B$2:$B64,2)),VALUE(MID($B$2:$B64,4,2)),VALUE(LEFT($B$2:$B64,2))),0))=IF(ISNUMBER(B64),B64,IFERROR(DATE(2000+VALUE(RIGHT(B64,2)),VALUE(MID(B64,4,2)),VALUE(LEFT(B64,2))),0)))),""))</f>
        <v/>
      </c>
      <c r="R64" s="77">
        <f>IF(OR(B64="",G64="",H64&lt;&gt;"OCCUPIED"),"",IF(NOT(ISNUMBER(SEARCH("WHEAT",G64))),SUMPRODUCT(--($G$2:$G$100&lt;&gt;"")*--ISERROR(SEARCH("WHEAT",$G$2:$G$100))*--($H$2:$H$100="OCCUPIED")*--($B$2:$B$100&lt;&gt;"")*--(IF(ISNUMBER($B$2:$B$100),$B$2:$B$100,IFERROR(DATE(2000+VALUE(RIGHT($B$2:$B$100,2)),VALUE(MID($B$2:$B$100,4,2)),VALUE(LEFT($B$2:$B$100,2))),0))&lt;IF(ISNUMBER(B64),B64,IFERROR(DATE(2000+VALUE(RIGHT(B64,2)),VALUE(MID(B64,4,2)),VALUE(LEFT(B64,2))),0))))+SUMPRODUCT(--($G$2:$G64&lt;&gt;"")*--ISERROR(SEARCH("WHEAT",$G$2:$G64))*--($H$2:$H64="OCCUPIED")*--($B$2:$B64&lt;&gt;"")*--(IF(ISNUMBER($B$2:$B64),$B$2:$B64,IFERROR(DATE(2000+VALUE(RIGHT($B$2:$B64,2)),VALUE(MID($B$2:$B64,4,2)),VALUE(LEFT($B$2:$B64,2))),0))=IF(ISNUMBER(B64),B64,IFERROR(DATE(2000+VALUE(RIGHT(B64,2)),VALUE(MID(B64,4,2)),VALUE(LEFT(B64,2))),0)))),""))</f>
        <v/>
      </c>
    </row>
    <row r="65" ht="15.75" customHeight="1" s="42">
      <c r="A65" s="44">
        <f>IF(D65="","",ROWS($D$2:D65))</f>
        <v/>
      </c>
      <c r="B65" s="82" t="n"/>
      <c r="C65" s="83" t="n"/>
      <c r="D65" s="83" t="n"/>
      <c r="E65" s="83" t="n"/>
      <c r="F65" s="83" t="n"/>
      <c r="G65" s="83" t="n"/>
      <c r="H65" s="44">
        <f>IF(AND(E65="",F65="",G65=""),"EMPTY","OCCUPIED")</f>
        <v/>
      </c>
      <c r="I65" s="44">
        <f>IF(B65="","",IF(ISNUMBER(B65),MAX(0,TODAY()-(IF(ISNUMBER(B65),B65,IFERROR(DATE(2000+VALUE(RIGHT(B65,2)),VALUE(MID(B65,4,2)),VALUE(LEFT(B65,2))),"")))),IFERROR(MAX(0,TODAY()-DATE(2000+VALUE(RIGHT(B65,2)),VALUE(MID(B65,4,2)),VALUE(LEFT(B65,2))),"")))</f>
        <v/>
      </c>
      <c r="J65" s="82" t="n"/>
      <c r="K65" s="82" t="n"/>
      <c r="L65" s="82" t="n"/>
      <c r="M65" s="44">
        <f>IF(AND(H65="OCCUPIED",J65&lt;&gt;"",K65=""),1,0)</f>
        <v/>
      </c>
      <c r="N65" s="44">
        <f>IF(M65=1,COUNTIF($M$2:M65,1),"")</f>
        <v/>
      </c>
      <c r="O65" s="44">
        <f>IF(AND(J65&lt;&gt;"",K65=""),IF(ISNUMBER(J65),IF(TODAY()-(IF(ISNUMBER(J65),J65,IFERROR(DATE(2000+VALUE(RIGHT(J65,2)),VALUE(MID(J65,4,2)),VALUE(LEFT(J65,2))),"")))&gt;5,1,0),IFERROR(IF(TODAY()-DATE(2000+VALUE(RIGHT(J65,2)),VALUE(MID(J65,4,2)),VALUE(LEFT(J65,2)))&gt;5,1,0),0)),0)</f>
        <v/>
      </c>
      <c r="P65" s="44">
        <f>IF(O65=1,COUNTIF($O$2:O65,1),"")</f>
        <v/>
      </c>
      <c r="Q65" s="77">
        <f>IF(OR(B65="",G65="",H65&lt;&gt;"OCCUPIED"),"",IF(ISNUMBER(SEARCH("WHEAT",G65)),SUMPRODUCT(--ISNUMBER(SEARCH("WHEAT",$G$2:$G$100))*--($H$2:$H$100="OCCUPIED")*--($B$2:$B$100&lt;&gt;"")*--(IF(ISNUMBER($B$2:$B$100),$B$2:$B$100,IFERROR(DATE(2000+VALUE(RIGHT($B$2:$B$100,2)),VALUE(MID($B$2:$B$100,4,2)),VALUE(LEFT($B$2:$B$100,2))),0))&lt;IF(ISNUMBER(B65),B65,IFERROR(DATE(2000+VALUE(RIGHT(B65,2)),VALUE(MID(B65,4,2)),VALUE(LEFT(B65,2))),0))))+SUMPRODUCT(--ISNUMBER(SEARCH("WHEAT",$G$2:$G65))*--($H$2:$H65="OCCUPIED")*--($B$2:$B65&lt;&gt;"")*--(IF(ISNUMBER($B$2:$B65),$B$2:$B65,IFERROR(DATE(2000+VALUE(RIGHT($B$2:$B65,2)),VALUE(MID($B$2:$B65,4,2)),VALUE(LEFT($B$2:$B65,2))),0))=IF(ISNUMBER(B65),B65,IFERROR(DATE(2000+VALUE(RIGHT(B65,2)),VALUE(MID(B65,4,2)),VALUE(LEFT(B65,2))),0)))),""))</f>
        <v/>
      </c>
      <c r="R65" s="77">
        <f>IF(OR(B65="",G65="",H65&lt;&gt;"OCCUPIED"),"",IF(NOT(ISNUMBER(SEARCH("WHEAT",G65))),SUMPRODUCT(--($G$2:$G$100&lt;&gt;"")*--ISERROR(SEARCH("WHEAT",$G$2:$G$100))*--($H$2:$H$100="OCCUPIED")*--($B$2:$B$100&lt;&gt;"")*--(IF(ISNUMBER($B$2:$B$100),$B$2:$B$100,IFERROR(DATE(2000+VALUE(RIGHT($B$2:$B$100,2)),VALUE(MID($B$2:$B$100,4,2)),VALUE(LEFT($B$2:$B$100,2))),0))&lt;IF(ISNUMBER(B65),B65,IFERROR(DATE(2000+VALUE(RIGHT(B65,2)),VALUE(MID(B65,4,2)),VALUE(LEFT(B65,2))),0))))+SUMPRODUCT(--($G$2:$G65&lt;&gt;"")*--ISERROR(SEARCH("WHEAT",$G$2:$G65))*--($H$2:$H65="OCCUPIED")*--($B$2:$B65&lt;&gt;"")*--(IF(ISNUMBER($B$2:$B65),$B$2:$B65,IFERROR(DATE(2000+VALUE(RIGHT($B$2:$B65,2)),VALUE(MID($B$2:$B65,4,2)),VALUE(LEFT($B$2:$B65,2))),0))=IF(ISNUMBER(B65),B65,IFERROR(DATE(2000+VALUE(RIGHT(B65,2)),VALUE(MID(B65,4,2)),VALUE(LEFT(B65,2))),0)))),""))</f>
        <v/>
      </c>
    </row>
    <row r="66" ht="15.75" customHeight="1" s="42">
      <c r="A66" s="44">
        <f>IF(D66="","",ROWS($D$2:D66))</f>
        <v/>
      </c>
      <c r="B66" s="82" t="n"/>
      <c r="C66" s="83" t="n"/>
      <c r="D66" s="83" t="n"/>
      <c r="E66" s="83" t="n"/>
      <c r="F66" s="83" t="n"/>
      <c r="G66" s="83" t="n"/>
      <c r="H66" s="44">
        <f>IF(AND(E66="",F66="",G66=""),"EMPTY","OCCUPIED")</f>
        <v/>
      </c>
      <c r="I66" s="44">
        <f>IF(B66="","",IF(ISNUMBER(B66),MAX(0,TODAY()-(IF(ISNUMBER(B66),B66,IFERROR(DATE(2000+VALUE(RIGHT(B66,2)),VALUE(MID(B66,4,2)),VALUE(LEFT(B66,2))),"")))),IFERROR(MAX(0,TODAY()-DATE(2000+VALUE(RIGHT(B66,2)),VALUE(MID(B66,4,2)),VALUE(LEFT(B66,2))),"")))</f>
        <v/>
      </c>
      <c r="J66" s="82" t="n"/>
      <c r="K66" s="82" t="n"/>
      <c r="L66" s="82" t="n"/>
      <c r="M66" s="44">
        <f>IF(AND(H66="OCCUPIED",J66&lt;&gt;"",K66=""),1,0)</f>
        <v/>
      </c>
      <c r="N66" s="44">
        <f>IF(M66=1,COUNTIF($M$2:M66,1),"")</f>
        <v/>
      </c>
      <c r="O66" s="44">
        <f>IF(AND(J66&lt;&gt;"",K66=""),IF(ISNUMBER(J66),IF(TODAY()-(IF(ISNUMBER(J66),J66,IFERROR(DATE(2000+VALUE(RIGHT(J66,2)),VALUE(MID(J66,4,2)),VALUE(LEFT(J66,2))),"")))&gt;5,1,0),IFERROR(IF(TODAY()-DATE(2000+VALUE(RIGHT(J66,2)),VALUE(MID(J66,4,2)),VALUE(LEFT(J66,2)))&gt;5,1,0),0)),0)</f>
        <v/>
      </c>
      <c r="P66" s="44">
        <f>IF(O66=1,COUNTIF($O$2:O66,1),"")</f>
        <v/>
      </c>
      <c r="Q66" s="77">
        <f>IF(OR(B66="",G66="",H66&lt;&gt;"OCCUPIED"),"",IF(ISNUMBER(SEARCH("WHEAT",G66)),SUMPRODUCT(--ISNUMBER(SEARCH("WHEAT",$G$2:$G$100))*--($H$2:$H$100="OCCUPIED")*--($B$2:$B$100&lt;&gt;"")*--(IF(ISNUMBER($B$2:$B$100),$B$2:$B$100,IFERROR(DATE(2000+VALUE(RIGHT($B$2:$B$100,2)),VALUE(MID($B$2:$B$100,4,2)),VALUE(LEFT($B$2:$B$100,2))),0))&lt;IF(ISNUMBER(B66),B66,IFERROR(DATE(2000+VALUE(RIGHT(B66,2)),VALUE(MID(B66,4,2)),VALUE(LEFT(B66,2))),0))))+SUMPRODUCT(--ISNUMBER(SEARCH("WHEAT",$G$2:$G66))*--($H$2:$H66="OCCUPIED")*--($B$2:$B66&lt;&gt;"")*--(IF(ISNUMBER($B$2:$B66),$B$2:$B66,IFERROR(DATE(2000+VALUE(RIGHT($B$2:$B66,2)),VALUE(MID($B$2:$B66,4,2)),VALUE(LEFT($B$2:$B66,2))),0))=IF(ISNUMBER(B66),B66,IFERROR(DATE(2000+VALUE(RIGHT(B66,2)),VALUE(MID(B66,4,2)),VALUE(LEFT(B66,2))),0)))),""))</f>
        <v/>
      </c>
      <c r="R66" s="77">
        <f>IF(OR(B66="",G66="",H66&lt;&gt;"OCCUPIED"),"",IF(NOT(ISNUMBER(SEARCH("WHEAT",G66))),SUMPRODUCT(--($G$2:$G$100&lt;&gt;"")*--ISERROR(SEARCH("WHEAT",$G$2:$G$100))*--($H$2:$H$100="OCCUPIED")*--($B$2:$B$100&lt;&gt;"")*--(IF(ISNUMBER($B$2:$B$100),$B$2:$B$100,IFERROR(DATE(2000+VALUE(RIGHT($B$2:$B$100,2)),VALUE(MID($B$2:$B$100,4,2)),VALUE(LEFT($B$2:$B$100,2))),0))&lt;IF(ISNUMBER(B66),B66,IFERROR(DATE(2000+VALUE(RIGHT(B66,2)),VALUE(MID(B66,4,2)),VALUE(LEFT(B66,2))),0))))+SUMPRODUCT(--($G$2:$G66&lt;&gt;"")*--ISERROR(SEARCH("WHEAT",$G$2:$G66))*--($H$2:$H66="OCCUPIED")*--($B$2:$B66&lt;&gt;"")*--(IF(ISNUMBER($B$2:$B66),$B$2:$B66,IFERROR(DATE(2000+VALUE(RIGHT($B$2:$B66,2)),VALUE(MID($B$2:$B66,4,2)),VALUE(LEFT($B$2:$B66,2))),0))=IF(ISNUMBER(B66),B66,IFERROR(DATE(2000+VALUE(RIGHT(B66,2)),VALUE(MID(B66,4,2)),VALUE(LEFT(B66,2))),0)))),""))</f>
        <v/>
      </c>
    </row>
    <row r="67" ht="15.75" customHeight="1" s="42">
      <c r="A67" s="44">
        <f>IF(D67="","",ROWS($D$2:D67))</f>
        <v/>
      </c>
      <c r="B67" s="82" t="n"/>
      <c r="C67" s="83" t="n"/>
      <c r="D67" s="83" t="n"/>
      <c r="E67" s="83" t="n"/>
      <c r="F67" s="83" t="n"/>
      <c r="G67" s="83" t="n"/>
      <c r="H67" s="44">
        <f>IF(AND(E67="",F67="",G67=""),"EMPTY","OCCUPIED")</f>
        <v/>
      </c>
      <c r="I67" s="44">
        <f>IF(B67="","",IF(ISNUMBER(B67),MAX(0,TODAY()-(IF(ISNUMBER(B67),B67,IFERROR(DATE(2000+VALUE(RIGHT(B67,2)),VALUE(MID(B67,4,2)),VALUE(LEFT(B67,2))),"")))),IFERROR(MAX(0,TODAY()-DATE(2000+VALUE(RIGHT(B67,2)),VALUE(MID(B67,4,2)),VALUE(LEFT(B67,2))),"")))</f>
        <v/>
      </c>
      <c r="J67" s="82" t="n"/>
      <c r="K67" s="82" t="n"/>
      <c r="L67" s="82" t="n"/>
      <c r="M67" s="44">
        <f>IF(AND(H67="OCCUPIED",J67&lt;&gt;"",K67=""),1,0)</f>
        <v/>
      </c>
      <c r="N67" s="44">
        <f>IF(M67=1,COUNTIF($M$2:M67,1),"")</f>
        <v/>
      </c>
      <c r="O67" s="44">
        <f>IF(AND(J67&lt;&gt;"",K67=""),IF(ISNUMBER(J67),IF(TODAY()-(IF(ISNUMBER(J67),J67,IFERROR(DATE(2000+VALUE(RIGHT(J67,2)),VALUE(MID(J67,4,2)),VALUE(LEFT(J67,2))),"")))&gt;5,1,0),IFERROR(IF(TODAY()-DATE(2000+VALUE(RIGHT(J67,2)),VALUE(MID(J67,4,2)),VALUE(LEFT(J67,2)))&gt;5,1,0),0)),0)</f>
        <v/>
      </c>
      <c r="P67" s="44">
        <f>IF(O67=1,COUNTIF($O$2:O67,1),"")</f>
        <v/>
      </c>
      <c r="Q67" s="77">
        <f>IF(OR(B67="",G67="",H67&lt;&gt;"OCCUPIED"),"",IF(ISNUMBER(SEARCH("WHEAT",G67)),SUMPRODUCT(--ISNUMBER(SEARCH("WHEAT",$G$2:$G$100))*--($H$2:$H$100="OCCUPIED")*--($B$2:$B$100&lt;&gt;"")*--(IF(ISNUMBER($B$2:$B$100),$B$2:$B$100,IFERROR(DATE(2000+VALUE(RIGHT($B$2:$B$100,2)),VALUE(MID($B$2:$B$100,4,2)),VALUE(LEFT($B$2:$B$100,2))),0))&lt;IF(ISNUMBER(B67),B67,IFERROR(DATE(2000+VALUE(RIGHT(B67,2)),VALUE(MID(B67,4,2)),VALUE(LEFT(B67,2))),0))))+SUMPRODUCT(--ISNUMBER(SEARCH("WHEAT",$G$2:$G67))*--($H$2:$H67="OCCUPIED")*--($B$2:$B67&lt;&gt;"")*--(IF(ISNUMBER($B$2:$B67),$B$2:$B67,IFERROR(DATE(2000+VALUE(RIGHT($B$2:$B67,2)),VALUE(MID($B$2:$B67,4,2)),VALUE(LEFT($B$2:$B67,2))),0))=IF(ISNUMBER(B67),B67,IFERROR(DATE(2000+VALUE(RIGHT(B67,2)),VALUE(MID(B67,4,2)),VALUE(LEFT(B67,2))),0)))),""))</f>
        <v/>
      </c>
      <c r="R67" s="77">
        <f>IF(OR(B67="",G67="",H67&lt;&gt;"OCCUPIED"),"",IF(NOT(ISNUMBER(SEARCH("WHEAT",G67))),SUMPRODUCT(--($G$2:$G$100&lt;&gt;"")*--ISERROR(SEARCH("WHEAT",$G$2:$G$100))*--($H$2:$H$100="OCCUPIED")*--($B$2:$B$100&lt;&gt;"")*--(IF(ISNUMBER($B$2:$B$100),$B$2:$B$100,IFERROR(DATE(2000+VALUE(RIGHT($B$2:$B$100,2)),VALUE(MID($B$2:$B$100,4,2)),VALUE(LEFT($B$2:$B$100,2))),0))&lt;IF(ISNUMBER(B67),B67,IFERROR(DATE(2000+VALUE(RIGHT(B67,2)),VALUE(MID(B67,4,2)),VALUE(LEFT(B67,2))),0))))+SUMPRODUCT(--($G$2:$G67&lt;&gt;"")*--ISERROR(SEARCH("WHEAT",$G$2:$G67))*--($H$2:$H67="OCCUPIED")*--($B$2:$B67&lt;&gt;"")*--(IF(ISNUMBER($B$2:$B67),$B$2:$B67,IFERROR(DATE(2000+VALUE(RIGHT($B$2:$B67,2)),VALUE(MID($B$2:$B67,4,2)),VALUE(LEFT($B$2:$B67,2))),0))=IF(ISNUMBER(B67),B67,IFERROR(DATE(2000+VALUE(RIGHT(B67,2)),VALUE(MID(B67,4,2)),VALUE(LEFT(B67,2))),0)))),""))</f>
        <v/>
      </c>
    </row>
    <row r="68" ht="15.75" customHeight="1" s="42">
      <c r="A68" s="44">
        <f>IF(D68="","",ROWS($D$2:D68))</f>
        <v/>
      </c>
      <c r="B68" s="82" t="n"/>
      <c r="C68" s="83" t="n"/>
      <c r="D68" s="83" t="n"/>
      <c r="E68" s="83" t="n"/>
      <c r="F68" s="83" t="n"/>
      <c r="G68" s="83" t="n"/>
      <c r="H68" s="44">
        <f>IF(AND(E68="",F68="",G68=""),"EMPTY","OCCUPIED")</f>
        <v/>
      </c>
      <c r="I68" s="44">
        <f>IF(B68="","",IF(ISNUMBER(B68),MAX(0,TODAY()-(IF(ISNUMBER(B68),B68,IFERROR(DATE(2000+VALUE(RIGHT(B68,2)),VALUE(MID(B68,4,2)),VALUE(LEFT(B68,2))),"")))),IFERROR(MAX(0,TODAY()-DATE(2000+VALUE(RIGHT(B68,2)),VALUE(MID(B68,4,2)),VALUE(LEFT(B68,2))),"")))</f>
        <v/>
      </c>
      <c r="J68" s="82" t="n"/>
      <c r="K68" s="82" t="n"/>
      <c r="L68" s="82" t="n"/>
      <c r="M68" s="44">
        <f>IF(AND(H68="OCCUPIED",J68&lt;&gt;"",K68=""),1,0)</f>
        <v/>
      </c>
      <c r="N68" s="44">
        <f>IF(M68=1,COUNTIF($M$2:M68,1),"")</f>
        <v/>
      </c>
      <c r="O68" s="44">
        <f>IF(AND(J68&lt;&gt;"",K68=""),IF(ISNUMBER(J68),IF(TODAY()-(IF(ISNUMBER(J68),J68,IFERROR(DATE(2000+VALUE(RIGHT(J68,2)),VALUE(MID(J68,4,2)),VALUE(LEFT(J68,2))),"")))&gt;5,1,0),IFERROR(IF(TODAY()-DATE(2000+VALUE(RIGHT(J68,2)),VALUE(MID(J68,4,2)),VALUE(LEFT(J68,2)))&gt;5,1,0),0)),0)</f>
        <v/>
      </c>
      <c r="P68" s="44">
        <f>IF(O68=1,COUNTIF($O$2:O68,1),"")</f>
        <v/>
      </c>
      <c r="Q68" s="77">
        <f>IF(OR(B68="",G68="",H68&lt;&gt;"OCCUPIED"),"",IF(ISNUMBER(SEARCH("WHEAT",G68)),SUMPRODUCT(--ISNUMBER(SEARCH("WHEAT",$G$2:$G$100))*--($H$2:$H$100="OCCUPIED")*--($B$2:$B$100&lt;&gt;"")*--(IF(ISNUMBER($B$2:$B$100),$B$2:$B$100,IFERROR(DATE(2000+VALUE(RIGHT($B$2:$B$100,2)),VALUE(MID($B$2:$B$100,4,2)),VALUE(LEFT($B$2:$B$100,2))),0))&lt;IF(ISNUMBER(B68),B68,IFERROR(DATE(2000+VALUE(RIGHT(B68,2)),VALUE(MID(B68,4,2)),VALUE(LEFT(B68,2))),0))))+SUMPRODUCT(--ISNUMBER(SEARCH("WHEAT",$G$2:$G68))*--($H$2:$H68="OCCUPIED")*--($B$2:$B68&lt;&gt;"")*--(IF(ISNUMBER($B$2:$B68),$B$2:$B68,IFERROR(DATE(2000+VALUE(RIGHT($B$2:$B68,2)),VALUE(MID($B$2:$B68,4,2)),VALUE(LEFT($B$2:$B68,2))),0))=IF(ISNUMBER(B68),B68,IFERROR(DATE(2000+VALUE(RIGHT(B68,2)),VALUE(MID(B68,4,2)),VALUE(LEFT(B68,2))),0)))),""))</f>
        <v/>
      </c>
      <c r="R68" s="77">
        <f>IF(OR(B68="",G68="",H68&lt;&gt;"OCCUPIED"),"",IF(NOT(ISNUMBER(SEARCH("WHEAT",G68))),SUMPRODUCT(--($G$2:$G$100&lt;&gt;"")*--ISERROR(SEARCH("WHEAT",$G$2:$G$100))*--($H$2:$H$100="OCCUPIED")*--($B$2:$B$100&lt;&gt;"")*--(IF(ISNUMBER($B$2:$B$100),$B$2:$B$100,IFERROR(DATE(2000+VALUE(RIGHT($B$2:$B$100,2)),VALUE(MID($B$2:$B$100,4,2)),VALUE(LEFT($B$2:$B$100,2))),0))&lt;IF(ISNUMBER(B68),B68,IFERROR(DATE(2000+VALUE(RIGHT(B68,2)),VALUE(MID(B68,4,2)),VALUE(LEFT(B68,2))),0))))+SUMPRODUCT(--($G$2:$G68&lt;&gt;"")*--ISERROR(SEARCH("WHEAT",$G$2:$G68))*--($H$2:$H68="OCCUPIED")*--($B$2:$B68&lt;&gt;"")*--(IF(ISNUMBER($B$2:$B68),$B$2:$B68,IFERROR(DATE(2000+VALUE(RIGHT($B$2:$B68,2)),VALUE(MID($B$2:$B68,4,2)),VALUE(LEFT($B$2:$B68,2))),0))=IF(ISNUMBER(B68),B68,IFERROR(DATE(2000+VALUE(RIGHT(B68,2)),VALUE(MID(B68,4,2)),VALUE(LEFT(B68,2))),0)))),""))</f>
        <v/>
      </c>
    </row>
    <row r="69" ht="15.75" customHeight="1" s="42">
      <c r="A69" s="44">
        <f>IF(D69="","",ROWS($D$2:D69))</f>
        <v/>
      </c>
      <c r="B69" s="82" t="n"/>
      <c r="C69" s="83" t="n"/>
      <c r="D69" s="83" t="n"/>
      <c r="E69" s="83" t="n"/>
      <c r="F69" s="83" t="n"/>
      <c r="G69" s="83" t="n"/>
      <c r="H69" s="44">
        <f>IF(AND(E69="",F69="",G69=""),"EMPTY","OCCUPIED")</f>
        <v/>
      </c>
      <c r="I69" s="44">
        <f>IF(B69="","",IF(ISNUMBER(B69),MAX(0,TODAY()-(IF(ISNUMBER(B69),B69,IFERROR(DATE(2000+VALUE(RIGHT(B69,2)),VALUE(MID(B69,4,2)),VALUE(LEFT(B69,2))),"")))),IFERROR(MAX(0,TODAY()-DATE(2000+VALUE(RIGHT(B69,2)),VALUE(MID(B69,4,2)),VALUE(LEFT(B69,2))),"")))</f>
        <v/>
      </c>
      <c r="J69" s="82" t="n"/>
      <c r="K69" s="82" t="n"/>
      <c r="L69" s="82" t="n"/>
      <c r="M69" s="44">
        <f>IF(AND(H69="OCCUPIED",J69&lt;&gt;"",K69=""),1,0)</f>
        <v/>
      </c>
      <c r="N69" s="44">
        <f>IF(M69=1,COUNTIF($M$2:M69,1),"")</f>
        <v/>
      </c>
      <c r="O69" s="44">
        <f>IF(AND(J69&lt;&gt;"",K69=""),IF(ISNUMBER(J69),IF(TODAY()-(IF(ISNUMBER(J69),J69,IFERROR(DATE(2000+VALUE(RIGHT(J69,2)),VALUE(MID(J69,4,2)),VALUE(LEFT(J69,2))),"")))&gt;5,1,0),IFERROR(IF(TODAY()-DATE(2000+VALUE(RIGHT(J69,2)),VALUE(MID(J69,4,2)),VALUE(LEFT(J69,2)))&gt;5,1,0),0)),0)</f>
        <v/>
      </c>
      <c r="P69" s="44">
        <f>IF(O69=1,COUNTIF($O$2:O69,1),"")</f>
        <v/>
      </c>
      <c r="Q69" s="77">
        <f>IF(OR(B69="",G69="",H69&lt;&gt;"OCCUPIED"),"",IF(ISNUMBER(SEARCH("WHEAT",G69)),SUMPRODUCT(--ISNUMBER(SEARCH("WHEAT",$G$2:$G$100))*--($H$2:$H$100="OCCUPIED")*--($B$2:$B$100&lt;&gt;"")*--(IF(ISNUMBER($B$2:$B$100),$B$2:$B$100,IFERROR(DATE(2000+VALUE(RIGHT($B$2:$B$100,2)),VALUE(MID($B$2:$B$100,4,2)),VALUE(LEFT($B$2:$B$100,2))),0))&lt;IF(ISNUMBER(B69),B69,IFERROR(DATE(2000+VALUE(RIGHT(B69,2)),VALUE(MID(B69,4,2)),VALUE(LEFT(B69,2))),0))))+SUMPRODUCT(--ISNUMBER(SEARCH("WHEAT",$G$2:$G69))*--($H$2:$H69="OCCUPIED")*--($B$2:$B69&lt;&gt;"")*--(IF(ISNUMBER($B$2:$B69),$B$2:$B69,IFERROR(DATE(2000+VALUE(RIGHT($B$2:$B69,2)),VALUE(MID($B$2:$B69,4,2)),VALUE(LEFT($B$2:$B69,2))),0))=IF(ISNUMBER(B69),B69,IFERROR(DATE(2000+VALUE(RIGHT(B69,2)),VALUE(MID(B69,4,2)),VALUE(LEFT(B69,2))),0)))),""))</f>
        <v/>
      </c>
      <c r="R69" s="77">
        <f>IF(OR(B69="",G69="",H69&lt;&gt;"OCCUPIED"),"",IF(NOT(ISNUMBER(SEARCH("WHEAT",G69))),SUMPRODUCT(--($G$2:$G$100&lt;&gt;"")*--ISERROR(SEARCH("WHEAT",$G$2:$G$100))*--($H$2:$H$100="OCCUPIED")*--($B$2:$B$100&lt;&gt;"")*--(IF(ISNUMBER($B$2:$B$100),$B$2:$B$100,IFERROR(DATE(2000+VALUE(RIGHT($B$2:$B$100,2)),VALUE(MID($B$2:$B$100,4,2)),VALUE(LEFT($B$2:$B$100,2))),0))&lt;IF(ISNUMBER(B69),B69,IFERROR(DATE(2000+VALUE(RIGHT(B69,2)),VALUE(MID(B69,4,2)),VALUE(LEFT(B69,2))),0))))+SUMPRODUCT(--($G$2:$G69&lt;&gt;"")*--ISERROR(SEARCH("WHEAT",$G$2:$G69))*--($H$2:$H69="OCCUPIED")*--($B$2:$B69&lt;&gt;"")*--(IF(ISNUMBER($B$2:$B69),$B$2:$B69,IFERROR(DATE(2000+VALUE(RIGHT($B$2:$B69,2)),VALUE(MID($B$2:$B69,4,2)),VALUE(LEFT($B$2:$B69,2))),0))=IF(ISNUMBER(B69),B69,IFERROR(DATE(2000+VALUE(RIGHT(B69,2)),VALUE(MID(B69,4,2)),VALUE(LEFT(B69,2))),0)))),""))</f>
        <v/>
      </c>
    </row>
    <row r="70" ht="15.75" customHeight="1" s="42">
      <c r="A70" s="44">
        <f>IF(D70="","",ROWS($D$2:D70))</f>
        <v/>
      </c>
      <c r="B70" s="82" t="n"/>
      <c r="C70" s="83" t="n"/>
      <c r="D70" s="83" t="n"/>
      <c r="E70" s="83" t="n"/>
      <c r="F70" s="83" t="n"/>
      <c r="G70" s="83" t="n"/>
      <c r="H70" s="44">
        <f>IF(AND(E70="",F70="",G70=""),"EMPTY","OCCUPIED")</f>
        <v/>
      </c>
      <c r="I70" s="44">
        <f>IF(B70="","",IF(ISNUMBER(B70),MAX(0,TODAY()-(IF(ISNUMBER(B70),B70,IFERROR(DATE(2000+VALUE(RIGHT(B70,2)),VALUE(MID(B70,4,2)),VALUE(LEFT(B70,2))),"")))),IFERROR(MAX(0,TODAY()-DATE(2000+VALUE(RIGHT(B70,2)),VALUE(MID(B70,4,2)),VALUE(LEFT(B70,2))),"")))</f>
        <v/>
      </c>
      <c r="J70" s="82" t="n"/>
      <c r="K70" s="82" t="n"/>
      <c r="L70" s="82" t="n"/>
      <c r="M70" s="44">
        <f>IF(AND(H70="OCCUPIED",J70&lt;&gt;"",K70=""),1,0)</f>
        <v/>
      </c>
      <c r="N70" s="44">
        <f>IF(M70=1,COUNTIF($M$2:M70,1),"")</f>
        <v/>
      </c>
      <c r="O70" s="44">
        <f>IF(AND(J70&lt;&gt;"",K70=""),IF(ISNUMBER(J70),IF(TODAY()-(IF(ISNUMBER(J70),J70,IFERROR(DATE(2000+VALUE(RIGHT(J70,2)),VALUE(MID(J70,4,2)),VALUE(LEFT(J70,2))),"")))&gt;5,1,0),IFERROR(IF(TODAY()-DATE(2000+VALUE(RIGHT(J70,2)),VALUE(MID(J70,4,2)),VALUE(LEFT(J70,2)))&gt;5,1,0),0)),0)</f>
        <v/>
      </c>
      <c r="P70" s="44">
        <f>IF(O70=1,COUNTIF($O$2:O70,1),"")</f>
        <v/>
      </c>
      <c r="Q70" s="77">
        <f>IF(OR(B70="",G70="",H70&lt;&gt;"OCCUPIED"),"",IF(ISNUMBER(SEARCH("WHEAT",G70)),SUMPRODUCT(--ISNUMBER(SEARCH("WHEAT",$G$2:$G$100))*--($H$2:$H$100="OCCUPIED")*--($B$2:$B$100&lt;&gt;"")*--(IF(ISNUMBER($B$2:$B$100),$B$2:$B$100,IFERROR(DATE(2000+VALUE(RIGHT($B$2:$B$100,2)),VALUE(MID($B$2:$B$100,4,2)),VALUE(LEFT($B$2:$B$100,2))),0))&lt;IF(ISNUMBER(B70),B70,IFERROR(DATE(2000+VALUE(RIGHT(B70,2)),VALUE(MID(B70,4,2)),VALUE(LEFT(B70,2))),0))))+SUMPRODUCT(--ISNUMBER(SEARCH("WHEAT",$G$2:$G70))*--($H$2:$H70="OCCUPIED")*--($B$2:$B70&lt;&gt;"")*--(IF(ISNUMBER($B$2:$B70),$B$2:$B70,IFERROR(DATE(2000+VALUE(RIGHT($B$2:$B70,2)),VALUE(MID($B$2:$B70,4,2)),VALUE(LEFT($B$2:$B70,2))),0))=IF(ISNUMBER(B70),B70,IFERROR(DATE(2000+VALUE(RIGHT(B70,2)),VALUE(MID(B70,4,2)),VALUE(LEFT(B70,2))),0)))),""))</f>
        <v/>
      </c>
      <c r="R70" s="77">
        <f>IF(OR(B70="",G70="",H70&lt;&gt;"OCCUPIED"),"",IF(NOT(ISNUMBER(SEARCH("WHEAT",G70))),SUMPRODUCT(--($G$2:$G$100&lt;&gt;"")*--ISERROR(SEARCH("WHEAT",$G$2:$G$100))*--($H$2:$H$100="OCCUPIED")*--($B$2:$B$100&lt;&gt;"")*--(IF(ISNUMBER($B$2:$B$100),$B$2:$B$100,IFERROR(DATE(2000+VALUE(RIGHT($B$2:$B$100,2)),VALUE(MID($B$2:$B$100,4,2)),VALUE(LEFT($B$2:$B$100,2))),0))&lt;IF(ISNUMBER(B70),B70,IFERROR(DATE(2000+VALUE(RIGHT(B70,2)),VALUE(MID(B70,4,2)),VALUE(LEFT(B70,2))),0))))+SUMPRODUCT(--($G$2:$G70&lt;&gt;"")*--ISERROR(SEARCH("WHEAT",$G$2:$G70))*--($H$2:$H70="OCCUPIED")*--($B$2:$B70&lt;&gt;"")*--(IF(ISNUMBER($B$2:$B70),$B$2:$B70,IFERROR(DATE(2000+VALUE(RIGHT($B$2:$B70,2)),VALUE(MID($B$2:$B70,4,2)),VALUE(LEFT($B$2:$B70,2))),0))=IF(ISNUMBER(B70),B70,IFERROR(DATE(2000+VALUE(RIGHT(B70,2)),VALUE(MID(B70,4,2)),VALUE(LEFT(B70,2))),0)))),""))</f>
        <v/>
      </c>
    </row>
    <row r="71" ht="15.75" customHeight="1" s="42">
      <c r="A71" s="44">
        <f>IF(D71="","",ROWS($D$2:D71))</f>
        <v/>
      </c>
      <c r="B71" s="82" t="n"/>
      <c r="C71" s="83" t="n"/>
      <c r="D71" s="83" t="n"/>
      <c r="E71" s="83" t="n"/>
      <c r="F71" s="83" t="n"/>
      <c r="G71" s="83" t="n"/>
      <c r="H71" s="44">
        <f>IF(AND(E71="",F71="",G71=""),"EMPTY","OCCUPIED")</f>
        <v/>
      </c>
      <c r="I71" s="44">
        <f>IF(B71="","",IF(ISNUMBER(B71),MAX(0,TODAY()-(IF(ISNUMBER(B71),B71,IFERROR(DATE(2000+VALUE(RIGHT(B71,2)),VALUE(MID(B71,4,2)),VALUE(LEFT(B71,2))),"")))),IFERROR(MAX(0,TODAY()-DATE(2000+VALUE(RIGHT(B71,2)),VALUE(MID(B71,4,2)),VALUE(LEFT(B71,2))),"")))</f>
        <v/>
      </c>
      <c r="J71" s="82" t="n"/>
      <c r="K71" s="82" t="n"/>
      <c r="L71" s="82" t="n"/>
      <c r="M71" s="44">
        <f>IF(AND(H71="OCCUPIED",J71&lt;&gt;"",K71=""),1,0)</f>
        <v/>
      </c>
      <c r="N71" s="44">
        <f>IF(M71=1,COUNTIF($M$2:M71,1),"")</f>
        <v/>
      </c>
      <c r="O71" s="44">
        <f>IF(AND(J71&lt;&gt;"",K71=""),IF(ISNUMBER(J71),IF(TODAY()-(IF(ISNUMBER(J71),J71,IFERROR(DATE(2000+VALUE(RIGHT(J71,2)),VALUE(MID(J71,4,2)),VALUE(LEFT(J71,2))),"")))&gt;5,1,0),IFERROR(IF(TODAY()-DATE(2000+VALUE(RIGHT(J71,2)),VALUE(MID(J71,4,2)),VALUE(LEFT(J71,2)))&gt;5,1,0),0)),0)</f>
        <v/>
      </c>
      <c r="P71" s="44">
        <f>IF(O71=1,COUNTIF($O$2:O71,1),"")</f>
        <v/>
      </c>
      <c r="Q71" s="77">
        <f>IF(OR(B71="",G71="",H71&lt;&gt;"OCCUPIED"),"",IF(ISNUMBER(SEARCH("WHEAT",G71)),SUMPRODUCT(--ISNUMBER(SEARCH("WHEAT",$G$2:$G$100))*--($H$2:$H$100="OCCUPIED")*--($B$2:$B$100&lt;&gt;"")*--(IF(ISNUMBER($B$2:$B$100),$B$2:$B$100,IFERROR(DATE(2000+VALUE(RIGHT($B$2:$B$100,2)),VALUE(MID($B$2:$B$100,4,2)),VALUE(LEFT($B$2:$B$100,2))),0))&lt;IF(ISNUMBER(B71),B71,IFERROR(DATE(2000+VALUE(RIGHT(B71,2)),VALUE(MID(B71,4,2)),VALUE(LEFT(B71,2))),0))))+SUMPRODUCT(--ISNUMBER(SEARCH("WHEAT",$G$2:$G71))*--($H$2:$H71="OCCUPIED")*--($B$2:$B71&lt;&gt;"")*--(IF(ISNUMBER($B$2:$B71),$B$2:$B71,IFERROR(DATE(2000+VALUE(RIGHT($B$2:$B71,2)),VALUE(MID($B$2:$B71,4,2)),VALUE(LEFT($B$2:$B71,2))),0))=IF(ISNUMBER(B71),B71,IFERROR(DATE(2000+VALUE(RIGHT(B71,2)),VALUE(MID(B71,4,2)),VALUE(LEFT(B71,2))),0)))),""))</f>
        <v/>
      </c>
      <c r="R71" s="77">
        <f>IF(OR(B71="",G71="",H71&lt;&gt;"OCCUPIED"),"",IF(NOT(ISNUMBER(SEARCH("WHEAT",G71))),SUMPRODUCT(--($G$2:$G$100&lt;&gt;"")*--ISERROR(SEARCH("WHEAT",$G$2:$G$100))*--($H$2:$H$100="OCCUPIED")*--($B$2:$B$100&lt;&gt;"")*--(IF(ISNUMBER($B$2:$B$100),$B$2:$B$100,IFERROR(DATE(2000+VALUE(RIGHT($B$2:$B$100,2)),VALUE(MID($B$2:$B$100,4,2)),VALUE(LEFT($B$2:$B$100,2))),0))&lt;IF(ISNUMBER(B71),B71,IFERROR(DATE(2000+VALUE(RIGHT(B71,2)),VALUE(MID(B71,4,2)),VALUE(LEFT(B71,2))),0))))+SUMPRODUCT(--($G$2:$G71&lt;&gt;"")*--ISERROR(SEARCH("WHEAT",$G$2:$G71))*--($H$2:$H71="OCCUPIED")*--($B$2:$B71&lt;&gt;"")*--(IF(ISNUMBER($B$2:$B71),$B$2:$B71,IFERROR(DATE(2000+VALUE(RIGHT($B$2:$B71,2)),VALUE(MID($B$2:$B71,4,2)),VALUE(LEFT($B$2:$B71,2))),0))=IF(ISNUMBER(B71),B71,IFERROR(DATE(2000+VALUE(RIGHT(B71,2)),VALUE(MID(B71,4,2)),VALUE(LEFT(B71,2))),0)))),""))</f>
        <v/>
      </c>
    </row>
    <row r="72" ht="15.75" customHeight="1" s="42">
      <c r="A72" s="44">
        <f>IF(D72="","",ROWS($D$2:D72))</f>
        <v/>
      </c>
      <c r="B72" s="82" t="n"/>
      <c r="C72" s="83" t="n"/>
      <c r="D72" s="83" t="n"/>
      <c r="E72" s="83" t="n"/>
      <c r="F72" s="83" t="n"/>
      <c r="G72" s="83" t="n"/>
      <c r="H72" s="44">
        <f>IF(AND(E72="",F72="",G72=""),"EMPTY","OCCUPIED")</f>
        <v/>
      </c>
      <c r="I72" s="44">
        <f>IF(B72="","",IF(ISNUMBER(B72),MAX(0,TODAY()-(IF(ISNUMBER(B72),B72,IFERROR(DATE(2000+VALUE(RIGHT(B72,2)),VALUE(MID(B72,4,2)),VALUE(LEFT(B72,2))),"")))),IFERROR(MAX(0,TODAY()-DATE(2000+VALUE(RIGHT(B72,2)),VALUE(MID(B72,4,2)),VALUE(LEFT(B72,2))),"")))</f>
        <v/>
      </c>
      <c r="J72" s="82" t="n"/>
      <c r="K72" s="82" t="n"/>
      <c r="L72" s="82" t="n"/>
      <c r="M72" s="44">
        <f>IF(AND(H72="OCCUPIED",J72&lt;&gt;"",K72=""),1,0)</f>
        <v/>
      </c>
      <c r="N72" s="44">
        <f>IF(M72=1,COUNTIF($M$2:M72,1),"")</f>
        <v/>
      </c>
      <c r="O72" s="44">
        <f>IF(AND(J72&lt;&gt;"",K72=""),IF(ISNUMBER(J72),IF(TODAY()-(IF(ISNUMBER(J72),J72,IFERROR(DATE(2000+VALUE(RIGHT(J72,2)),VALUE(MID(J72,4,2)),VALUE(LEFT(J72,2))),"")))&gt;5,1,0),IFERROR(IF(TODAY()-DATE(2000+VALUE(RIGHT(J72,2)),VALUE(MID(J72,4,2)),VALUE(LEFT(J72,2)))&gt;5,1,0),0)),0)</f>
        <v/>
      </c>
      <c r="P72" s="44">
        <f>IF(O72=1,COUNTIF($O$2:O72,1),"")</f>
        <v/>
      </c>
      <c r="Q72" s="77">
        <f>IF(OR(B72="",G72="",H72&lt;&gt;"OCCUPIED"),"",IF(ISNUMBER(SEARCH("WHEAT",G72)),SUMPRODUCT(--ISNUMBER(SEARCH("WHEAT",$G$2:$G$100))*--($H$2:$H$100="OCCUPIED")*--($B$2:$B$100&lt;&gt;"")*--(IF(ISNUMBER($B$2:$B$100),$B$2:$B$100,IFERROR(DATE(2000+VALUE(RIGHT($B$2:$B$100,2)),VALUE(MID($B$2:$B$100,4,2)),VALUE(LEFT($B$2:$B$100,2))),0))&lt;IF(ISNUMBER(B72),B72,IFERROR(DATE(2000+VALUE(RIGHT(B72,2)),VALUE(MID(B72,4,2)),VALUE(LEFT(B72,2))),0))))+SUMPRODUCT(--ISNUMBER(SEARCH("WHEAT",$G$2:$G72))*--($H$2:$H72="OCCUPIED")*--($B$2:$B72&lt;&gt;"")*--(IF(ISNUMBER($B$2:$B72),$B$2:$B72,IFERROR(DATE(2000+VALUE(RIGHT($B$2:$B72,2)),VALUE(MID($B$2:$B72,4,2)),VALUE(LEFT($B$2:$B72,2))),0))=IF(ISNUMBER(B72),B72,IFERROR(DATE(2000+VALUE(RIGHT(B72,2)),VALUE(MID(B72,4,2)),VALUE(LEFT(B72,2))),0)))),""))</f>
        <v/>
      </c>
      <c r="R72" s="77">
        <f>IF(OR(B72="",G72="",H72&lt;&gt;"OCCUPIED"),"",IF(NOT(ISNUMBER(SEARCH("WHEAT",G72))),SUMPRODUCT(--($G$2:$G$100&lt;&gt;"")*--ISERROR(SEARCH("WHEAT",$G$2:$G$100))*--($H$2:$H$100="OCCUPIED")*--($B$2:$B$100&lt;&gt;"")*--(IF(ISNUMBER($B$2:$B$100),$B$2:$B$100,IFERROR(DATE(2000+VALUE(RIGHT($B$2:$B$100,2)),VALUE(MID($B$2:$B$100,4,2)),VALUE(LEFT($B$2:$B$100,2))),0))&lt;IF(ISNUMBER(B72),B72,IFERROR(DATE(2000+VALUE(RIGHT(B72,2)),VALUE(MID(B72,4,2)),VALUE(LEFT(B72,2))),0))))+SUMPRODUCT(--($G$2:$G72&lt;&gt;"")*--ISERROR(SEARCH("WHEAT",$G$2:$G72))*--($H$2:$H72="OCCUPIED")*--($B$2:$B72&lt;&gt;"")*--(IF(ISNUMBER($B$2:$B72),$B$2:$B72,IFERROR(DATE(2000+VALUE(RIGHT($B$2:$B72,2)),VALUE(MID($B$2:$B72,4,2)),VALUE(LEFT($B$2:$B72,2))),0))=IF(ISNUMBER(B72),B72,IFERROR(DATE(2000+VALUE(RIGHT(B72,2)),VALUE(MID(B72,4,2)),VALUE(LEFT(B72,2))),0)))),""))</f>
        <v/>
      </c>
    </row>
    <row r="73" ht="15.75" customHeight="1" s="42">
      <c r="A73" s="44">
        <f>IF(D73="","",ROWS($D$2:D73))</f>
        <v/>
      </c>
      <c r="B73" s="82" t="n"/>
      <c r="C73" s="83" t="n"/>
      <c r="D73" s="83" t="n"/>
      <c r="E73" s="83" t="n"/>
      <c r="F73" s="83" t="n"/>
      <c r="G73" s="83" t="n"/>
      <c r="H73" s="44">
        <f>IF(AND(E73="",F73="",G73=""),"EMPTY","OCCUPIED")</f>
        <v/>
      </c>
      <c r="I73" s="44">
        <f>IF(B73="","",IF(ISNUMBER(B73),MAX(0,TODAY()-(IF(ISNUMBER(B73),B73,IFERROR(DATE(2000+VALUE(RIGHT(B73,2)),VALUE(MID(B73,4,2)),VALUE(LEFT(B73,2))),"")))),IFERROR(MAX(0,TODAY()-DATE(2000+VALUE(RIGHT(B73,2)),VALUE(MID(B73,4,2)),VALUE(LEFT(B73,2))),"")))</f>
        <v/>
      </c>
      <c r="J73" s="82" t="n"/>
      <c r="K73" s="82" t="n"/>
      <c r="L73" s="82" t="n"/>
      <c r="M73" s="44">
        <f>IF(AND(H73="OCCUPIED",J73&lt;&gt;"",K73=""),1,0)</f>
        <v/>
      </c>
      <c r="N73" s="44">
        <f>IF(M73=1,COUNTIF($M$2:M73,1),"")</f>
        <v/>
      </c>
      <c r="O73" s="44">
        <f>IF(AND(J73&lt;&gt;"",K73=""),IF(ISNUMBER(J73),IF(TODAY()-(IF(ISNUMBER(J73),J73,IFERROR(DATE(2000+VALUE(RIGHT(J73,2)),VALUE(MID(J73,4,2)),VALUE(LEFT(J73,2))),"")))&gt;5,1,0),IFERROR(IF(TODAY()-DATE(2000+VALUE(RIGHT(J73,2)),VALUE(MID(J73,4,2)),VALUE(LEFT(J73,2)))&gt;5,1,0),0)),0)</f>
        <v/>
      </c>
      <c r="P73" s="44">
        <f>IF(O73=1,COUNTIF($O$2:O73,1),"")</f>
        <v/>
      </c>
      <c r="Q73" s="77">
        <f>IF(OR(B73="",G73="",H73&lt;&gt;"OCCUPIED"),"",IF(ISNUMBER(SEARCH("WHEAT",G73)),SUMPRODUCT(--ISNUMBER(SEARCH("WHEAT",$G$2:$G$100))*--($H$2:$H$100="OCCUPIED")*--($B$2:$B$100&lt;&gt;"")*--(IF(ISNUMBER($B$2:$B$100),$B$2:$B$100,IFERROR(DATE(2000+VALUE(RIGHT($B$2:$B$100,2)),VALUE(MID($B$2:$B$100,4,2)),VALUE(LEFT($B$2:$B$100,2))),0))&lt;IF(ISNUMBER(B73),B73,IFERROR(DATE(2000+VALUE(RIGHT(B73,2)),VALUE(MID(B73,4,2)),VALUE(LEFT(B73,2))),0))))+SUMPRODUCT(--ISNUMBER(SEARCH("WHEAT",$G$2:$G73))*--($H$2:$H73="OCCUPIED")*--($B$2:$B73&lt;&gt;"")*--(IF(ISNUMBER($B$2:$B73),$B$2:$B73,IFERROR(DATE(2000+VALUE(RIGHT($B$2:$B73,2)),VALUE(MID($B$2:$B73,4,2)),VALUE(LEFT($B$2:$B73,2))),0))=IF(ISNUMBER(B73),B73,IFERROR(DATE(2000+VALUE(RIGHT(B73,2)),VALUE(MID(B73,4,2)),VALUE(LEFT(B73,2))),0)))),""))</f>
        <v/>
      </c>
      <c r="R73" s="77">
        <f>IF(OR(B73="",G73="",H73&lt;&gt;"OCCUPIED"),"",IF(NOT(ISNUMBER(SEARCH("WHEAT",G73))),SUMPRODUCT(--($G$2:$G$100&lt;&gt;"")*--ISERROR(SEARCH("WHEAT",$G$2:$G$100))*--($H$2:$H$100="OCCUPIED")*--($B$2:$B$100&lt;&gt;"")*--(IF(ISNUMBER($B$2:$B$100),$B$2:$B$100,IFERROR(DATE(2000+VALUE(RIGHT($B$2:$B$100,2)),VALUE(MID($B$2:$B$100,4,2)),VALUE(LEFT($B$2:$B$100,2))),0))&lt;IF(ISNUMBER(B73),B73,IFERROR(DATE(2000+VALUE(RIGHT(B73,2)),VALUE(MID(B73,4,2)),VALUE(LEFT(B73,2))),0))))+SUMPRODUCT(--($G$2:$G73&lt;&gt;"")*--ISERROR(SEARCH("WHEAT",$G$2:$G73))*--($H$2:$H73="OCCUPIED")*--($B$2:$B73&lt;&gt;"")*--(IF(ISNUMBER($B$2:$B73),$B$2:$B73,IFERROR(DATE(2000+VALUE(RIGHT($B$2:$B73,2)),VALUE(MID($B$2:$B73,4,2)),VALUE(LEFT($B$2:$B73,2))),0))=IF(ISNUMBER(B73),B73,IFERROR(DATE(2000+VALUE(RIGHT(B73,2)),VALUE(MID(B73,4,2)),VALUE(LEFT(B73,2))),0)))),""))</f>
        <v/>
      </c>
    </row>
    <row r="74" ht="15.75" customHeight="1" s="42">
      <c r="A74" s="44">
        <f>IF(D74="","",ROWS($D$2:D74))</f>
        <v/>
      </c>
      <c r="B74" s="82" t="n"/>
      <c r="C74" s="83" t="n"/>
      <c r="D74" s="83" t="n"/>
      <c r="E74" s="83" t="n"/>
      <c r="F74" s="83" t="n"/>
      <c r="G74" s="83" t="n"/>
      <c r="H74" s="44">
        <f>IF(AND(E74="",F74="",G74=""),"EMPTY","OCCUPIED")</f>
        <v/>
      </c>
      <c r="I74" s="44">
        <f>IF(B74="","",IF(ISNUMBER(B74),MAX(0,TODAY()-(IF(ISNUMBER(B74),B74,IFERROR(DATE(2000+VALUE(RIGHT(B74,2)),VALUE(MID(B74,4,2)),VALUE(LEFT(B74,2))),"")))),IFERROR(MAX(0,TODAY()-DATE(2000+VALUE(RIGHT(B74,2)),VALUE(MID(B74,4,2)),VALUE(LEFT(B74,2))),"")))</f>
        <v/>
      </c>
      <c r="J74" s="82" t="n"/>
      <c r="K74" s="82" t="n"/>
      <c r="L74" s="82" t="n"/>
      <c r="M74" s="44">
        <f>IF(AND(H74="OCCUPIED",J74&lt;&gt;"",K74=""),1,0)</f>
        <v/>
      </c>
      <c r="N74" s="44">
        <f>IF(M74=1,COUNTIF($M$2:M74,1),"")</f>
        <v/>
      </c>
      <c r="O74" s="44">
        <f>IF(AND(J74&lt;&gt;"",K74=""),IF(ISNUMBER(J74),IF(TODAY()-(IF(ISNUMBER(J74),J74,IFERROR(DATE(2000+VALUE(RIGHT(J74,2)),VALUE(MID(J74,4,2)),VALUE(LEFT(J74,2))),"")))&gt;5,1,0),IFERROR(IF(TODAY()-DATE(2000+VALUE(RIGHT(J74,2)),VALUE(MID(J74,4,2)),VALUE(LEFT(J74,2)))&gt;5,1,0),0)),0)</f>
        <v/>
      </c>
      <c r="P74" s="44">
        <f>IF(O74=1,COUNTIF($O$2:O74,1),"")</f>
        <v/>
      </c>
      <c r="Q74" s="77">
        <f>IF(OR(B74="",G74="",H74&lt;&gt;"OCCUPIED"),"",IF(ISNUMBER(SEARCH("WHEAT",G74)),SUMPRODUCT(--ISNUMBER(SEARCH("WHEAT",$G$2:$G$100))*--($H$2:$H$100="OCCUPIED")*--($B$2:$B$100&lt;&gt;"")*--(IF(ISNUMBER($B$2:$B$100),$B$2:$B$100,IFERROR(DATE(2000+VALUE(RIGHT($B$2:$B$100,2)),VALUE(MID($B$2:$B$100,4,2)),VALUE(LEFT($B$2:$B$100,2))),0))&lt;IF(ISNUMBER(B74),B74,IFERROR(DATE(2000+VALUE(RIGHT(B74,2)),VALUE(MID(B74,4,2)),VALUE(LEFT(B74,2))),0))))+SUMPRODUCT(--ISNUMBER(SEARCH("WHEAT",$G$2:$G74))*--($H$2:$H74="OCCUPIED")*--($B$2:$B74&lt;&gt;"")*--(IF(ISNUMBER($B$2:$B74),$B$2:$B74,IFERROR(DATE(2000+VALUE(RIGHT($B$2:$B74,2)),VALUE(MID($B$2:$B74,4,2)),VALUE(LEFT($B$2:$B74,2))),0))=IF(ISNUMBER(B74),B74,IFERROR(DATE(2000+VALUE(RIGHT(B74,2)),VALUE(MID(B74,4,2)),VALUE(LEFT(B74,2))),0)))),""))</f>
        <v/>
      </c>
      <c r="R74" s="77">
        <f>IF(OR(B74="",G74="",H74&lt;&gt;"OCCUPIED"),"",IF(NOT(ISNUMBER(SEARCH("WHEAT",G74))),SUMPRODUCT(--($G$2:$G$100&lt;&gt;"")*--ISERROR(SEARCH("WHEAT",$G$2:$G$100))*--($H$2:$H$100="OCCUPIED")*--($B$2:$B$100&lt;&gt;"")*--(IF(ISNUMBER($B$2:$B$100),$B$2:$B$100,IFERROR(DATE(2000+VALUE(RIGHT($B$2:$B$100,2)),VALUE(MID($B$2:$B$100,4,2)),VALUE(LEFT($B$2:$B$100,2))),0))&lt;IF(ISNUMBER(B74),B74,IFERROR(DATE(2000+VALUE(RIGHT(B74,2)),VALUE(MID(B74,4,2)),VALUE(LEFT(B74,2))),0))))+SUMPRODUCT(--($G$2:$G74&lt;&gt;"")*--ISERROR(SEARCH("WHEAT",$G$2:$G74))*--($H$2:$H74="OCCUPIED")*--($B$2:$B74&lt;&gt;"")*--(IF(ISNUMBER($B$2:$B74),$B$2:$B74,IFERROR(DATE(2000+VALUE(RIGHT($B$2:$B74,2)),VALUE(MID($B$2:$B74,4,2)),VALUE(LEFT($B$2:$B74,2))),0))=IF(ISNUMBER(B74),B74,IFERROR(DATE(2000+VALUE(RIGHT(B74,2)),VALUE(MID(B74,4,2)),VALUE(LEFT(B74,2))),0)))),""))</f>
        <v/>
      </c>
    </row>
    <row r="75" ht="15.75" customHeight="1" s="42">
      <c r="A75" s="44">
        <f>IF(D75="","",ROWS($D$2:D75))</f>
        <v/>
      </c>
      <c r="B75" s="82" t="n"/>
      <c r="C75" s="83" t="n"/>
      <c r="D75" s="83" t="n"/>
      <c r="E75" s="83" t="n"/>
      <c r="F75" s="83" t="n"/>
      <c r="G75" s="83" t="n"/>
      <c r="H75" s="44">
        <f>IF(AND(E75="",F75="",G75=""),"EMPTY","OCCUPIED")</f>
        <v/>
      </c>
      <c r="I75" s="44">
        <f>IF(B75="","",IF(ISNUMBER(B75),MAX(0,TODAY()-(IF(ISNUMBER(B75),B75,IFERROR(DATE(2000+VALUE(RIGHT(B75,2)),VALUE(MID(B75,4,2)),VALUE(LEFT(B75,2))),"")))),IFERROR(MAX(0,TODAY()-DATE(2000+VALUE(RIGHT(B75,2)),VALUE(MID(B75,4,2)),VALUE(LEFT(B75,2))),"")))</f>
        <v/>
      </c>
      <c r="J75" s="82" t="n"/>
      <c r="K75" s="82" t="n"/>
      <c r="L75" s="82" t="n"/>
      <c r="M75" s="44">
        <f>IF(AND(H75="OCCUPIED",J75&lt;&gt;"",K75=""),1,0)</f>
        <v/>
      </c>
      <c r="N75" s="44">
        <f>IF(M75=1,COUNTIF($M$2:M75,1),"")</f>
        <v/>
      </c>
      <c r="O75" s="44">
        <f>IF(AND(J75&lt;&gt;"",K75=""),IF(ISNUMBER(J75),IF(TODAY()-(IF(ISNUMBER(J75),J75,IFERROR(DATE(2000+VALUE(RIGHT(J75,2)),VALUE(MID(J75,4,2)),VALUE(LEFT(J75,2))),"")))&gt;5,1,0),IFERROR(IF(TODAY()-DATE(2000+VALUE(RIGHT(J75,2)),VALUE(MID(J75,4,2)),VALUE(LEFT(J75,2)))&gt;5,1,0),0)),0)</f>
        <v/>
      </c>
      <c r="P75" s="44">
        <f>IF(O75=1,COUNTIF($O$2:O75,1),"")</f>
        <v/>
      </c>
      <c r="Q75" s="77">
        <f>IF(OR(B75="",G75="",H75&lt;&gt;"OCCUPIED"),"",IF(ISNUMBER(SEARCH("WHEAT",G75)),SUMPRODUCT(--ISNUMBER(SEARCH("WHEAT",$G$2:$G$100))*--($H$2:$H$100="OCCUPIED")*--($B$2:$B$100&lt;&gt;"")*--(IF(ISNUMBER($B$2:$B$100),$B$2:$B$100,IFERROR(DATE(2000+VALUE(RIGHT($B$2:$B$100,2)),VALUE(MID($B$2:$B$100,4,2)),VALUE(LEFT($B$2:$B$100,2))),0))&lt;IF(ISNUMBER(B75),B75,IFERROR(DATE(2000+VALUE(RIGHT(B75,2)),VALUE(MID(B75,4,2)),VALUE(LEFT(B75,2))),0))))+SUMPRODUCT(--ISNUMBER(SEARCH("WHEAT",$G$2:$G75))*--($H$2:$H75="OCCUPIED")*--($B$2:$B75&lt;&gt;"")*--(IF(ISNUMBER($B$2:$B75),$B$2:$B75,IFERROR(DATE(2000+VALUE(RIGHT($B$2:$B75,2)),VALUE(MID($B$2:$B75,4,2)),VALUE(LEFT($B$2:$B75,2))),0))=IF(ISNUMBER(B75),B75,IFERROR(DATE(2000+VALUE(RIGHT(B75,2)),VALUE(MID(B75,4,2)),VALUE(LEFT(B75,2))),0)))),""))</f>
        <v/>
      </c>
      <c r="R75" s="77">
        <f>IF(OR(B75="",G75="",H75&lt;&gt;"OCCUPIED"),"",IF(NOT(ISNUMBER(SEARCH("WHEAT",G75))),SUMPRODUCT(--($G$2:$G$100&lt;&gt;"")*--ISERROR(SEARCH("WHEAT",$G$2:$G$100))*--($H$2:$H$100="OCCUPIED")*--($B$2:$B$100&lt;&gt;"")*--(IF(ISNUMBER($B$2:$B$100),$B$2:$B$100,IFERROR(DATE(2000+VALUE(RIGHT($B$2:$B$100,2)),VALUE(MID($B$2:$B$100,4,2)),VALUE(LEFT($B$2:$B$100,2))),0))&lt;IF(ISNUMBER(B75),B75,IFERROR(DATE(2000+VALUE(RIGHT(B75,2)),VALUE(MID(B75,4,2)),VALUE(LEFT(B75,2))),0))))+SUMPRODUCT(--($G$2:$G75&lt;&gt;"")*--ISERROR(SEARCH("WHEAT",$G$2:$G75))*--($H$2:$H75="OCCUPIED")*--($B$2:$B75&lt;&gt;"")*--(IF(ISNUMBER($B$2:$B75),$B$2:$B75,IFERROR(DATE(2000+VALUE(RIGHT($B$2:$B75,2)),VALUE(MID($B$2:$B75,4,2)),VALUE(LEFT($B$2:$B75,2))),0))=IF(ISNUMBER(B75),B75,IFERROR(DATE(2000+VALUE(RIGHT(B75,2)),VALUE(MID(B75,4,2)),VALUE(LEFT(B75,2))),0)))),""))</f>
        <v/>
      </c>
    </row>
    <row r="76" ht="15.75" customHeight="1" s="42">
      <c r="A76" s="44">
        <f>IF(D76="","",ROWS($D$2:D76))</f>
        <v/>
      </c>
      <c r="B76" s="82" t="n"/>
      <c r="C76" s="83" t="n"/>
      <c r="D76" s="83" t="n"/>
      <c r="E76" s="83" t="n"/>
      <c r="F76" s="83" t="n"/>
      <c r="G76" s="83" t="n"/>
      <c r="H76" s="44">
        <f>IF(AND(E76="",F76="",G76=""),"EMPTY","OCCUPIED")</f>
        <v/>
      </c>
      <c r="I76" s="44">
        <f>IF(B76="","",IF(ISNUMBER(B76),MAX(0,TODAY()-(IF(ISNUMBER(B76),B76,IFERROR(DATE(2000+VALUE(RIGHT(B76,2)),VALUE(MID(B76,4,2)),VALUE(LEFT(B76,2))),"")))),IFERROR(MAX(0,TODAY()-DATE(2000+VALUE(RIGHT(B76,2)),VALUE(MID(B76,4,2)),VALUE(LEFT(B76,2))),"")))</f>
        <v/>
      </c>
      <c r="J76" s="82" t="n"/>
      <c r="K76" s="82" t="n"/>
      <c r="L76" s="82" t="n"/>
      <c r="M76" s="44">
        <f>IF(AND(H76="OCCUPIED",J76&lt;&gt;"",K76=""),1,0)</f>
        <v/>
      </c>
      <c r="N76" s="44">
        <f>IF(M76=1,COUNTIF($M$2:M76,1),"")</f>
        <v/>
      </c>
      <c r="O76" s="44">
        <f>IF(AND(J76&lt;&gt;"",K76=""),IF(ISNUMBER(J76),IF(TODAY()-(IF(ISNUMBER(J76),J76,IFERROR(DATE(2000+VALUE(RIGHT(J76,2)),VALUE(MID(J76,4,2)),VALUE(LEFT(J76,2))),"")))&gt;5,1,0),IFERROR(IF(TODAY()-DATE(2000+VALUE(RIGHT(J76,2)),VALUE(MID(J76,4,2)),VALUE(LEFT(J76,2)))&gt;5,1,0),0)),0)</f>
        <v/>
      </c>
      <c r="P76" s="44">
        <f>IF(O76=1,COUNTIF($O$2:O76,1),"")</f>
        <v/>
      </c>
      <c r="Q76" s="77">
        <f>IF(OR(B76="",G76="",H76&lt;&gt;"OCCUPIED"),"",IF(ISNUMBER(SEARCH("WHEAT",G76)),SUMPRODUCT(--ISNUMBER(SEARCH("WHEAT",$G$2:$G$100))*--($H$2:$H$100="OCCUPIED")*--($B$2:$B$100&lt;&gt;"")*--(IF(ISNUMBER($B$2:$B$100),$B$2:$B$100,IFERROR(DATE(2000+VALUE(RIGHT($B$2:$B$100,2)),VALUE(MID($B$2:$B$100,4,2)),VALUE(LEFT($B$2:$B$100,2))),0))&lt;IF(ISNUMBER(B76),B76,IFERROR(DATE(2000+VALUE(RIGHT(B76,2)),VALUE(MID(B76,4,2)),VALUE(LEFT(B76,2))),0))))+SUMPRODUCT(--ISNUMBER(SEARCH("WHEAT",$G$2:$G76))*--($H$2:$H76="OCCUPIED")*--($B$2:$B76&lt;&gt;"")*--(IF(ISNUMBER($B$2:$B76),$B$2:$B76,IFERROR(DATE(2000+VALUE(RIGHT($B$2:$B76,2)),VALUE(MID($B$2:$B76,4,2)),VALUE(LEFT($B$2:$B76,2))),0))=IF(ISNUMBER(B76),B76,IFERROR(DATE(2000+VALUE(RIGHT(B76,2)),VALUE(MID(B76,4,2)),VALUE(LEFT(B76,2))),0)))),""))</f>
        <v/>
      </c>
      <c r="R76" s="77">
        <f>IF(OR(B76="",G76="",H76&lt;&gt;"OCCUPIED"),"",IF(NOT(ISNUMBER(SEARCH("WHEAT",G76))),SUMPRODUCT(--($G$2:$G$100&lt;&gt;"")*--ISERROR(SEARCH("WHEAT",$G$2:$G$100))*--($H$2:$H$100="OCCUPIED")*--($B$2:$B$100&lt;&gt;"")*--(IF(ISNUMBER($B$2:$B$100),$B$2:$B$100,IFERROR(DATE(2000+VALUE(RIGHT($B$2:$B$100,2)),VALUE(MID($B$2:$B$100,4,2)),VALUE(LEFT($B$2:$B$100,2))),0))&lt;IF(ISNUMBER(B76),B76,IFERROR(DATE(2000+VALUE(RIGHT(B76,2)),VALUE(MID(B76,4,2)),VALUE(LEFT(B76,2))),0))))+SUMPRODUCT(--($G$2:$G76&lt;&gt;"")*--ISERROR(SEARCH("WHEAT",$G$2:$G76))*--($H$2:$H76="OCCUPIED")*--($B$2:$B76&lt;&gt;"")*--(IF(ISNUMBER($B$2:$B76),$B$2:$B76,IFERROR(DATE(2000+VALUE(RIGHT($B$2:$B76,2)),VALUE(MID($B$2:$B76,4,2)),VALUE(LEFT($B$2:$B76,2))),0))=IF(ISNUMBER(B76),B76,IFERROR(DATE(2000+VALUE(RIGHT(B76,2)),VALUE(MID(B76,4,2)),VALUE(LEFT(B76,2))),0)))),""))</f>
        <v/>
      </c>
    </row>
    <row r="77" ht="15.75" customHeight="1" s="42">
      <c r="A77" s="44">
        <f>IF(D77="","",ROWS($D$2:D77))</f>
        <v/>
      </c>
      <c r="B77" s="82" t="n"/>
      <c r="C77" s="83" t="n"/>
      <c r="D77" s="83" t="n"/>
      <c r="E77" s="83" t="n"/>
      <c r="F77" s="83" t="n"/>
      <c r="G77" s="83" t="n"/>
      <c r="H77" s="44">
        <f>IF(AND(E77="",F77="",G77=""),"EMPTY","OCCUPIED")</f>
        <v/>
      </c>
      <c r="I77" s="44">
        <f>IF(B77="","",IF(ISNUMBER(B77),MAX(0,TODAY()-(IF(ISNUMBER(B77),B77,IFERROR(DATE(2000+VALUE(RIGHT(B77,2)),VALUE(MID(B77,4,2)),VALUE(LEFT(B77,2))),"")))),IFERROR(MAX(0,TODAY()-DATE(2000+VALUE(RIGHT(B77,2)),VALUE(MID(B77,4,2)),VALUE(LEFT(B77,2))),"")))</f>
        <v/>
      </c>
      <c r="J77" s="82" t="n"/>
      <c r="K77" s="82" t="n"/>
      <c r="L77" s="82" t="n"/>
      <c r="M77" s="44">
        <f>IF(AND(H77="OCCUPIED",J77&lt;&gt;"",K77=""),1,0)</f>
        <v/>
      </c>
      <c r="N77" s="44">
        <f>IF(M77=1,COUNTIF($M$2:M77,1),"")</f>
        <v/>
      </c>
      <c r="O77" s="44">
        <f>IF(AND(J77&lt;&gt;"",K77=""),IF(ISNUMBER(J77),IF(TODAY()-(IF(ISNUMBER(J77),J77,IFERROR(DATE(2000+VALUE(RIGHT(J77,2)),VALUE(MID(J77,4,2)),VALUE(LEFT(J77,2))),"")))&gt;5,1,0),IFERROR(IF(TODAY()-DATE(2000+VALUE(RIGHT(J77,2)),VALUE(MID(J77,4,2)),VALUE(LEFT(J77,2)))&gt;5,1,0),0)),0)</f>
        <v/>
      </c>
      <c r="P77" s="44">
        <f>IF(O77=1,COUNTIF($O$2:O77,1),"")</f>
        <v/>
      </c>
      <c r="Q77" s="77">
        <f>IF(OR(B77="",G77="",H77&lt;&gt;"OCCUPIED"),"",IF(ISNUMBER(SEARCH("WHEAT",G77)),SUMPRODUCT(--ISNUMBER(SEARCH("WHEAT",$G$2:$G$100))*--($H$2:$H$100="OCCUPIED")*--($B$2:$B$100&lt;&gt;"")*--(IF(ISNUMBER($B$2:$B$100),$B$2:$B$100,IFERROR(DATE(2000+VALUE(RIGHT($B$2:$B$100,2)),VALUE(MID($B$2:$B$100,4,2)),VALUE(LEFT($B$2:$B$100,2))),0))&lt;IF(ISNUMBER(B77),B77,IFERROR(DATE(2000+VALUE(RIGHT(B77,2)),VALUE(MID(B77,4,2)),VALUE(LEFT(B77,2))),0))))+SUMPRODUCT(--ISNUMBER(SEARCH("WHEAT",$G$2:$G77))*--($H$2:$H77="OCCUPIED")*--($B$2:$B77&lt;&gt;"")*--(IF(ISNUMBER($B$2:$B77),$B$2:$B77,IFERROR(DATE(2000+VALUE(RIGHT($B$2:$B77,2)),VALUE(MID($B$2:$B77,4,2)),VALUE(LEFT($B$2:$B77,2))),0))=IF(ISNUMBER(B77),B77,IFERROR(DATE(2000+VALUE(RIGHT(B77,2)),VALUE(MID(B77,4,2)),VALUE(LEFT(B77,2))),0)))),""))</f>
        <v/>
      </c>
      <c r="R77" s="77">
        <f>IF(OR(B77="",G77="",H77&lt;&gt;"OCCUPIED"),"",IF(NOT(ISNUMBER(SEARCH("WHEAT",G77))),SUMPRODUCT(--($G$2:$G$100&lt;&gt;"")*--ISERROR(SEARCH("WHEAT",$G$2:$G$100))*--($H$2:$H$100="OCCUPIED")*--($B$2:$B$100&lt;&gt;"")*--(IF(ISNUMBER($B$2:$B$100),$B$2:$B$100,IFERROR(DATE(2000+VALUE(RIGHT($B$2:$B$100,2)),VALUE(MID($B$2:$B$100,4,2)),VALUE(LEFT($B$2:$B$100,2))),0))&lt;IF(ISNUMBER(B77),B77,IFERROR(DATE(2000+VALUE(RIGHT(B77,2)),VALUE(MID(B77,4,2)),VALUE(LEFT(B77,2))),0))))+SUMPRODUCT(--($G$2:$G77&lt;&gt;"")*--ISERROR(SEARCH("WHEAT",$G$2:$G77))*--($H$2:$H77="OCCUPIED")*--($B$2:$B77&lt;&gt;"")*--(IF(ISNUMBER($B$2:$B77),$B$2:$B77,IFERROR(DATE(2000+VALUE(RIGHT($B$2:$B77,2)),VALUE(MID($B$2:$B77,4,2)),VALUE(LEFT($B$2:$B77,2))),0))=IF(ISNUMBER(B77),B77,IFERROR(DATE(2000+VALUE(RIGHT(B77,2)),VALUE(MID(B77,4,2)),VALUE(LEFT(B77,2))),0)))),""))</f>
        <v/>
      </c>
    </row>
    <row r="78" ht="15.75" customHeight="1" s="42">
      <c r="A78" s="44">
        <f>IF(D78="","",ROWS($D$2:D78))</f>
        <v/>
      </c>
      <c r="B78" s="82" t="n"/>
      <c r="C78" s="83" t="n"/>
      <c r="D78" s="83" t="n"/>
      <c r="E78" s="83" t="n"/>
      <c r="F78" s="83" t="n"/>
      <c r="G78" s="83" t="n"/>
      <c r="H78" s="44">
        <f>IF(AND(E78="",F78="",G78=""),"EMPTY","OCCUPIED")</f>
        <v/>
      </c>
      <c r="I78" s="44">
        <f>IF(B78="","",IF(ISNUMBER(B78),MAX(0,TODAY()-(IF(ISNUMBER(B78),B78,IFERROR(DATE(2000+VALUE(RIGHT(B78,2)),VALUE(MID(B78,4,2)),VALUE(LEFT(B78,2))),"")))),IFERROR(MAX(0,TODAY()-DATE(2000+VALUE(RIGHT(B78,2)),VALUE(MID(B78,4,2)),VALUE(LEFT(B78,2))),"")))</f>
        <v/>
      </c>
      <c r="J78" s="82" t="n"/>
      <c r="K78" s="82" t="n"/>
      <c r="L78" s="82" t="n"/>
      <c r="M78" s="44">
        <f>IF(AND(H78="OCCUPIED",J78&lt;&gt;"",K78=""),1,0)</f>
        <v/>
      </c>
      <c r="N78" s="44">
        <f>IF(M78=1,COUNTIF($M$2:M78,1),"")</f>
        <v/>
      </c>
      <c r="O78" s="44">
        <f>IF(AND(J78&lt;&gt;"",K78=""),IF(ISNUMBER(J78),IF(TODAY()-(IF(ISNUMBER(J78),J78,IFERROR(DATE(2000+VALUE(RIGHT(J78,2)),VALUE(MID(J78,4,2)),VALUE(LEFT(J78,2))),"")))&gt;5,1,0),IFERROR(IF(TODAY()-DATE(2000+VALUE(RIGHT(J78,2)),VALUE(MID(J78,4,2)),VALUE(LEFT(J78,2)))&gt;5,1,0),0)),0)</f>
        <v/>
      </c>
      <c r="P78" s="44">
        <f>IF(O78=1,COUNTIF($O$2:O78,1),"")</f>
        <v/>
      </c>
      <c r="Q78" s="77">
        <f>IF(OR(B78="",G78="",H78&lt;&gt;"OCCUPIED"),"",IF(ISNUMBER(SEARCH("WHEAT",G78)),SUMPRODUCT(--ISNUMBER(SEARCH("WHEAT",$G$2:$G$100))*--($H$2:$H$100="OCCUPIED")*--($B$2:$B$100&lt;&gt;"")*--(IF(ISNUMBER($B$2:$B$100),$B$2:$B$100,IFERROR(DATE(2000+VALUE(RIGHT($B$2:$B$100,2)),VALUE(MID($B$2:$B$100,4,2)),VALUE(LEFT($B$2:$B$100,2))),0))&lt;IF(ISNUMBER(B78),B78,IFERROR(DATE(2000+VALUE(RIGHT(B78,2)),VALUE(MID(B78,4,2)),VALUE(LEFT(B78,2))),0))))+SUMPRODUCT(--ISNUMBER(SEARCH("WHEAT",$G$2:$G78))*--($H$2:$H78="OCCUPIED")*--($B$2:$B78&lt;&gt;"")*--(IF(ISNUMBER($B$2:$B78),$B$2:$B78,IFERROR(DATE(2000+VALUE(RIGHT($B$2:$B78,2)),VALUE(MID($B$2:$B78,4,2)),VALUE(LEFT($B$2:$B78,2))),0))=IF(ISNUMBER(B78),B78,IFERROR(DATE(2000+VALUE(RIGHT(B78,2)),VALUE(MID(B78,4,2)),VALUE(LEFT(B78,2))),0)))),""))</f>
        <v/>
      </c>
      <c r="R78" s="77">
        <f>IF(OR(B78="",G78="",H78&lt;&gt;"OCCUPIED"),"",IF(NOT(ISNUMBER(SEARCH("WHEAT",G78))),SUMPRODUCT(--($G$2:$G$100&lt;&gt;"")*--ISERROR(SEARCH("WHEAT",$G$2:$G$100))*--($H$2:$H$100="OCCUPIED")*--($B$2:$B$100&lt;&gt;"")*--(IF(ISNUMBER($B$2:$B$100),$B$2:$B$100,IFERROR(DATE(2000+VALUE(RIGHT($B$2:$B$100,2)),VALUE(MID($B$2:$B$100,4,2)),VALUE(LEFT($B$2:$B$100,2))),0))&lt;IF(ISNUMBER(B78),B78,IFERROR(DATE(2000+VALUE(RIGHT(B78,2)),VALUE(MID(B78,4,2)),VALUE(LEFT(B78,2))),0))))+SUMPRODUCT(--($G$2:$G78&lt;&gt;"")*--ISERROR(SEARCH("WHEAT",$G$2:$G78))*--($H$2:$H78="OCCUPIED")*--($B$2:$B78&lt;&gt;"")*--(IF(ISNUMBER($B$2:$B78),$B$2:$B78,IFERROR(DATE(2000+VALUE(RIGHT($B$2:$B78,2)),VALUE(MID($B$2:$B78,4,2)),VALUE(LEFT($B$2:$B78,2))),0))=IF(ISNUMBER(B78),B78,IFERROR(DATE(2000+VALUE(RIGHT(B78,2)),VALUE(MID(B78,4,2)),VALUE(LEFT(B78,2))),0)))),""))</f>
        <v/>
      </c>
    </row>
    <row r="79" ht="15.75" customHeight="1" s="42">
      <c r="A79" s="44">
        <f>IF(D79="","",ROWS($D$2:D79))</f>
        <v/>
      </c>
      <c r="B79" s="82" t="n"/>
      <c r="C79" s="83" t="n"/>
      <c r="D79" s="83" t="n"/>
      <c r="E79" s="83" t="n"/>
      <c r="F79" s="83" t="n"/>
      <c r="G79" s="83" t="n"/>
      <c r="H79" s="44">
        <f>IF(AND(E79="",F79="",G79=""),"EMPTY","OCCUPIED")</f>
        <v/>
      </c>
      <c r="I79" s="44">
        <f>IF(B79="","",IF(ISNUMBER(B79),MAX(0,TODAY()-(IF(ISNUMBER(B79),B79,IFERROR(DATE(2000+VALUE(RIGHT(B79,2)),VALUE(MID(B79,4,2)),VALUE(LEFT(B79,2))),"")))),IFERROR(MAX(0,TODAY()-DATE(2000+VALUE(RIGHT(B79,2)),VALUE(MID(B79,4,2)),VALUE(LEFT(B79,2))),"")))</f>
        <v/>
      </c>
      <c r="J79" s="82" t="n"/>
      <c r="K79" s="82" t="n"/>
      <c r="L79" s="82" t="n"/>
      <c r="M79" s="44">
        <f>IF(AND(H79="OCCUPIED",J79&lt;&gt;"",K79=""),1,0)</f>
        <v/>
      </c>
      <c r="N79" s="44">
        <f>IF(M79=1,COUNTIF($M$2:M79,1),"")</f>
        <v/>
      </c>
      <c r="O79" s="44">
        <f>IF(AND(J79&lt;&gt;"",K79=""),IF(ISNUMBER(J79),IF(TODAY()-(IF(ISNUMBER(J79),J79,IFERROR(DATE(2000+VALUE(RIGHT(J79,2)),VALUE(MID(J79,4,2)),VALUE(LEFT(J79,2))),"")))&gt;5,1,0),IFERROR(IF(TODAY()-DATE(2000+VALUE(RIGHT(J79,2)),VALUE(MID(J79,4,2)),VALUE(LEFT(J79,2)))&gt;5,1,0),0)),0)</f>
        <v/>
      </c>
      <c r="P79" s="44">
        <f>IF(O79=1,COUNTIF($O$2:O79,1),"")</f>
        <v/>
      </c>
      <c r="Q79" s="77">
        <f>IF(OR(B79="",G79="",H79&lt;&gt;"OCCUPIED"),"",IF(ISNUMBER(SEARCH("WHEAT",G79)),SUMPRODUCT(--ISNUMBER(SEARCH("WHEAT",$G$2:$G$100))*--($H$2:$H$100="OCCUPIED")*--($B$2:$B$100&lt;&gt;"")*--(IF(ISNUMBER($B$2:$B$100),$B$2:$B$100,IFERROR(DATE(2000+VALUE(RIGHT($B$2:$B$100,2)),VALUE(MID($B$2:$B$100,4,2)),VALUE(LEFT($B$2:$B$100,2))),0))&lt;IF(ISNUMBER(B79),B79,IFERROR(DATE(2000+VALUE(RIGHT(B79,2)),VALUE(MID(B79,4,2)),VALUE(LEFT(B79,2))),0))))+SUMPRODUCT(--ISNUMBER(SEARCH("WHEAT",$G$2:$G79))*--($H$2:$H79="OCCUPIED")*--($B$2:$B79&lt;&gt;"")*--(IF(ISNUMBER($B$2:$B79),$B$2:$B79,IFERROR(DATE(2000+VALUE(RIGHT($B$2:$B79,2)),VALUE(MID($B$2:$B79,4,2)),VALUE(LEFT($B$2:$B79,2))),0))=IF(ISNUMBER(B79),B79,IFERROR(DATE(2000+VALUE(RIGHT(B79,2)),VALUE(MID(B79,4,2)),VALUE(LEFT(B79,2))),0)))),""))</f>
        <v/>
      </c>
      <c r="R79" s="77">
        <f>IF(OR(B79="",G79="",H79&lt;&gt;"OCCUPIED"),"",IF(NOT(ISNUMBER(SEARCH("WHEAT",G79))),SUMPRODUCT(--($G$2:$G$100&lt;&gt;"")*--ISERROR(SEARCH("WHEAT",$G$2:$G$100))*--($H$2:$H$100="OCCUPIED")*--($B$2:$B$100&lt;&gt;"")*--(IF(ISNUMBER($B$2:$B$100),$B$2:$B$100,IFERROR(DATE(2000+VALUE(RIGHT($B$2:$B$100,2)),VALUE(MID($B$2:$B$100,4,2)),VALUE(LEFT($B$2:$B$100,2))),0))&lt;IF(ISNUMBER(B79),B79,IFERROR(DATE(2000+VALUE(RIGHT(B79,2)),VALUE(MID(B79,4,2)),VALUE(LEFT(B79,2))),0))))+SUMPRODUCT(--($G$2:$G79&lt;&gt;"")*--ISERROR(SEARCH("WHEAT",$G$2:$G79))*--($H$2:$H79="OCCUPIED")*--($B$2:$B79&lt;&gt;"")*--(IF(ISNUMBER($B$2:$B79),$B$2:$B79,IFERROR(DATE(2000+VALUE(RIGHT($B$2:$B79,2)),VALUE(MID($B$2:$B79,4,2)),VALUE(LEFT($B$2:$B79,2))),0))=IF(ISNUMBER(B79),B79,IFERROR(DATE(2000+VALUE(RIGHT(B79,2)),VALUE(MID(B79,4,2)),VALUE(LEFT(B79,2))),0)))),""))</f>
        <v/>
      </c>
    </row>
    <row r="80" ht="15.75" customHeight="1" s="42">
      <c r="A80" s="44">
        <f>IF(D80="","",ROWS($D$2:D80))</f>
        <v/>
      </c>
      <c r="B80" s="82" t="n"/>
      <c r="C80" s="83" t="n"/>
      <c r="D80" s="83" t="n"/>
      <c r="E80" s="83" t="n"/>
      <c r="F80" s="83" t="n"/>
      <c r="G80" s="83" t="n"/>
      <c r="H80" s="44">
        <f>IF(AND(E80="",F80="",G80=""),"EMPTY","OCCUPIED")</f>
        <v/>
      </c>
      <c r="I80" s="44">
        <f>IF(B80="","",IF(ISNUMBER(B80),MAX(0,TODAY()-(IF(ISNUMBER(B80),B80,IFERROR(DATE(2000+VALUE(RIGHT(B80,2)),VALUE(MID(B80,4,2)),VALUE(LEFT(B80,2))),"")))),IFERROR(MAX(0,TODAY()-DATE(2000+VALUE(RIGHT(B80,2)),VALUE(MID(B80,4,2)),VALUE(LEFT(B80,2))),"")))</f>
        <v/>
      </c>
      <c r="J80" s="82" t="n"/>
      <c r="K80" s="82" t="n"/>
      <c r="L80" s="82" t="n"/>
      <c r="M80" s="44">
        <f>IF(AND(H80="OCCUPIED",J80&lt;&gt;"",K80=""),1,0)</f>
        <v/>
      </c>
      <c r="N80" s="44">
        <f>IF(M80=1,COUNTIF($M$2:M80,1),"")</f>
        <v/>
      </c>
      <c r="O80" s="44">
        <f>IF(AND(J80&lt;&gt;"",K80=""),IF(ISNUMBER(J80),IF(TODAY()-(IF(ISNUMBER(J80),J80,IFERROR(DATE(2000+VALUE(RIGHT(J80,2)),VALUE(MID(J80,4,2)),VALUE(LEFT(J80,2))),"")))&gt;5,1,0),IFERROR(IF(TODAY()-DATE(2000+VALUE(RIGHT(J80,2)),VALUE(MID(J80,4,2)),VALUE(LEFT(J80,2)))&gt;5,1,0),0)),0)</f>
        <v/>
      </c>
      <c r="P80" s="44">
        <f>IF(O80=1,COUNTIF($O$2:O80,1),"")</f>
        <v/>
      </c>
      <c r="Q80" s="77">
        <f>IF(OR(B80="",G80="",H80&lt;&gt;"OCCUPIED"),"",IF(ISNUMBER(SEARCH("WHEAT",G80)),SUMPRODUCT(--ISNUMBER(SEARCH("WHEAT",$G$2:$G$100))*--($H$2:$H$100="OCCUPIED")*--($B$2:$B$100&lt;&gt;"")*--(IF(ISNUMBER($B$2:$B$100),$B$2:$B$100,IFERROR(DATE(2000+VALUE(RIGHT($B$2:$B$100,2)),VALUE(MID($B$2:$B$100,4,2)),VALUE(LEFT($B$2:$B$100,2))),0))&lt;IF(ISNUMBER(B80),B80,IFERROR(DATE(2000+VALUE(RIGHT(B80,2)),VALUE(MID(B80,4,2)),VALUE(LEFT(B80,2))),0))))+SUMPRODUCT(--ISNUMBER(SEARCH("WHEAT",$G$2:$G80))*--($H$2:$H80="OCCUPIED")*--($B$2:$B80&lt;&gt;"")*--(IF(ISNUMBER($B$2:$B80),$B$2:$B80,IFERROR(DATE(2000+VALUE(RIGHT($B$2:$B80,2)),VALUE(MID($B$2:$B80,4,2)),VALUE(LEFT($B$2:$B80,2))),0))=IF(ISNUMBER(B80),B80,IFERROR(DATE(2000+VALUE(RIGHT(B80,2)),VALUE(MID(B80,4,2)),VALUE(LEFT(B80,2))),0)))),""))</f>
        <v/>
      </c>
      <c r="R80" s="77">
        <f>IF(OR(B80="",G80="",H80&lt;&gt;"OCCUPIED"),"",IF(NOT(ISNUMBER(SEARCH("WHEAT",G80))),SUMPRODUCT(--($G$2:$G$100&lt;&gt;"")*--ISERROR(SEARCH("WHEAT",$G$2:$G$100))*--($H$2:$H$100="OCCUPIED")*--($B$2:$B$100&lt;&gt;"")*--(IF(ISNUMBER($B$2:$B$100),$B$2:$B$100,IFERROR(DATE(2000+VALUE(RIGHT($B$2:$B$100,2)),VALUE(MID($B$2:$B$100,4,2)),VALUE(LEFT($B$2:$B$100,2))),0))&lt;IF(ISNUMBER(B80),B80,IFERROR(DATE(2000+VALUE(RIGHT(B80,2)),VALUE(MID(B80,4,2)),VALUE(LEFT(B80,2))),0))))+SUMPRODUCT(--($G$2:$G80&lt;&gt;"")*--ISERROR(SEARCH("WHEAT",$G$2:$G80))*--($H$2:$H80="OCCUPIED")*--($B$2:$B80&lt;&gt;"")*--(IF(ISNUMBER($B$2:$B80),$B$2:$B80,IFERROR(DATE(2000+VALUE(RIGHT($B$2:$B80,2)),VALUE(MID($B$2:$B80,4,2)),VALUE(LEFT($B$2:$B80,2))),0))=IF(ISNUMBER(B80),B80,IFERROR(DATE(2000+VALUE(RIGHT(B80,2)),VALUE(MID(B80,4,2)),VALUE(LEFT(B80,2))),0)))),""))</f>
        <v/>
      </c>
    </row>
    <row r="81" ht="15.75" customHeight="1" s="42">
      <c r="A81" s="44">
        <f>IF(D81="","",ROWS($D$2:D81))</f>
        <v/>
      </c>
      <c r="B81" s="82" t="n"/>
      <c r="C81" s="83" t="n"/>
      <c r="D81" s="83" t="n"/>
      <c r="E81" s="83" t="n"/>
      <c r="F81" s="83" t="n"/>
      <c r="G81" s="83" t="n"/>
      <c r="H81" s="44">
        <f>IF(AND(E81="",F81="",G81=""),"EMPTY","OCCUPIED")</f>
        <v/>
      </c>
      <c r="I81" s="44">
        <f>IF(B81="","",IF(ISNUMBER(B81),MAX(0,TODAY()-(IF(ISNUMBER(B81),B81,IFERROR(DATE(2000+VALUE(RIGHT(B81,2)),VALUE(MID(B81,4,2)),VALUE(LEFT(B81,2))),"")))),IFERROR(MAX(0,TODAY()-DATE(2000+VALUE(RIGHT(B81,2)),VALUE(MID(B81,4,2)),VALUE(LEFT(B81,2))),"")))</f>
        <v/>
      </c>
      <c r="J81" s="82" t="n"/>
      <c r="K81" s="82" t="n"/>
      <c r="L81" s="82" t="n"/>
      <c r="M81" s="44">
        <f>IF(AND(H81="OCCUPIED",J81&lt;&gt;"",K81=""),1,0)</f>
        <v/>
      </c>
      <c r="N81" s="44">
        <f>IF(M81=1,COUNTIF($M$2:M81,1),"")</f>
        <v/>
      </c>
      <c r="O81" s="44">
        <f>IF(AND(J81&lt;&gt;"",K81=""),IF(ISNUMBER(J81),IF(TODAY()-(IF(ISNUMBER(J81),J81,IFERROR(DATE(2000+VALUE(RIGHT(J81,2)),VALUE(MID(J81,4,2)),VALUE(LEFT(J81,2))),"")))&gt;5,1,0),IFERROR(IF(TODAY()-DATE(2000+VALUE(RIGHT(J81,2)),VALUE(MID(J81,4,2)),VALUE(LEFT(J81,2)))&gt;5,1,0),0)),0)</f>
        <v/>
      </c>
      <c r="P81" s="44">
        <f>IF(O81=1,COUNTIF($O$2:O81,1),"")</f>
        <v/>
      </c>
      <c r="Q81" s="77">
        <f>IF(OR(B81="",G81="",H81&lt;&gt;"OCCUPIED"),"",IF(ISNUMBER(SEARCH("WHEAT",G81)),SUMPRODUCT(--ISNUMBER(SEARCH("WHEAT",$G$2:$G$100))*--($H$2:$H$100="OCCUPIED")*--($B$2:$B$100&lt;&gt;"")*--(IF(ISNUMBER($B$2:$B$100),$B$2:$B$100,IFERROR(DATE(2000+VALUE(RIGHT($B$2:$B$100,2)),VALUE(MID($B$2:$B$100,4,2)),VALUE(LEFT($B$2:$B$100,2))),0))&lt;IF(ISNUMBER(B81),B81,IFERROR(DATE(2000+VALUE(RIGHT(B81,2)),VALUE(MID(B81,4,2)),VALUE(LEFT(B81,2))),0))))+SUMPRODUCT(--ISNUMBER(SEARCH("WHEAT",$G$2:$G81))*--($H$2:$H81="OCCUPIED")*--($B$2:$B81&lt;&gt;"")*--(IF(ISNUMBER($B$2:$B81),$B$2:$B81,IFERROR(DATE(2000+VALUE(RIGHT($B$2:$B81,2)),VALUE(MID($B$2:$B81,4,2)),VALUE(LEFT($B$2:$B81,2))),0))=IF(ISNUMBER(B81),B81,IFERROR(DATE(2000+VALUE(RIGHT(B81,2)),VALUE(MID(B81,4,2)),VALUE(LEFT(B81,2))),0)))),""))</f>
        <v/>
      </c>
      <c r="R81" s="77">
        <f>IF(OR(B81="",G81="",H81&lt;&gt;"OCCUPIED"),"",IF(NOT(ISNUMBER(SEARCH("WHEAT",G81))),SUMPRODUCT(--($G$2:$G$100&lt;&gt;"")*--ISERROR(SEARCH("WHEAT",$G$2:$G$100))*--($H$2:$H$100="OCCUPIED")*--($B$2:$B$100&lt;&gt;"")*--(IF(ISNUMBER($B$2:$B$100),$B$2:$B$100,IFERROR(DATE(2000+VALUE(RIGHT($B$2:$B$100,2)),VALUE(MID($B$2:$B$100,4,2)),VALUE(LEFT($B$2:$B$100,2))),0))&lt;IF(ISNUMBER(B81),B81,IFERROR(DATE(2000+VALUE(RIGHT(B81,2)),VALUE(MID(B81,4,2)),VALUE(LEFT(B81,2))),0))))+SUMPRODUCT(--($G$2:$G81&lt;&gt;"")*--ISERROR(SEARCH("WHEAT",$G$2:$G81))*--($H$2:$H81="OCCUPIED")*--($B$2:$B81&lt;&gt;"")*--(IF(ISNUMBER($B$2:$B81),$B$2:$B81,IFERROR(DATE(2000+VALUE(RIGHT($B$2:$B81,2)),VALUE(MID($B$2:$B81,4,2)),VALUE(LEFT($B$2:$B81,2))),0))=IF(ISNUMBER(B81),B81,IFERROR(DATE(2000+VALUE(RIGHT(B81,2)),VALUE(MID(B81,4,2)),VALUE(LEFT(B81,2))),0)))),""))</f>
        <v/>
      </c>
    </row>
    <row r="82" ht="15.75" customHeight="1" s="42">
      <c r="A82" s="44">
        <f>IF(D82="","",ROWS($D$2:D82))</f>
        <v/>
      </c>
      <c r="B82" s="82" t="n"/>
      <c r="C82" s="83" t="n"/>
      <c r="D82" s="83" t="n"/>
      <c r="E82" s="83" t="n"/>
      <c r="F82" s="83" t="n"/>
      <c r="G82" s="83" t="n"/>
      <c r="H82" s="44">
        <f>IF(AND(E82="",F82="",G82=""),"EMPTY","OCCUPIED")</f>
        <v/>
      </c>
      <c r="I82" s="44">
        <f>IF(B82="","",IF(ISNUMBER(B82),MAX(0,TODAY()-(IF(ISNUMBER(B82),B82,IFERROR(DATE(2000+VALUE(RIGHT(B82,2)),VALUE(MID(B82,4,2)),VALUE(LEFT(B82,2))),"")))),IFERROR(MAX(0,TODAY()-DATE(2000+VALUE(RIGHT(B82,2)),VALUE(MID(B82,4,2)),VALUE(LEFT(B82,2))),"")))</f>
        <v/>
      </c>
      <c r="J82" s="82" t="n"/>
      <c r="K82" s="82" t="n"/>
      <c r="L82" s="82" t="n"/>
      <c r="M82" s="44">
        <f>IF(AND(H82="OCCUPIED",J82&lt;&gt;"",K82=""),1,0)</f>
        <v/>
      </c>
      <c r="N82" s="44">
        <f>IF(M82=1,COUNTIF($M$2:M82,1),"")</f>
        <v/>
      </c>
      <c r="O82" s="44">
        <f>IF(AND(J82&lt;&gt;"",K82=""),IF(ISNUMBER(J82),IF(TODAY()-(IF(ISNUMBER(J82),J82,IFERROR(DATE(2000+VALUE(RIGHT(J82,2)),VALUE(MID(J82,4,2)),VALUE(LEFT(J82,2))),"")))&gt;5,1,0),IFERROR(IF(TODAY()-DATE(2000+VALUE(RIGHT(J82,2)),VALUE(MID(J82,4,2)),VALUE(LEFT(J82,2)))&gt;5,1,0),0)),0)</f>
        <v/>
      </c>
      <c r="P82" s="44">
        <f>IF(O82=1,COUNTIF($O$2:O82,1),"")</f>
        <v/>
      </c>
      <c r="Q82" s="77">
        <f>IF(OR(B82="",G82="",H82&lt;&gt;"OCCUPIED"),"",IF(ISNUMBER(SEARCH("WHEAT",G82)),SUMPRODUCT(--ISNUMBER(SEARCH("WHEAT",$G$2:$G$100))*--($H$2:$H$100="OCCUPIED")*--($B$2:$B$100&lt;&gt;"")*--(IF(ISNUMBER($B$2:$B$100),$B$2:$B$100,IFERROR(DATE(2000+VALUE(RIGHT($B$2:$B$100,2)),VALUE(MID($B$2:$B$100,4,2)),VALUE(LEFT($B$2:$B$100,2))),0))&lt;IF(ISNUMBER(B82),B82,IFERROR(DATE(2000+VALUE(RIGHT(B82,2)),VALUE(MID(B82,4,2)),VALUE(LEFT(B82,2))),0))))+SUMPRODUCT(--ISNUMBER(SEARCH("WHEAT",$G$2:$G82))*--($H$2:$H82="OCCUPIED")*--($B$2:$B82&lt;&gt;"")*--(IF(ISNUMBER($B$2:$B82),$B$2:$B82,IFERROR(DATE(2000+VALUE(RIGHT($B$2:$B82,2)),VALUE(MID($B$2:$B82,4,2)),VALUE(LEFT($B$2:$B82,2))),0))=IF(ISNUMBER(B82),B82,IFERROR(DATE(2000+VALUE(RIGHT(B82,2)),VALUE(MID(B82,4,2)),VALUE(LEFT(B82,2))),0)))),""))</f>
        <v/>
      </c>
      <c r="R82" s="77">
        <f>IF(OR(B82="",G82="",H82&lt;&gt;"OCCUPIED"),"",IF(NOT(ISNUMBER(SEARCH("WHEAT",G82))),SUMPRODUCT(--($G$2:$G$100&lt;&gt;"")*--ISERROR(SEARCH("WHEAT",$G$2:$G$100))*--($H$2:$H$100="OCCUPIED")*--($B$2:$B$100&lt;&gt;"")*--(IF(ISNUMBER($B$2:$B$100),$B$2:$B$100,IFERROR(DATE(2000+VALUE(RIGHT($B$2:$B$100,2)),VALUE(MID($B$2:$B$100,4,2)),VALUE(LEFT($B$2:$B$100,2))),0))&lt;IF(ISNUMBER(B82),B82,IFERROR(DATE(2000+VALUE(RIGHT(B82,2)),VALUE(MID(B82,4,2)),VALUE(LEFT(B82,2))),0))))+SUMPRODUCT(--($G$2:$G82&lt;&gt;"")*--ISERROR(SEARCH("WHEAT",$G$2:$G82))*--($H$2:$H82="OCCUPIED")*--($B$2:$B82&lt;&gt;"")*--(IF(ISNUMBER($B$2:$B82),$B$2:$B82,IFERROR(DATE(2000+VALUE(RIGHT($B$2:$B82,2)),VALUE(MID($B$2:$B82,4,2)),VALUE(LEFT($B$2:$B82,2))),0))=IF(ISNUMBER(B82),B82,IFERROR(DATE(2000+VALUE(RIGHT(B82,2)),VALUE(MID(B82,4,2)),VALUE(LEFT(B82,2))),0)))),""))</f>
        <v/>
      </c>
    </row>
    <row r="83" ht="15.75" customHeight="1" s="42">
      <c r="A83" s="44">
        <f>IF(D83="","",ROWS($D$2:D83))</f>
        <v/>
      </c>
      <c r="B83" s="82" t="n"/>
      <c r="C83" s="83" t="n"/>
      <c r="D83" s="83" t="n"/>
      <c r="E83" s="83" t="n"/>
      <c r="F83" s="83" t="n"/>
      <c r="G83" s="83" t="n"/>
      <c r="H83" s="44">
        <f>IF(AND(E83="",F83="",G83=""),"EMPTY","OCCUPIED")</f>
        <v/>
      </c>
      <c r="I83" s="44">
        <f>IF(B83="","",IF(ISNUMBER(B83),MAX(0,TODAY()-(IF(ISNUMBER(B83),B83,IFERROR(DATE(2000+VALUE(RIGHT(B83,2)),VALUE(MID(B83,4,2)),VALUE(LEFT(B83,2))),"")))),IFERROR(MAX(0,TODAY()-DATE(2000+VALUE(RIGHT(B83,2)),VALUE(MID(B83,4,2)),VALUE(LEFT(B83,2))),"")))</f>
        <v/>
      </c>
      <c r="J83" s="82" t="n"/>
      <c r="K83" s="82" t="n"/>
      <c r="L83" s="82" t="n"/>
      <c r="M83" s="44">
        <f>IF(AND(H83="OCCUPIED",J83&lt;&gt;"",K83=""),1,0)</f>
        <v/>
      </c>
      <c r="N83" s="44">
        <f>IF(M83=1,COUNTIF($M$2:M83,1),"")</f>
        <v/>
      </c>
      <c r="O83" s="44">
        <f>IF(AND(J83&lt;&gt;"",K83=""),IF(ISNUMBER(J83),IF(TODAY()-(IF(ISNUMBER(J83),J83,IFERROR(DATE(2000+VALUE(RIGHT(J83,2)),VALUE(MID(J83,4,2)),VALUE(LEFT(J83,2))),"")))&gt;5,1,0),IFERROR(IF(TODAY()-DATE(2000+VALUE(RIGHT(J83,2)),VALUE(MID(J83,4,2)),VALUE(LEFT(J83,2)))&gt;5,1,0),0)),0)</f>
        <v/>
      </c>
      <c r="P83" s="44">
        <f>IF(O83=1,COUNTIF($O$2:O83,1),"")</f>
        <v/>
      </c>
      <c r="Q83" s="77">
        <f>IF(OR(B83="",G83="",H83&lt;&gt;"OCCUPIED"),"",IF(ISNUMBER(SEARCH("WHEAT",G83)),SUMPRODUCT(--ISNUMBER(SEARCH("WHEAT",$G$2:$G$100))*--($H$2:$H$100="OCCUPIED")*--($B$2:$B$100&lt;&gt;"")*--(IF(ISNUMBER($B$2:$B$100),$B$2:$B$100,IFERROR(DATE(2000+VALUE(RIGHT($B$2:$B$100,2)),VALUE(MID($B$2:$B$100,4,2)),VALUE(LEFT($B$2:$B$100,2))),0))&lt;IF(ISNUMBER(B83),B83,IFERROR(DATE(2000+VALUE(RIGHT(B83,2)),VALUE(MID(B83,4,2)),VALUE(LEFT(B83,2))),0))))+SUMPRODUCT(--ISNUMBER(SEARCH("WHEAT",$G$2:$G83))*--($H$2:$H83="OCCUPIED")*--($B$2:$B83&lt;&gt;"")*--(IF(ISNUMBER($B$2:$B83),$B$2:$B83,IFERROR(DATE(2000+VALUE(RIGHT($B$2:$B83,2)),VALUE(MID($B$2:$B83,4,2)),VALUE(LEFT($B$2:$B83,2))),0))=IF(ISNUMBER(B83),B83,IFERROR(DATE(2000+VALUE(RIGHT(B83,2)),VALUE(MID(B83,4,2)),VALUE(LEFT(B83,2))),0)))),""))</f>
        <v/>
      </c>
      <c r="R83" s="77">
        <f>IF(OR(B83="",G83="",H83&lt;&gt;"OCCUPIED"),"",IF(NOT(ISNUMBER(SEARCH("WHEAT",G83))),SUMPRODUCT(--($G$2:$G$100&lt;&gt;"")*--ISERROR(SEARCH("WHEAT",$G$2:$G$100))*--($H$2:$H$100="OCCUPIED")*--($B$2:$B$100&lt;&gt;"")*--(IF(ISNUMBER($B$2:$B$100),$B$2:$B$100,IFERROR(DATE(2000+VALUE(RIGHT($B$2:$B$100,2)),VALUE(MID($B$2:$B$100,4,2)),VALUE(LEFT($B$2:$B$100,2))),0))&lt;IF(ISNUMBER(B83),B83,IFERROR(DATE(2000+VALUE(RIGHT(B83,2)),VALUE(MID(B83,4,2)),VALUE(LEFT(B83,2))),0))))+SUMPRODUCT(--($G$2:$G83&lt;&gt;"")*--ISERROR(SEARCH("WHEAT",$G$2:$G83))*--($H$2:$H83="OCCUPIED")*--($B$2:$B83&lt;&gt;"")*--(IF(ISNUMBER($B$2:$B83),$B$2:$B83,IFERROR(DATE(2000+VALUE(RIGHT($B$2:$B83,2)),VALUE(MID($B$2:$B83,4,2)),VALUE(LEFT($B$2:$B83,2))),0))=IF(ISNUMBER(B83),B83,IFERROR(DATE(2000+VALUE(RIGHT(B83,2)),VALUE(MID(B83,4,2)),VALUE(LEFT(B83,2))),0)))),""))</f>
        <v/>
      </c>
    </row>
    <row r="84" ht="15.75" customHeight="1" s="42">
      <c r="A84" s="44">
        <f>IF(D84="","",ROWS($D$2:D84))</f>
        <v/>
      </c>
      <c r="B84" s="82" t="n"/>
      <c r="C84" s="83" t="n"/>
      <c r="D84" s="83" t="n"/>
      <c r="E84" s="83" t="n"/>
      <c r="F84" s="83" t="n"/>
      <c r="G84" s="83" t="n"/>
      <c r="H84" s="44">
        <f>IF(AND(E84="",F84="",G84=""),"EMPTY","OCCUPIED")</f>
        <v/>
      </c>
      <c r="I84" s="44">
        <f>IF(B84="","",IF(ISNUMBER(B84),MAX(0,TODAY()-(IF(ISNUMBER(B84),B84,IFERROR(DATE(2000+VALUE(RIGHT(B84,2)),VALUE(MID(B84,4,2)),VALUE(LEFT(B84,2))),"")))),IFERROR(MAX(0,TODAY()-DATE(2000+VALUE(RIGHT(B84,2)),VALUE(MID(B84,4,2)),VALUE(LEFT(B84,2))),"")))</f>
        <v/>
      </c>
      <c r="J84" s="82" t="n"/>
      <c r="K84" s="82" t="n"/>
      <c r="L84" s="82" t="n"/>
      <c r="M84" s="44">
        <f>IF(AND(H84="OCCUPIED",J84&lt;&gt;"",K84=""),1,0)</f>
        <v/>
      </c>
      <c r="N84" s="44">
        <f>IF(M84=1,COUNTIF($M$2:M84,1),"")</f>
        <v/>
      </c>
      <c r="O84" s="44">
        <f>IF(AND(J84&lt;&gt;"",K84=""),IF(ISNUMBER(J84),IF(TODAY()-(IF(ISNUMBER(J84),J84,IFERROR(DATE(2000+VALUE(RIGHT(J84,2)),VALUE(MID(J84,4,2)),VALUE(LEFT(J84,2))),"")))&gt;5,1,0),IFERROR(IF(TODAY()-DATE(2000+VALUE(RIGHT(J84,2)),VALUE(MID(J84,4,2)),VALUE(LEFT(J84,2)))&gt;5,1,0),0)),0)</f>
        <v/>
      </c>
      <c r="P84" s="44">
        <f>IF(O84=1,COUNTIF($O$2:O84,1),"")</f>
        <v/>
      </c>
      <c r="Q84" s="77">
        <f>IF(OR(B84="",G84="",H84&lt;&gt;"OCCUPIED"),"",IF(ISNUMBER(SEARCH("WHEAT",G84)),SUMPRODUCT(--ISNUMBER(SEARCH("WHEAT",$G$2:$G$100))*--($H$2:$H$100="OCCUPIED")*--($B$2:$B$100&lt;&gt;"")*--(IF(ISNUMBER($B$2:$B$100),$B$2:$B$100,IFERROR(DATE(2000+VALUE(RIGHT($B$2:$B$100,2)),VALUE(MID($B$2:$B$100,4,2)),VALUE(LEFT($B$2:$B$100,2))),0))&lt;IF(ISNUMBER(B84),B84,IFERROR(DATE(2000+VALUE(RIGHT(B84,2)),VALUE(MID(B84,4,2)),VALUE(LEFT(B84,2))),0))))+SUMPRODUCT(--ISNUMBER(SEARCH("WHEAT",$G$2:$G84))*--($H$2:$H84="OCCUPIED")*--($B$2:$B84&lt;&gt;"")*--(IF(ISNUMBER($B$2:$B84),$B$2:$B84,IFERROR(DATE(2000+VALUE(RIGHT($B$2:$B84,2)),VALUE(MID($B$2:$B84,4,2)),VALUE(LEFT($B$2:$B84,2))),0))=IF(ISNUMBER(B84),B84,IFERROR(DATE(2000+VALUE(RIGHT(B84,2)),VALUE(MID(B84,4,2)),VALUE(LEFT(B84,2))),0)))),""))</f>
        <v/>
      </c>
      <c r="R84" s="77">
        <f>IF(OR(B84="",G84="",H84&lt;&gt;"OCCUPIED"),"",IF(NOT(ISNUMBER(SEARCH("WHEAT",G84))),SUMPRODUCT(--($G$2:$G$100&lt;&gt;"")*--ISERROR(SEARCH("WHEAT",$G$2:$G$100))*--($H$2:$H$100="OCCUPIED")*--($B$2:$B$100&lt;&gt;"")*--(IF(ISNUMBER($B$2:$B$100),$B$2:$B$100,IFERROR(DATE(2000+VALUE(RIGHT($B$2:$B$100,2)),VALUE(MID($B$2:$B$100,4,2)),VALUE(LEFT($B$2:$B$100,2))),0))&lt;IF(ISNUMBER(B84),B84,IFERROR(DATE(2000+VALUE(RIGHT(B84,2)),VALUE(MID(B84,4,2)),VALUE(LEFT(B84,2))),0))))+SUMPRODUCT(--($G$2:$G84&lt;&gt;"")*--ISERROR(SEARCH("WHEAT",$G$2:$G84))*--($H$2:$H84="OCCUPIED")*--($B$2:$B84&lt;&gt;"")*--(IF(ISNUMBER($B$2:$B84),$B$2:$B84,IFERROR(DATE(2000+VALUE(RIGHT($B$2:$B84,2)),VALUE(MID($B$2:$B84,4,2)),VALUE(LEFT($B$2:$B84,2))),0))=IF(ISNUMBER(B84),B84,IFERROR(DATE(2000+VALUE(RIGHT(B84,2)),VALUE(MID(B84,4,2)),VALUE(LEFT(B84,2))),0)))),""))</f>
        <v/>
      </c>
    </row>
    <row r="85" ht="15.75" customHeight="1" s="42">
      <c r="A85" s="44">
        <f>IF(D85="","",ROWS($D$2:D85))</f>
        <v/>
      </c>
      <c r="B85" s="82" t="n"/>
      <c r="C85" s="83" t="n"/>
      <c r="D85" s="83" t="n"/>
      <c r="E85" s="83" t="n"/>
      <c r="F85" s="83" t="n"/>
      <c r="G85" s="83" t="n"/>
      <c r="H85" s="44">
        <f>IF(AND(E85="",F85="",G85=""),"EMPTY","OCCUPIED")</f>
        <v/>
      </c>
      <c r="I85" s="44">
        <f>IF(B85="","",IF(ISNUMBER(B85),MAX(0,TODAY()-(IF(ISNUMBER(B85),B85,IFERROR(DATE(2000+VALUE(RIGHT(B85,2)),VALUE(MID(B85,4,2)),VALUE(LEFT(B85,2))),"")))),IFERROR(MAX(0,TODAY()-DATE(2000+VALUE(RIGHT(B85,2)),VALUE(MID(B85,4,2)),VALUE(LEFT(B85,2))),"")))</f>
        <v/>
      </c>
      <c r="J85" s="82" t="n"/>
      <c r="K85" s="82" t="n"/>
      <c r="L85" s="82" t="n"/>
      <c r="M85" s="44">
        <f>IF(AND(H85="OCCUPIED",J85&lt;&gt;"",K85=""),1,0)</f>
        <v/>
      </c>
      <c r="N85" s="44">
        <f>IF(M85=1,COUNTIF($M$2:M85,1),"")</f>
        <v/>
      </c>
      <c r="O85" s="44">
        <f>IF(AND(J85&lt;&gt;"",K85=""),IF(ISNUMBER(J85),IF(TODAY()-(IF(ISNUMBER(J85),J85,IFERROR(DATE(2000+VALUE(RIGHT(J85,2)),VALUE(MID(J85,4,2)),VALUE(LEFT(J85,2))),"")))&gt;5,1,0),IFERROR(IF(TODAY()-DATE(2000+VALUE(RIGHT(J85,2)),VALUE(MID(J85,4,2)),VALUE(LEFT(J85,2)))&gt;5,1,0),0)),0)</f>
        <v/>
      </c>
      <c r="P85" s="44">
        <f>IF(O85=1,COUNTIF($O$2:O85,1),"")</f>
        <v/>
      </c>
      <c r="Q85" s="77">
        <f>IF(OR(B85="",G85="",H85&lt;&gt;"OCCUPIED"),"",IF(ISNUMBER(SEARCH("WHEAT",G85)),SUMPRODUCT(--ISNUMBER(SEARCH("WHEAT",$G$2:$G$100))*--($H$2:$H$100="OCCUPIED")*--($B$2:$B$100&lt;&gt;"")*--(IF(ISNUMBER($B$2:$B$100),$B$2:$B$100,IFERROR(DATE(2000+VALUE(RIGHT($B$2:$B$100,2)),VALUE(MID($B$2:$B$100,4,2)),VALUE(LEFT($B$2:$B$100,2))),0))&lt;IF(ISNUMBER(B85),B85,IFERROR(DATE(2000+VALUE(RIGHT(B85,2)),VALUE(MID(B85,4,2)),VALUE(LEFT(B85,2))),0))))+SUMPRODUCT(--ISNUMBER(SEARCH("WHEAT",$G$2:$G85))*--($H$2:$H85="OCCUPIED")*--($B$2:$B85&lt;&gt;"")*--(IF(ISNUMBER($B$2:$B85),$B$2:$B85,IFERROR(DATE(2000+VALUE(RIGHT($B$2:$B85,2)),VALUE(MID($B$2:$B85,4,2)),VALUE(LEFT($B$2:$B85,2))),0))=IF(ISNUMBER(B85),B85,IFERROR(DATE(2000+VALUE(RIGHT(B85,2)),VALUE(MID(B85,4,2)),VALUE(LEFT(B85,2))),0)))),""))</f>
        <v/>
      </c>
      <c r="R85" s="77">
        <f>IF(OR(B85="",G85="",H85&lt;&gt;"OCCUPIED"),"",IF(NOT(ISNUMBER(SEARCH("WHEAT",G85))),SUMPRODUCT(--($G$2:$G$100&lt;&gt;"")*--ISERROR(SEARCH("WHEAT",$G$2:$G$100))*--($H$2:$H$100="OCCUPIED")*--($B$2:$B$100&lt;&gt;"")*--(IF(ISNUMBER($B$2:$B$100),$B$2:$B$100,IFERROR(DATE(2000+VALUE(RIGHT($B$2:$B$100,2)),VALUE(MID($B$2:$B$100,4,2)),VALUE(LEFT($B$2:$B$100,2))),0))&lt;IF(ISNUMBER(B85),B85,IFERROR(DATE(2000+VALUE(RIGHT(B85,2)),VALUE(MID(B85,4,2)),VALUE(LEFT(B85,2))),0))))+SUMPRODUCT(--($G$2:$G85&lt;&gt;"")*--ISERROR(SEARCH("WHEAT",$G$2:$G85))*--($H$2:$H85="OCCUPIED")*--($B$2:$B85&lt;&gt;"")*--(IF(ISNUMBER($B$2:$B85),$B$2:$B85,IFERROR(DATE(2000+VALUE(RIGHT($B$2:$B85,2)),VALUE(MID($B$2:$B85,4,2)),VALUE(LEFT($B$2:$B85,2))),0))=IF(ISNUMBER(B85),B85,IFERROR(DATE(2000+VALUE(RIGHT(B85,2)),VALUE(MID(B85,4,2)),VALUE(LEFT(B85,2))),0)))),""))</f>
        <v/>
      </c>
    </row>
    <row r="86" ht="15.75" customHeight="1" s="42">
      <c r="A86" s="44">
        <f>IF(D86="","",ROWS($D$2:D86))</f>
        <v/>
      </c>
      <c r="B86" s="82" t="n"/>
      <c r="C86" s="83" t="n"/>
      <c r="D86" s="83" t="n"/>
      <c r="E86" s="83" t="n"/>
      <c r="F86" s="83" t="n"/>
      <c r="G86" s="83" t="n"/>
      <c r="H86" s="44">
        <f>IF(AND(E86="",F86="",G86=""),"EMPTY","OCCUPIED")</f>
        <v/>
      </c>
      <c r="I86" s="44">
        <f>IF(B86="","",IF(ISNUMBER(B86),MAX(0,TODAY()-(IF(ISNUMBER(B86),B86,IFERROR(DATE(2000+VALUE(RIGHT(B86,2)),VALUE(MID(B86,4,2)),VALUE(LEFT(B86,2))),"")))),IFERROR(MAX(0,TODAY()-DATE(2000+VALUE(RIGHT(B86,2)),VALUE(MID(B86,4,2)),VALUE(LEFT(B86,2))),"")))</f>
        <v/>
      </c>
      <c r="J86" s="82" t="n"/>
      <c r="K86" s="82" t="n"/>
      <c r="L86" s="82" t="n"/>
      <c r="M86" s="44">
        <f>IF(AND(H86="OCCUPIED",J86&lt;&gt;"",K86=""),1,0)</f>
        <v/>
      </c>
      <c r="N86" s="44">
        <f>IF(M86=1,COUNTIF($M$2:M86,1),"")</f>
        <v/>
      </c>
      <c r="O86" s="44">
        <f>IF(AND(J86&lt;&gt;"",K86=""),IF(ISNUMBER(J86),IF(TODAY()-(IF(ISNUMBER(J86),J86,IFERROR(DATE(2000+VALUE(RIGHT(J86,2)),VALUE(MID(J86,4,2)),VALUE(LEFT(J86,2))),"")))&gt;5,1,0),IFERROR(IF(TODAY()-DATE(2000+VALUE(RIGHT(J86,2)),VALUE(MID(J86,4,2)),VALUE(LEFT(J86,2)))&gt;5,1,0),0)),0)</f>
        <v/>
      </c>
      <c r="P86" s="44">
        <f>IF(O86=1,COUNTIF($O$2:O86,1),"")</f>
        <v/>
      </c>
      <c r="Q86" s="77">
        <f>IF(OR(B86="",G86="",H86&lt;&gt;"OCCUPIED"),"",IF(ISNUMBER(SEARCH("WHEAT",G86)),SUMPRODUCT(--ISNUMBER(SEARCH("WHEAT",$G$2:$G$100))*--($H$2:$H$100="OCCUPIED")*--($B$2:$B$100&lt;&gt;"")*--(IF(ISNUMBER($B$2:$B$100),$B$2:$B$100,IFERROR(DATE(2000+VALUE(RIGHT($B$2:$B$100,2)),VALUE(MID($B$2:$B$100,4,2)),VALUE(LEFT($B$2:$B$100,2))),0))&lt;IF(ISNUMBER(B86),B86,IFERROR(DATE(2000+VALUE(RIGHT(B86,2)),VALUE(MID(B86,4,2)),VALUE(LEFT(B86,2))),0))))+SUMPRODUCT(--ISNUMBER(SEARCH("WHEAT",$G$2:$G86))*--($H$2:$H86="OCCUPIED")*--($B$2:$B86&lt;&gt;"")*--(IF(ISNUMBER($B$2:$B86),$B$2:$B86,IFERROR(DATE(2000+VALUE(RIGHT($B$2:$B86,2)),VALUE(MID($B$2:$B86,4,2)),VALUE(LEFT($B$2:$B86,2))),0))=IF(ISNUMBER(B86),B86,IFERROR(DATE(2000+VALUE(RIGHT(B86,2)),VALUE(MID(B86,4,2)),VALUE(LEFT(B86,2))),0)))),""))</f>
        <v/>
      </c>
      <c r="R86" s="77">
        <f>IF(OR(B86="",G86="",H86&lt;&gt;"OCCUPIED"),"",IF(NOT(ISNUMBER(SEARCH("WHEAT",G86))),SUMPRODUCT(--($G$2:$G$100&lt;&gt;"")*--ISERROR(SEARCH("WHEAT",$G$2:$G$100))*--($H$2:$H$100="OCCUPIED")*--($B$2:$B$100&lt;&gt;"")*--(IF(ISNUMBER($B$2:$B$100),$B$2:$B$100,IFERROR(DATE(2000+VALUE(RIGHT($B$2:$B$100,2)),VALUE(MID($B$2:$B$100,4,2)),VALUE(LEFT($B$2:$B$100,2))),0))&lt;IF(ISNUMBER(B86),B86,IFERROR(DATE(2000+VALUE(RIGHT(B86,2)),VALUE(MID(B86,4,2)),VALUE(LEFT(B86,2))),0))))+SUMPRODUCT(--($G$2:$G86&lt;&gt;"")*--ISERROR(SEARCH("WHEAT",$G$2:$G86))*--($H$2:$H86="OCCUPIED")*--($B$2:$B86&lt;&gt;"")*--(IF(ISNUMBER($B$2:$B86),$B$2:$B86,IFERROR(DATE(2000+VALUE(RIGHT($B$2:$B86,2)),VALUE(MID($B$2:$B86,4,2)),VALUE(LEFT($B$2:$B86,2))),0))=IF(ISNUMBER(B86),B86,IFERROR(DATE(2000+VALUE(RIGHT(B86,2)),VALUE(MID(B86,4,2)),VALUE(LEFT(B86,2))),0)))),""))</f>
        <v/>
      </c>
    </row>
    <row r="87" ht="15.75" customHeight="1" s="42">
      <c r="A87" s="44">
        <f>IF(D87="","",ROWS($D$2:D87))</f>
        <v/>
      </c>
      <c r="B87" s="82" t="n"/>
      <c r="C87" s="83" t="n"/>
      <c r="D87" s="83" t="n"/>
      <c r="E87" s="83" t="n"/>
      <c r="F87" s="83" t="n"/>
      <c r="G87" s="83" t="n"/>
      <c r="H87" s="44">
        <f>IF(AND(E87="",F87="",G87=""),"EMPTY","OCCUPIED")</f>
        <v/>
      </c>
      <c r="I87" s="44">
        <f>IF(B87="","",IF(ISNUMBER(B87),MAX(0,TODAY()-(IF(ISNUMBER(B87),B87,IFERROR(DATE(2000+VALUE(RIGHT(B87,2)),VALUE(MID(B87,4,2)),VALUE(LEFT(B87,2))),"")))),IFERROR(MAX(0,TODAY()-DATE(2000+VALUE(RIGHT(B87,2)),VALUE(MID(B87,4,2)),VALUE(LEFT(B87,2))),"")))</f>
        <v/>
      </c>
      <c r="J87" s="82" t="n"/>
      <c r="K87" s="82" t="n"/>
      <c r="L87" s="82" t="n"/>
      <c r="M87" s="44">
        <f>IF(AND(H87="OCCUPIED",J87&lt;&gt;"",K87=""),1,0)</f>
        <v/>
      </c>
      <c r="N87" s="44">
        <f>IF(M87=1,COUNTIF($M$2:M87,1),"")</f>
        <v/>
      </c>
      <c r="O87" s="44">
        <f>IF(AND(J87&lt;&gt;"",K87=""),IF(ISNUMBER(J87),IF(TODAY()-(IF(ISNUMBER(J87),J87,IFERROR(DATE(2000+VALUE(RIGHT(J87,2)),VALUE(MID(J87,4,2)),VALUE(LEFT(J87,2))),"")))&gt;5,1,0),IFERROR(IF(TODAY()-DATE(2000+VALUE(RIGHT(J87,2)),VALUE(MID(J87,4,2)),VALUE(LEFT(J87,2)))&gt;5,1,0),0)),0)</f>
        <v/>
      </c>
      <c r="P87" s="44">
        <f>IF(O87=1,COUNTIF($O$2:O87,1),"")</f>
        <v/>
      </c>
      <c r="Q87" s="77">
        <f>IF(OR(B87="",G87="",H87&lt;&gt;"OCCUPIED"),"",IF(ISNUMBER(SEARCH("WHEAT",G87)),SUMPRODUCT(--ISNUMBER(SEARCH("WHEAT",$G$2:$G$100))*--($H$2:$H$100="OCCUPIED")*--($B$2:$B$100&lt;&gt;"")*--(IF(ISNUMBER($B$2:$B$100),$B$2:$B$100,IFERROR(DATE(2000+VALUE(RIGHT($B$2:$B$100,2)),VALUE(MID($B$2:$B$100,4,2)),VALUE(LEFT($B$2:$B$100,2))),0))&lt;IF(ISNUMBER(B87),B87,IFERROR(DATE(2000+VALUE(RIGHT(B87,2)),VALUE(MID(B87,4,2)),VALUE(LEFT(B87,2))),0))))+SUMPRODUCT(--ISNUMBER(SEARCH("WHEAT",$G$2:$G87))*--($H$2:$H87="OCCUPIED")*--($B$2:$B87&lt;&gt;"")*--(IF(ISNUMBER($B$2:$B87),$B$2:$B87,IFERROR(DATE(2000+VALUE(RIGHT($B$2:$B87,2)),VALUE(MID($B$2:$B87,4,2)),VALUE(LEFT($B$2:$B87,2))),0))=IF(ISNUMBER(B87),B87,IFERROR(DATE(2000+VALUE(RIGHT(B87,2)),VALUE(MID(B87,4,2)),VALUE(LEFT(B87,2))),0)))),""))</f>
        <v/>
      </c>
      <c r="R87" s="77">
        <f>IF(OR(B87="",G87="",H87&lt;&gt;"OCCUPIED"),"",IF(NOT(ISNUMBER(SEARCH("WHEAT",G87))),SUMPRODUCT(--($G$2:$G$100&lt;&gt;"")*--ISERROR(SEARCH("WHEAT",$G$2:$G$100))*--($H$2:$H$100="OCCUPIED")*--($B$2:$B$100&lt;&gt;"")*--(IF(ISNUMBER($B$2:$B$100),$B$2:$B$100,IFERROR(DATE(2000+VALUE(RIGHT($B$2:$B$100,2)),VALUE(MID($B$2:$B$100,4,2)),VALUE(LEFT($B$2:$B$100,2))),0))&lt;IF(ISNUMBER(B87),B87,IFERROR(DATE(2000+VALUE(RIGHT(B87,2)),VALUE(MID(B87,4,2)),VALUE(LEFT(B87,2))),0))))+SUMPRODUCT(--($G$2:$G87&lt;&gt;"")*--ISERROR(SEARCH("WHEAT",$G$2:$G87))*--($H$2:$H87="OCCUPIED")*--($B$2:$B87&lt;&gt;"")*--(IF(ISNUMBER($B$2:$B87),$B$2:$B87,IFERROR(DATE(2000+VALUE(RIGHT($B$2:$B87,2)),VALUE(MID($B$2:$B87,4,2)),VALUE(LEFT($B$2:$B87,2))),0))=IF(ISNUMBER(B87),B87,IFERROR(DATE(2000+VALUE(RIGHT(B87,2)),VALUE(MID(B87,4,2)),VALUE(LEFT(B87,2))),0)))),""))</f>
        <v/>
      </c>
    </row>
    <row r="88" ht="15.75" customHeight="1" s="42">
      <c r="A88" s="44">
        <f>IF(D88="","",ROWS($D$2:D88))</f>
        <v/>
      </c>
      <c r="B88" s="82" t="n"/>
      <c r="C88" s="83" t="n"/>
      <c r="D88" s="83" t="n"/>
      <c r="E88" s="83" t="n"/>
      <c r="F88" s="83" t="n"/>
      <c r="G88" s="83" t="n"/>
      <c r="H88" s="44">
        <f>IF(AND(E88="",F88="",G88=""),"EMPTY","OCCUPIED")</f>
        <v/>
      </c>
      <c r="I88" s="44">
        <f>IF(B88="","",IF(ISNUMBER(B88),MAX(0,TODAY()-(IF(ISNUMBER(B88),B88,IFERROR(DATE(2000+VALUE(RIGHT(B88,2)),VALUE(MID(B88,4,2)),VALUE(LEFT(B88,2))),"")))),IFERROR(MAX(0,TODAY()-DATE(2000+VALUE(RIGHT(B88,2)),VALUE(MID(B88,4,2)),VALUE(LEFT(B88,2))),"")))</f>
        <v/>
      </c>
      <c r="J88" s="82" t="n"/>
      <c r="K88" s="82" t="n"/>
      <c r="L88" s="82" t="n"/>
      <c r="M88" s="44">
        <f>IF(AND(H88="OCCUPIED",J88&lt;&gt;"",K88=""),1,0)</f>
        <v/>
      </c>
      <c r="N88" s="44">
        <f>IF(M88=1,COUNTIF($M$2:M88,1),"")</f>
        <v/>
      </c>
      <c r="O88" s="44">
        <f>IF(AND(J88&lt;&gt;"",K88=""),IF(ISNUMBER(J88),IF(TODAY()-(IF(ISNUMBER(J88),J88,IFERROR(DATE(2000+VALUE(RIGHT(J88,2)),VALUE(MID(J88,4,2)),VALUE(LEFT(J88,2))),"")))&gt;5,1,0),IFERROR(IF(TODAY()-DATE(2000+VALUE(RIGHT(J88,2)),VALUE(MID(J88,4,2)),VALUE(LEFT(J88,2)))&gt;5,1,0),0)),0)</f>
        <v/>
      </c>
      <c r="P88" s="44">
        <f>IF(O88=1,COUNTIF($O$2:O88,1),"")</f>
        <v/>
      </c>
      <c r="Q88" s="77">
        <f>IF(OR(B88="",G88="",H88&lt;&gt;"OCCUPIED"),"",IF(ISNUMBER(SEARCH("WHEAT",G88)),SUMPRODUCT(--ISNUMBER(SEARCH("WHEAT",$G$2:$G$100))*--($H$2:$H$100="OCCUPIED")*--($B$2:$B$100&lt;&gt;"")*--(IF(ISNUMBER($B$2:$B$100),$B$2:$B$100,IFERROR(DATE(2000+VALUE(RIGHT($B$2:$B$100,2)),VALUE(MID($B$2:$B$100,4,2)),VALUE(LEFT($B$2:$B$100,2))),0))&lt;IF(ISNUMBER(B88),B88,IFERROR(DATE(2000+VALUE(RIGHT(B88,2)),VALUE(MID(B88,4,2)),VALUE(LEFT(B88,2))),0))))+SUMPRODUCT(--ISNUMBER(SEARCH("WHEAT",$G$2:$G88))*--($H$2:$H88="OCCUPIED")*--($B$2:$B88&lt;&gt;"")*--(IF(ISNUMBER($B$2:$B88),$B$2:$B88,IFERROR(DATE(2000+VALUE(RIGHT($B$2:$B88,2)),VALUE(MID($B$2:$B88,4,2)),VALUE(LEFT($B$2:$B88,2))),0))=IF(ISNUMBER(B88),B88,IFERROR(DATE(2000+VALUE(RIGHT(B88,2)),VALUE(MID(B88,4,2)),VALUE(LEFT(B88,2))),0)))),""))</f>
        <v/>
      </c>
      <c r="R88" s="77">
        <f>IF(OR(B88="",G88="",H88&lt;&gt;"OCCUPIED"),"",IF(NOT(ISNUMBER(SEARCH("WHEAT",G88))),SUMPRODUCT(--($G$2:$G$100&lt;&gt;"")*--ISERROR(SEARCH("WHEAT",$G$2:$G$100))*--($H$2:$H$100="OCCUPIED")*--($B$2:$B$100&lt;&gt;"")*--(IF(ISNUMBER($B$2:$B$100),$B$2:$B$100,IFERROR(DATE(2000+VALUE(RIGHT($B$2:$B$100,2)),VALUE(MID($B$2:$B$100,4,2)),VALUE(LEFT($B$2:$B$100,2))),0))&lt;IF(ISNUMBER(B88),B88,IFERROR(DATE(2000+VALUE(RIGHT(B88,2)),VALUE(MID(B88,4,2)),VALUE(LEFT(B88,2))),0))))+SUMPRODUCT(--($G$2:$G88&lt;&gt;"")*--ISERROR(SEARCH("WHEAT",$G$2:$G88))*--($H$2:$H88="OCCUPIED")*--($B$2:$B88&lt;&gt;"")*--(IF(ISNUMBER($B$2:$B88),$B$2:$B88,IFERROR(DATE(2000+VALUE(RIGHT($B$2:$B88,2)),VALUE(MID($B$2:$B88,4,2)),VALUE(LEFT($B$2:$B88,2))),0))=IF(ISNUMBER(B88),B88,IFERROR(DATE(2000+VALUE(RIGHT(B88,2)),VALUE(MID(B88,4,2)),VALUE(LEFT(B88,2))),0)))),""))</f>
        <v/>
      </c>
    </row>
    <row r="89" ht="15.75" customHeight="1" s="42">
      <c r="A89" s="44">
        <f>IF(D89="","",ROWS($D$2:D89))</f>
        <v/>
      </c>
      <c r="B89" s="82" t="n"/>
      <c r="C89" s="83" t="n"/>
      <c r="D89" s="83" t="n"/>
      <c r="E89" s="83" t="n"/>
      <c r="F89" s="83" t="n"/>
      <c r="G89" s="83" t="n"/>
      <c r="H89" s="44">
        <f>IF(AND(E89="",F89="",G89=""),"EMPTY","OCCUPIED")</f>
        <v/>
      </c>
      <c r="I89" s="44">
        <f>IF(B89="","",IF(ISNUMBER(B89),MAX(0,TODAY()-(IF(ISNUMBER(B89),B89,IFERROR(DATE(2000+VALUE(RIGHT(B89,2)),VALUE(MID(B89,4,2)),VALUE(LEFT(B89,2))),"")))),IFERROR(MAX(0,TODAY()-DATE(2000+VALUE(RIGHT(B89,2)),VALUE(MID(B89,4,2)),VALUE(LEFT(B89,2))),"")))</f>
        <v/>
      </c>
      <c r="J89" s="82" t="n"/>
      <c r="K89" s="82" t="n"/>
      <c r="L89" s="82" t="n"/>
      <c r="M89" s="44">
        <f>IF(AND(H89="OCCUPIED",J89&lt;&gt;"",K89=""),1,0)</f>
        <v/>
      </c>
      <c r="N89" s="44">
        <f>IF(M89=1,COUNTIF($M$2:M89,1),"")</f>
        <v/>
      </c>
      <c r="O89" s="44">
        <f>IF(AND(J89&lt;&gt;"",K89=""),IF(ISNUMBER(J89),IF(TODAY()-(IF(ISNUMBER(J89),J89,IFERROR(DATE(2000+VALUE(RIGHT(J89,2)),VALUE(MID(J89,4,2)),VALUE(LEFT(J89,2))),"")))&gt;5,1,0),IFERROR(IF(TODAY()-DATE(2000+VALUE(RIGHT(J89,2)),VALUE(MID(J89,4,2)),VALUE(LEFT(J89,2)))&gt;5,1,0),0)),0)</f>
        <v/>
      </c>
      <c r="P89" s="44">
        <f>IF(O89=1,COUNTIF($O$2:O89,1),"")</f>
        <v/>
      </c>
      <c r="Q89" s="77">
        <f>IF(OR(B89="",G89="",H89&lt;&gt;"OCCUPIED"),"",IF(ISNUMBER(SEARCH("WHEAT",G89)),SUMPRODUCT(--ISNUMBER(SEARCH("WHEAT",$G$2:$G$100))*--($H$2:$H$100="OCCUPIED")*--($B$2:$B$100&lt;&gt;"")*--(IF(ISNUMBER($B$2:$B$100),$B$2:$B$100,IFERROR(DATE(2000+VALUE(RIGHT($B$2:$B$100,2)),VALUE(MID($B$2:$B$100,4,2)),VALUE(LEFT($B$2:$B$100,2))),0))&lt;IF(ISNUMBER(B89),B89,IFERROR(DATE(2000+VALUE(RIGHT(B89,2)),VALUE(MID(B89,4,2)),VALUE(LEFT(B89,2))),0))))+SUMPRODUCT(--ISNUMBER(SEARCH("WHEAT",$G$2:$G89))*--($H$2:$H89="OCCUPIED")*--($B$2:$B89&lt;&gt;"")*--(IF(ISNUMBER($B$2:$B89),$B$2:$B89,IFERROR(DATE(2000+VALUE(RIGHT($B$2:$B89,2)),VALUE(MID($B$2:$B89,4,2)),VALUE(LEFT($B$2:$B89,2))),0))=IF(ISNUMBER(B89),B89,IFERROR(DATE(2000+VALUE(RIGHT(B89,2)),VALUE(MID(B89,4,2)),VALUE(LEFT(B89,2))),0)))),""))</f>
        <v/>
      </c>
      <c r="R89" s="77">
        <f>IF(OR(B89="",G89="",H89&lt;&gt;"OCCUPIED"),"",IF(NOT(ISNUMBER(SEARCH("WHEAT",G89))),SUMPRODUCT(--($G$2:$G$100&lt;&gt;"")*--ISERROR(SEARCH("WHEAT",$G$2:$G$100))*--($H$2:$H$100="OCCUPIED")*--($B$2:$B$100&lt;&gt;"")*--(IF(ISNUMBER($B$2:$B$100),$B$2:$B$100,IFERROR(DATE(2000+VALUE(RIGHT($B$2:$B$100,2)),VALUE(MID($B$2:$B$100,4,2)),VALUE(LEFT($B$2:$B$100,2))),0))&lt;IF(ISNUMBER(B89),B89,IFERROR(DATE(2000+VALUE(RIGHT(B89,2)),VALUE(MID(B89,4,2)),VALUE(LEFT(B89,2))),0))))+SUMPRODUCT(--($G$2:$G89&lt;&gt;"")*--ISERROR(SEARCH("WHEAT",$G$2:$G89))*--($H$2:$H89="OCCUPIED")*--($B$2:$B89&lt;&gt;"")*--(IF(ISNUMBER($B$2:$B89),$B$2:$B89,IFERROR(DATE(2000+VALUE(RIGHT($B$2:$B89,2)),VALUE(MID($B$2:$B89,4,2)),VALUE(LEFT($B$2:$B89,2))),0))=IF(ISNUMBER(B89),B89,IFERROR(DATE(2000+VALUE(RIGHT(B89,2)),VALUE(MID(B89,4,2)),VALUE(LEFT(B89,2))),0)))),""))</f>
        <v/>
      </c>
    </row>
    <row r="90" ht="15.75" customHeight="1" s="42">
      <c r="A90" s="44">
        <f>IF(D90="","",ROWS($D$2:D90))</f>
        <v/>
      </c>
      <c r="B90" s="82" t="n"/>
      <c r="C90" s="83" t="n"/>
      <c r="D90" s="83" t="n"/>
      <c r="E90" s="83" t="n"/>
      <c r="F90" s="83" t="n"/>
      <c r="G90" s="83" t="n"/>
      <c r="H90" s="44">
        <f>IF(AND(E90="",F90="",G90=""),"EMPTY","OCCUPIED")</f>
        <v/>
      </c>
      <c r="I90" s="44">
        <f>IF(B90="","",IF(ISNUMBER(B90),MAX(0,TODAY()-(IF(ISNUMBER(B90),B90,IFERROR(DATE(2000+VALUE(RIGHT(B90,2)),VALUE(MID(B90,4,2)),VALUE(LEFT(B90,2))),"")))),IFERROR(MAX(0,TODAY()-DATE(2000+VALUE(RIGHT(B90,2)),VALUE(MID(B90,4,2)),VALUE(LEFT(B90,2))),"")))</f>
        <v/>
      </c>
      <c r="J90" s="82" t="n"/>
      <c r="K90" s="82" t="n"/>
      <c r="L90" s="82" t="n"/>
      <c r="M90" s="44">
        <f>IF(AND(H90="OCCUPIED",J90&lt;&gt;"",K90=""),1,0)</f>
        <v/>
      </c>
      <c r="N90" s="44">
        <f>IF(M90=1,COUNTIF($M$2:M90,1),"")</f>
        <v/>
      </c>
      <c r="O90" s="44">
        <f>IF(AND(J90&lt;&gt;"",K90=""),IF(ISNUMBER(J90),IF(TODAY()-(IF(ISNUMBER(J90),J90,IFERROR(DATE(2000+VALUE(RIGHT(J90,2)),VALUE(MID(J90,4,2)),VALUE(LEFT(J90,2))),"")))&gt;5,1,0),IFERROR(IF(TODAY()-DATE(2000+VALUE(RIGHT(J90,2)),VALUE(MID(J90,4,2)),VALUE(LEFT(J90,2)))&gt;5,1,0),0)),0)</f>
        <v/>
      </c>
      <c r="P90" s="44">
        <f>IF(O90=1,COUNTIF($O$2:O90,1),"")</f>
        <v/>
      </c>
      <c r="Q90" s="77">
        <f>IF(OR(B90="",G90="",H90&lt;&gt;"OCCUPIED"),"",IF(ISNUMBER(SEARCH("WHEAT",G90)),SUMPRODUCT(--ISNUMBER(SEARCH("WHEAT",$G$2:$G$100))*--($H$2:$H$100="OCCUPIED")*--($B$2:$B$100&lt;&gt;"")*--(IF(ISNUMBER($B$2:$B$100),$B$2:$B$100,IFERROR(DATE(2000+VALUE(RIGHT($B$2:$B$100,2)),VALUE(MID($B$2:$B$100,4,2)),VALUE(LEFT($B$2:$B$100,2))),0))&lt;IF(ISNUMBER(B90),B90,IFERROR(DATE(2000+VALUE(RIGHT(B90,2)),VALUE(MID(B90,4,2)),VALUE(LEFT(B90,2))),0))))+SUMPRODUCT(--ISNUMBER(SEARCH("WHEAT",$G$2:$G90))*--($H$2:$H90="OCCUPIED")*--($B$2:$B90&lt;&gt;"")*--(IF(ISNUMBER($B$2:$B90),$B$2:$B90,IFERROR(DATE(2000+VALUE(RIGHT($B$2:$B90,2)),VALUE(MID($B$2:$B90,4,2)),VALUE(LEFT($B$2:$B90,2))),0))=IF(ISNUMBER(B90),B90,IFERROR(DATE(2000+VALUE(RIGHT(B90,2)),VALUE(MID(B90,4,2)),VALUE(LEFT(B90,2))),0)))),""))</f>
        <v/>
      </c>
      <c r="R90" s="77">
        <f>IF(OR(B90="",G90="",H90&lt;&gt;"OCCUPIED"),"",IF(NOT(ISNUMBER(SEARCH("WHEAT",G90))),SUMPRODUCT(--($G$2:$G$100&lt;&gt;"")*--ISERROR(SEARCH("WHEAT",$G$2:$G$100))*--($H$2:$H$100="OCCUPIED")*--($B$2:$B$100&lt;&gt;"")*--(IF(ISNUMBER($B$2:$B$100),$B$2:$B$100,IFERROR(DATE(2000+VALUE(RIGHT($B$2:$B$100,2)),VALUE(MID($B$2:$B$100,4,2)),VALUE(LEFT($B$2:$B$100,2))),0))&lt;IF(ISNUMBER(B90),B90,IFERROR(DATE(2000+VALUE(RIGHT(B90,2)),VALUE(MID(B90,4,2)),VALUE(LEFT(B90,2))),0))))+SUMPRODUCT(--($G$2:$G90&lt;&gt;"")*--ISERROR(SEARCH("WHEAT",$G$2:$G90))*--($H$2:$H90="OCCUPIED")*--($B$2:$B90&lt;&gt;"")*--(IF(ISNUMBER($B$2:$B90),$B$2:$B90,IFERROR(DATE(2000+VALUE(RIGHT($B$2:$B90,2)),VALUE(MID($B$2:$B90,4,2)),VALUE(LEFT($B$2:$B90,2))),0))=IF(ISNUMBER(B90),B90,IFERROR(DATE(2000+VALUE(RIGHT(B90,2)),VALUE(MID(B90,4,2)),VALUE(LEFT(B90,2))),0)))),""))</f>
        <v/>
      </c>
    </row>
    <row r="91" ht="15.75" customHeight="1" s="42">
      <c r="A91" s="44">
        <f>IF(D91="","",ROWS($D$2:D91))</f>
        <v/>
      </c>
      <c r="B91" s="82" t="n"/>
      <c r="C91" s="83" t="n"/>
      <c r="D91" s="83" t="n"/>
      <c r="E91" s="83" t="n"/>
      <c r="F91" s="83" t="n"/>
      <c r="G91" s="83" t="n"/>
      <c r="H91" s="44">
        <f>IF(AND(E91="",F91="",G91=""),"EMPTY","OCCUPIED")</f>
        <v/>
      </c>
      <c r="I91" s="44">
        <f>IF(B91="","",IF(ISNUMBER(B91),MAX(0,TODAY()-(IF(ISNUMBER(B91),B91,IFERROR(DATE(2000+VALUE(RIGHT(B91,2)),VALUE(MID(B91,4,2)),VALUE(LEFT(B91,2))),"")))),IFERROR(MAX(0,TODAY()-DATE(2000+VALUE(RIGHT(B91,2)),VALUE(MID(B91,4,2)),VALUE(LEFT(B91,2))),"")))</f>
        <v/>
      </c>
      <c r="J91" s="82" t="n"/>
      <c r="K91" s="82" t="n"/>
      <c r="L91" s="82" t="n"/>
      <c r="M91" s="44">
        <f>IF(AND(H91="OCCUPIED",J91&lt;&gt;"",K91=""),1,0)</f>
        <v/>
      </c>
      <c r="N91" s="44">
        <f>IF(M91=1,COUNTIF($M$2:M91,1),"")</f>
        <v/>
      </c>
      <c r="O91" s="44">
        <f>IF(AND(J91&lt;&gt;"",K91=""),IF(ISNUMBER(J91),IF(TODAY()-(IF(ISNUMBER(J91),J91,IFERROR(DATE(2000+VALUE(RIGHT(J91,2)),VALUE(MID(J91,4,2)),VALUE(LEFT(J91,2))),"")))&gt;5,1,0),IFERROR(IF(TODAY()-DATE(2000+VALUE(RIGHT(J91,2)),VALUE(MID(J91,4,2)),VALUE(LEFT(J91,2)))&gt;5,1,0),0)),0)</f>
        <v/>
      </c>
      <c r="P91" s="44">
        <f>IF(O91=1,COUNTIF($O$2:O91,1),"")</f>
        <v/>
      </c>
      <c r="Q91" s="77">
        <f>IF(OR(B91="",G91="",H91&lt;&gt;"OCCUPIED"),"",IF(ISNUMBER(SEARCH("WHEAT",G91)),SUMPRODUCT(--ISNUMBER(SEARCH("WHEAT",$G$2:$G$100))*--($H$2:$H$100="OCCUPIED")*--($B$2:$B$100&lt;&gt;"")*--(IF(ISNUMBER($B$2:$B$100),$B$2:$B$100,IFERROR(DATE(2000+VALUE(RIGHT($B$2:$B$100,2)),VALUE(MID($B$2:$B$100,4,2)),VALUE(LEFT($B$2:$B$100,2))),0))&lt;IF(ISNUMBER(B91),B91,IFERROR(DATE(2000+VALUE(RIGHT(B91,2)),VALUE(MID(B91,4,2)),VALUE(LEFT(B91,2))),0))))+SUMPRODUCT(--ISNUMBER(SEARCH("WHEAT",$G$2:$G91))*--($H$2:$H91="OCCUPIED")*--($B$2:$B91&lt;&gt;"")*--(IF(ISNUMBER($B$2:$B91),$B$2:$B91,IFERROR(DATE(2000+VALUE(RIGHT($B$2:$B91,2)),VALUE(MID($B$2:$B91,4,2)),VALUE(LEFT($B$2:$B91,2))),0))=IF(ISNUMBER(B91),B91,IFERROR(DATE(2000+VALUE(RIGHT(B91,2)),VALUE(MID(B91,4,2)),VALUE(LEFT(B91,2))),0)))),""))</f>
        <v/>
      </c>
      <c r="R91" s="77">
        <f>IF(OR(B91="",G91="",H91&lt;&gt;"OCCUPIED"),"",IF(NOT(ISNUMBER(SEARCH("WHEAT",G91))),SUMPRODUCT(--($G$2:$G$100&lt;&gt;"")*--ISERROR(SEARCH("WHEAT",$G$2:$G$100))*--($H$2:$H$100="OCCUPIED")*--($B$2:$B$100&lt;&gt;"")*--(IF(ISNUMBER($B$2:$B$100),$B$2:$B$100,IFERROR(DATE(2000+VALUE(RIGHT($B$2:$B$100,2)),VALUE(MID($B$2:$B$100,4,2)),VALUE(LEFT($B$2:$B$100,2))),0))&lt;IF(ISNUMBER(B91),B91,IFERROR(DATE(2000+VALUE(RIGHT(B91,2)),VALUE(MID(B91,4,2)),VALUE(LEFT(B91,2))),0))))+SUMPRODUCT(--($G$2:$G91&lt;&gt;"")*--ISERROR(SEARCH("WHEAT",$G$2:$G91))*--($H$2:$H91="OCCUPIED")*--($B$2:$B91&lt;&gt;"")*--(IF(ISNUMBER($B$2:$B91),$B$2:$B91,IFERROR(DATE(2000+VALUE(RIGHT($B$2:$B91,2)),VALUE(MID($B$2:$B91,4,2)),VALUE(LEFT($B$2:$B91,2))),0))=IF(ISNUMBER(B91),B91,IFERROR(DATE(2000+VALUE(RIGHT(B91,2)),VALUE(MID(B91,4,2)),VALUE(LEFT(B91,2))),0)))),""))</f>
        <v/>
      </c>
    </row>
    <row r="92" ht="15.75" customHeight="1" s="42">
      <c r="A92" s="44">
        <f>IF(D92="","",ROWS($D$2:D92))</f>
        <v/>
      </c>
      <c r="B92" s="82" t="n"/>
      <c r="C92" s="83" t="n"/>
      <c r="D92" s="83" t="n"/>
      <c r="E92" s="83" t="n"/>
      <c r="F92" s="83" t="n"/>
      <c r="G92" s="83" t="n"/>
      <c r="H92" s="44">
        <f>IF(AND(E92="",F92="",G92=""),"EMPTY","OCCUPIED")</f>
        <v/>
      </c>
      <c r="I92" s="44">
        <f>IF(B92="","",IF(ISNUMBER(B92),MAX(0,TODAY()-(IF(ISNUMBER(B92),B92,IFERROR(DATE(2000+VALUE(RIGHT(B92,2)),VALUE(MID(B92,4,2)),VALUE(LEFT(B92,2))),"")))),IFERROR(MAX(0,TODAY()-DATE(2000+VALUE(RIGHT(B92,2)),VALUE(MID(B92,4,2)),VALUE(LEFT(B92,2))),"")))</f>
        <v/>
      </c>
      <c r="J92" s="82" t="n"/>
      <c r="K92" s="82" t="n"/>
      <c r="L92" s="82" t="n"/>
      <c r="M92" s="44">
        <f>IF(AND(H92="OCCUPIED",J92&lt;&gt;"",K92=""),1,0)</f>
        <v/>
      </c>
      <c r="N92" s="44">
        <f>IF(M92=1,COUNTIF($M$2:M92,1),"")</f>
        <v/>
      </c>
      <c r="O92" s="44">
        <f>IF(AND(J92&lt;&gt;"",K92=""),IF(ISNUMBER(J92),IF(TODAY()-(IF(ISNUMBER(J92),J92,IFERROR(DATE(2000+VALUE(RIGHT(J92,2)),VALUE(MID(J92,4,2)),VALUE(LEFT(J92,2))),"")))&gt;5,1,0),IFERROR(IF(TODAY()-DATE(2000+VALUE(RIGHT(J92,2)),VALUE(MID(J92,4,2)),VALUE(LEFT(J92,2)))&gt;5,1,0),0)),0)</f>
        <v/>
      </c>
      <c r="P92" s="44">
        <f>IF(O92=1,COUNTIF($O$2:O92,1),"")</f>
        <v/>
      </c>
      <c r="Q92" s="77">
        <f>IF(OR(B92="",G92="",H92&lt;&gt;"OCCUPIED"),"",IF(ISNUMBER(SEARCH("WHEAT",G92)),SUMPRODUCT(--ISNUMBER(SEARCH("WHEAT",$G$2:$G$100))*--($H$2:$H$100="OCCUPIED")*--($B$2:$B$100&lt;&gt;"")*--(IF(ISNUMBER($B$2:$B$100),$B$2:$B$100,IFERROR(DATE(2000+VALUE(RIGHT($B$2:$B$100,2)),VALUE(MID($B$2:$B$100,4,2)),VALUE(LEFT($B$2:$B$100,2))),0))&lt;IF(ISNUMBER(B92),B92,IFERROR(DATE(2000+VALUE(RIGHT(B92,2)),VALUE(MID(B92,4,2)),VALUE(LEFT(B92,2))),0))))+SUMPRODUCT(--ISNUMBER(SEARCH("WHEAT",$G$2:$G92))*--($H$2:$H92="OCCUPIED")*--($B$2:$B92&lt;&gt;"")*--(IF(ISNUMBER($B$2:$B92),$B$2:$B92,IFERROR(DATE(2000+VALUE(RIGHT($B$2:$B92,2)),VALUE(MID($B$2:$B92,4,2)),VALUE(LEFT($B$2:$B92,2))),0))=IF(ISNUMBER(B92),B92,IFERROR(DATE(2000+VALUE(RIGHT(B92,2)),VALUE(MID(B92,4,2)),VALUE(LEFT(B92,2))),0)))),""))</f>
        <v/>
      </c>
      <c r="R92" s="77">
        <f>IF(OR(B92="",G92="",H92&lt;&gt;"OCCUPIED"),"",IF(NOT(ISNUMBER(SEARCH("WHEAT",G92))),SUMPRODUCT(--($G$2:$G$100&lt;&gt;"")*--ISERROR(SEARCH("WHEAT",$G$2:$G$100))*--($H$2:$H$100="OCCUPIED")*--($B$2:$B$100&lt;&gt;"")*--(IF(ISNUMBER($B$2:$B$100),$B$2:$B$100,IFERROR(DATE(2000+VALUE(RIGHT($B$2:$B$100,2)),VALUE(MID($B$2:$B$100,4,2)),VALUE(LEFT($B$2:$B$100,2))),0))&lt;IF(ISNUMBER(B92),B92,IFERROR(DATE(2000+VALUE(RIGHT(B92,2)),VALUE(MID(B92,4,2)),VALUE(LEFT(B92,2))),0))))+SUMPRODUCT(--($G$2:$G92&lt;&gt;"")*--ISERROR(SEARCH("WHEAT",$G$2:$G92))*--($H$2:$H92="OCCUPIED")*--($B$2:$B92&lt;&gt;"")*--(IF(ISNUMBER($B$2:$B92),$B$2:$B92,IFERROR(DATE(2000+VALUE(RIGHT($B$2:$B92,2)),VALUE(MID($B$2:$B92,4,2)),VALUE(LEFT($B$2:$B92,2))),0))=IF(ISNUMBER(B92),B92,IFERROR(DATE(2000+VALUE(RIGHT(B92,2)),VALUE(MID(B92,4,2)),VALUE(LEFT(B92,2))),0)))),""))</f>
        <v/>
      </c>
    </row>
    <row r="93" ht="15.75" customHeight="1" s="42">
      <c r="A93" s="44">
        <f>IF(D93="","",ROWS($D$2:D93))</f>
        <v/>
      </c>
      <c r="B93" s="82" t="n"/>
      <c r="C93" s="83" t="n"/>
      <c r="D93" s="83" t="n"/>
      <c r="E93" s="83" t="n"/>
      <c r="F93" s="83" t="n"/>
      <c r="G93" s="83" t="n"/>
      <c r="H93" s="44">
        <f>IF(AND(E93="",F93="",G93=""),"EMPTY","OCCUPIED")</f>
        <v/>
      </c>
      <c r="I93" s="44">
        <f>IF(B93="","",IF(ISNUMBER(B93),MAX(0,TODAY()-(IF(ISNUMBER(B93),B93,IFERROR(DATE(2000+VALUE(RIGHT(B93,2)),VALUE(MID(B93,4,2)),VALUE(LEFT(B93,2))),"")))),IFERROR(MAX(0,TODAY()-DATE(2000+VALUE(RIGHT(B93,2)),VALUE(MID(B93,4,2)),VALUE(LEFT(B93,2))),"")))</f>
        <v/>
      </c>
      <c r="J93" s="82" t="n"/>
      <c r="K93" s="82" t="n"/>
      <c r="L93" s="82" t="n"/>
      <c r="M93" s="44">
        <f>IF(AND(H93="OCCUPIED",J93&lt;&gt;"",K93=""),1,0)</f>
        <v/>
      </c>
      <c r="N93" s="44">
        <f>IF(M93=1,COUNTIF($M$2:M93,1),"")</f>
        <v/>
      </c>
      <c r="O93" s="44">
        <f>IF(AND(J93&lt;&gt;"",K93=""),IF(ISNUMBER(J93),IF(TODAY()-(IF(ISNUMBER(J93),J93,IFERROR(DATE(2000+VALUE(RIGHT(J93,2)),VALUE(MID(J93,4,2)),VALUE(LEFT(J93,2))),"")))&gt;5,1,0),IFERROR(IF(TODAY()-DATE(2000+VALUE(RIGHT(J93,2)),VALUE(MID(J93,4,2)),VALUE(LEFT(J93,2)))&gt;5,1,0),0)),0)</f>
        <v/>
      </c>
      <c r="P93" s="44">
        <f>IF(O93=1,COUNTIF($O$2:O93,1),"")</f>
        <v/>
      </c>
      <c r="Q93" s="77">
        <f>IF(OR(B93="",G93="",H93&lt;&gt;"OCCUPIED"),"",IF(ISNUMBER(SEARCH("WHEAT",G93)),SUMPRODUCT(--ISNUMBER(SEARCH("WHEAT",$G$2:$G$100))*--($H$2:$H$100="OCCUPIED")*--($B$2:$B$100&lt;&gt;"")*--(IF(ISNUMBER($B$2:$B$100),$B$2:$B$100,IFERROR(DATE(2000+VALUE(RIGHT($B$2:$B$100,2)),VALUE(MID($B$2:$B$100,4,2)),VALUE(LEFT($B$2:$B$100,2))),0))&lt;IF(ISNUMBER(B93),B93,IFERROR(DATE(2000+VALUE(RIGHT(B93,2)),VALUE(MID(B93,4,2)),VALUE(LEFT(B93,2))),0))))+SUMPRODUCT(--ISNUMBER(SEARCH("WHEAT",$G$2:$G93))*--($H$2:$H93="OCCUPIED")*--($B$2:$B93&lt;&gt;"")*--(IF(ISNUMBER($B$2:$B93),$B$2:$B93,IFERROR(DATE(2000+VALUE(RIGHT($B$2:$B93,2)),VALUE(MID($B$2:$B93,4,2)),VALUE(LEFT($B$2:$B93,2))),0))=IF(ISNUMBER(B93),B93,IFERROR(DATE(2000+VALUE(RIGHT(B93,2)),VALUE(MID(B93,4,2)),VALUE(LEFT(B93,2))),0)))),""))</f>
        <v/>
      </c>
      <c r="R93" s="77">
        <f>IF(OR(B93="",G93="",H93&lt;&gt;"OCCUPIED"),"",IF(NOT(ISNUMBER(SEARCH("WHEAT",G93))),SUMPRODUCT(--($G$2:$G$100&lt;&gt;"")*--ISERROR(SEARCH("WHEAT",$G$2:$G$100))*--($H$2:$H$100="OCCUPIED")*--($B$2:$B$100&lt;&gt;"")*--(IF(ISNUMBER($B$2:$B$100),$B$2:$B$100,IFERROR(DATE(2000+VALUE(RIGHT($B$2:$B$100,2)),VALUE(MID($B$2:$B$100,4,2)),VALUE(LEFT($B$2:$B$100,2))),0))&lt;IF(ISNUMBER(B93),B93,IFERROR(DATE(2000+VALUE(RIGHT(B93,2)),VALUE(MID(B93,4,2)),VALUE(LEFT(B93,2))),0))))+SUMPRODUCT(--($G$2:$G93&lt;&gt;"")*--ISERROR(SEARCH("WHEAT",$G$2:$G93))*--($H$2:$H93="OCCUPIED")*--($B$2:$B93&lt;&gt;"")*--(IF(ISNUMBER($B$2:$B93),$B$2:$B93,IFERROR(DATE(2000+VALUE(RIGHT($B$2:$B93,2)),VALUE(MID($B$2:$B93,4,2)),VALUE(LEFT($B$2:$B93,2))),0))=IF(ISNUMBER(B93),B93,IFERROR(DATE(2000+VALUE(RIGHT(B93,2)),VALUE(MID(B93,4,2)),VALUE(LEFT(B93,2))),0)))),""))</f>
        <v/>
      </c>
    </row>
    <row r="94" ht="15.75" customHeight="1" s="42">
      <c r="A94" s="44">
        <f>IF(D94="","",ROWS($D$2:D94))</f>
        <v/>
      </c>
      <c r="B94" s="82" t="n"/>
      <c r="C94" s="83" t="n"/>
      <c r="D94" s="83" t="n"/>
      <c r="E94" s="83" t="n"/>
      <c r="F94" s="83" t="n"/>
      <c r="G94" s="83" t="n"/>
      <c r="H94" s="44">
        <f>IF(AND(E94="",F94="",G94=""),"EMPTY","OCCUPIED")</f>
        <v/>
      </c>
      <c r="I94" s="44">
        <f>IF(B94="","",IF(ISNUMBER(B94),MAX(0,TODAY()-(IF(ISNUMBER(B94),B94,IFERROR(DATE(2000+VALUE(RIGHT(B94,2)),VALUE(MID(B94,4,2)),VALUE(LEFT(B94,2))),"")))),IFERROR(MAX(0,TODAY()-DATE(2000+VALUE(RIGHT(B94,2)),VALUE(MID(B94,4,2)),VALUE(LEFT(B94,2))),"")))</f>
        <v/>
      </c>
      <c r="J94" s="82" t="n"/>
      <c r="K94" s="82" t="n"/>
      <c r="L94" s="82" t="n"/>
      <c r="M94" s="44">
        <f>IF(AND(H94="OCCUPIED",J94&lt;&gt;"",K94=""),1,0)</f>
        <v/>
      </c>
      <c r="N94" s="44">
        <f>IF(M94=1,COUNTIF($M$2:M94,1),"")</f>
        <v/>
      </c>
      <c r="O94" s="44">
        <f>IF(AND(J94&lt;&gt;"",K94=""),IF(ISNUMBER(J94),IF(TODAY()-(IF(ISNUMBER(J94),J94,IFERROR(DATE(2000+VALUE(RIGHT(J94,2)),VALUE(MID(J94,4,2)),VALUE(LEFT(J94,2))),"")))&gt;5,1,0),IFERROR(IF(TODAY()-DATE(2000+VALUE(RIGHT(J94,2)),VALUE(MID(J94,4,2)),VALUE(LEFT(J94,2)))&gt;5,1,0),0)),0)</f>
        <v/>
      </c>
      <c r="P94" s="44">
        <f>IF(O94=1,COUNTIF($O$2:O94,1),"")</f>
        <v/>
      </c>
      <c r="Q94" s="77">
        <f>IF(OR(B94="",G94="",H94&lt;&gt;"OCCUPIED"),"",IF(ISNUMBER(SEARCH("WHEAT",G94)),SUMPRODUCT(--ISNUMBER(SEARCH("WHEAT",$G$2:$G$100))*--($H$2:$H$100="OCCUPIED")*--($B$2:$B$100&lt;&gt;"")*--(IF(ISNUMBER($B$2:$B$100),$B$2:$B$100,IFERROR(DATE(2000+VALUE(RIGHT($B$2:$B$100,2)),VALUE(MID($B$2:$B$100,4,2)),VALUE(LEFT($B$2:$B$100,2))),0))&lt;IF(ISNUMBER(B94),B94,IFERROR(DATE(2000+VALUE(RIGHT(B94,2)),VALUE(MID(B94,4,2)),VALUE(LEFT(B94,2))),0))))+SUMPRODUCT(--ISNUMBER(SEARCH("WHEAT",$G$2:$G94))*--($H$2:$H94="OCCUPIED")*--($B$2:$B94&lt;&gt;"")*--(IF(ISNUMBER($B$2:$B94),$B$2:$B94,IFERROR(DATE(2000+VALUE(RIGHT($B$2:$B94,2)),VALUE(MID($B$2:$B94,4,2)),VALUE(LEFT($B$2:$B94,2))),0))=IF(ISNUMBER(B94),B94,IFERROR(DATE(2000+VALUE(RIGHT(B94,2)),VALUE(MID(B94,4,2)),VALUE(LEFT(B94,2))),0)))),""))</f>
        <v/>
      </c>
      <c r="R94" s="77">
        <f>IF(OR(B94="",G94="",H94&lt;&gt;"OCCUPIED"),"",IF(NOT(ISNUMBER(SEARCH("WHEAT",G94))),SUMPRODUCT(--($G$2:$G$100&lt;&gt;"")*--ISERROR(SEARCH("WHEAT",$G$2:$G$100))*--($H$2:$H$100="OCCUPIED")*--($B$2:$B$100&lt;&gt;"")*--(IF(ISNUMBER($B$2:$B$100),$B$2:$B$100,IFERROR(DATE(2000+VALUE(RIGHT($B$2:$B$100,2)),VALUE(MID($B$2:$B$100,4,2)),VALUE(LEFT($B$2:$B$100,2))),0))&lt;IF(ISNUMBER(B94),B94,IFERROR(DATE(2000+VALUE(RIGHT(B94,2)),VALUE(MID(B94,4,2)),VALUE(LEFT(B94,2))),0))))+SUMPRODUCT(--($G$2:$G94&lt;&gt;"")*--ISERROR(SEARCH("WHEAT",$G$2:$G94))*--($H$2:$H94="OCCUPIED")*--($B$2:$B94&lt;&gt;"")*--(IF(ISNUMBER($B$2:$B94),$B$2:$B94,IFERROR(DATE(2000+VALUE(RIGHT($B$2:$B94,2)),VALUE(MID($B$2:$B94,4,2)),VALUE(LEFT($B$2:$B94,2))),0))=IF(ISNUMBER(B94),B94,IFERROR(DATE(2000+VALUE(RIGHT(B94,2)),VALUE(MID(B94,4,2)),VALUE(LEFT(B94,2))),0)))),""))</f>
        <v/>
      </c>
    </row>
    <row r="95" ht="15.75" customHeight="1" s="42">
      <c r="A95" s="44">
        <f>IF(D95="","",ROWS($D$2:D95))</f>
        <v/>
      </c>
      <c r="B95" s="82" t="n"/>
      <c r="C95" s="83" t="n"/>
      <c r="D95" s="83" t="n"/>
      <c r="E95" s="83" t="n"/>
      <c r="F95" s="83" t="n"/>
      <c r="G95" s="83" t="n"/>
      <c r="H95" s="44">
        <f>IF(AND(E95="",F95="",G95=""),"EMPTY","OCCUPIED")</f>
        <v/>
      </c>
      <c r="I95" s="44">
        <f>IF(B95="","",IF(ISNUMBER(B95),MAX(0,TODAY()-(IF(ISNUMBER(B95),B95,IFERROR(DATE(2000+VALUE(RIGHT(B95,2)),VALUE(MID(B95,4,2)),VALUE(LEFT(B95,2))),"")))),IFERROR(MAX(0,TODAY()-DATE(2000+VALUE(RIGHT(B95,2)),VALUE(MID(B95,4,2)),VALUE(LEFT(B95,2))),"")))</f>
        <v/>
      </c>
      <c r="J95" s="82" t="n"/>
      <c r="K95" s="82" t="n"/>
      <c r="L95" s="82" t="n"/>
      <c r="M95" s="44">
        <f>IF(AND(H95="OCCUPIED",J95&lt;&gt;"",K95=""),1,0)</f>
        <v/>
      </c>
      <c r="N95" s="44">
        <f>IF(M95=1,COUNTIF($M$2:M95,1),"")</f>
        <v/>
      </c>
      <c r="O95" s="44">
        <f>IF(AND(J95&lt;&gt;"",K95=""),IF(ISNUMBER(J95),IF(TODAY()-(IF(ISNUMBER(J95),J95,IFERROR(DATE(2000+VALUE(RIGHT(J95,2)),VALUE(MID(J95,4,2)),VALUE(LEFT(J95,2))),"")))&gt;5,1,0),IFERROR(IF(TODAY()-DATE(2000+VALUE(RIGHT(J95,2)),VALUE(MID(J95,4,2)),VALUE(LEFT(J95,2)))&gt;5,1,0),0)),0)</f>
        <v/>
      </c>
      <c r="P95" s="44">
        <f>IF(O95=1,COUNTIF($O$2:O95,1),"")</f>
        <v/>
      </c>
      <c r="Q95" s="77">
        <f>IF(OR(B95="",G95="",H95&lt;&gt;"OCCUPIED"),"",IF(ISNUMBER(SEARCH("WHEAT",G95)),SUMPRODUCT(--ISNUMBER(SEARCH("WHEAT",$G$2:$G$100))*--($H$2:$H$100="OCCUPIED")*--($B$2:$B$100&lt;&gt;"")*--(IF(ISNUMBER($B$2:$B$100),$B$2:$B$100,IFERROR(DATE(2000+VALUE(RIGHT($B$2:$B$100,2)),VALUE(MID($B$2:$B$100,4,2)),VALUE(LEFT($B$2:$B$100,2))),0))&lt;IF(ISNUMBER(B95),B95,IFERROR(DATE(2000+VALUE(RIGHT(B95,2)),VALUE(MID(B95,4,2)),VALUE(LEFT(B95,2))),0))))+SUMPRODUCT(--ISNUMBER(SEARCH("WHEAT",$G$2:$G95))*--($H$2:$H95="OCCUPIED")*--($B$2:$B95&lt;&gt;"")*--(IF(ISNUMBER($B$2:$B95),$B$2:$B95,IFERROR(DATE(2000+VALUE(RIGHT($B$2:$B95,2)),VALUE(MID($B$2:$B95,4,2)),VALUE(LEFT($B$2:$B95,2))),0))=IF(ISNUMBER(B95),B95,IFERROR(DATE(2000+VALUE(RIGHT(B95,2)),VALUE(MID(B95,4,2)),VALUE(LEFT(B95,2))),0)))),""))</f>
        <v/>
      </c>
      <c r="R95" s="77">
        <f>IF(OR(B95="",G95="",H95&lt;&gt;"OCCUPIED"),"",IF(NOT(ISNUMBER(SEARCH("WHEAT",G95))),SUMPRODUCT(--($G$2:$G$100&lt;&gt;"")*--ISERROR(SEARCH("WHEAT",$G$2:$G$100))*--($H$2:$H$100="OCCUPIED")*--($B$2:$B$100&lt;&gt;"")*--(IF(ISNUMBER($B$2:$B$100),$B$2:$B$100,IFERROR(DATE(2000+VALUE(RIGHT($B$2:$B$100,2)),VALUE(MID($B$2:$B$100,4,2)),VALUE(LEFT($B$2:$B$100,2))),0))&lt;IF(ISNUMBER(B95),B95,IFERROR(DATE(2000+VALUE(RIGHT(B95,2)),VALUE(MID(B95,4,2)),VALUE(LEFT(B95,2))),0))))+SUMPRODUCT(--($G$2:$G95&lt;&gt;"")*--ISERROR(SEARCH("WHEAT",$G$2:$G95))*--($H$2:$H95="OCCUPIED")*--($B$2:$B95&lt;&gt;"")*--(IF(ISNUMBER($B$2:$B95),$B$2:$B95,IFERROR(DATE(2000+VALUE(RIGHT($B$2:$B95,2)),VALUE(MID($B$2:$B95,4,2)),VALUE(LEFT($B$2:$B95,2))),0))=IF(ISNUMBER(B95),B95,IFERROR(DATE(2000+VALUE(RIGHT(B95,2)),VALUE(MID(B95,4,2)),VALUE(LEFT(B95,2))),0)))),""))</f>
        <v/>
      </c>
    </row>
    <row r="96" ht="15.75" customHeight="1" s="42">
      <c r="A96" s="44">
        <f>IF(D96="","",ROWS($D$2:D96))</f>
        <v/>
      </c>
      <c r="B96" s="82" t="n"/>
      <c r="C96" s="83" t="n"/>
      <c r="D96" s="83" t="n"/>
      <c r="E96" s="83" t="n"/>
      <c r="F96" s="83" t="n"/>
      <c r="G96" s="83" t="n"/>
      <c r="H96" s="44">
        <f>IF(AND(E96="",F96="",G96=""),"EMPTY","OCCUPIED")</f>
        <v/>
      </c>
      <c r="I96" s="44">
        <f>IF(B96="","",IF(ISNUMBER(B96),MAX(0,TODAY()-(IF(ISNUMBER(B96),B96,IFERROR(DATE(2000+VALUE(RIGHT(B96,2)),VALUE(MID(B96,4,2)),VALUE(LEFT(B96,2))),"")))),IFERROR(MAX(0,TODAY()-DATE(2000+VALUE(RIGHT(B96,2)),VALUE(MID(B96,4,2)),VALUE(LEFT(B96,2))),"")))</f>
        <v/>
      </c>
      <c r="J96" s="82" t="n"/>
      <c r="K96" s="82" t="n"/>
      <c r="L96" s="82" t="n"/>
      <c r="M96" s="44">
        <f>IF(AND(H96="OCCUPIED",J96&lt;&gt;"",K96=""),1,0)</f>
        <v/>
      </c>
      <c r="N96" s="44">
        <f>IF(M96=1,COUNTIF($M$2:M96,1),"")</f>
        <v/>
      </c>
      <c r="O96" s="44">
        <f>IF(AND(J96&lt;&gt;"",K96=""),IF(ISNUMBER(J96),IF(TODAY()-(IF(ISNUMBER(J96),J96,IFERROR(DATE(2000+VALUE(RIGHT(J96,2)),VALUE(MID(J96,4,2)),VALUE(LEFT(J96,2))),"")))&gt;5,1,0),IFERROR(IF(TODAY()-DATE(2000+VALUE(RIGHT(J96,2)),VALUE(MID(J96,4,2)),VALUE(LEFT(J96,2)))&gt;5,1,0),0)),0)</f>
        <v/>
      </c>
      <c r="P96" s="44">
        <f>IF(O96=1,COUNTIF($O$2:O96,1),"")</f>
        <v/>
      </c>
      <c r="Q96" s="77">
        <f>IF(OR(B96="",G96="",H96&lt;&gt;"OCCUPIED"),"",IF(ISNUMBER(SEARCH("WHEAT",G96)),SUMPRODUCT(--ISNUMBER(SEARCH("WHEAT",$G$2:$G$100))*--($H$2:$H$100="OCCUPIED")*--($B$2:$B$100&lt;&gt;"")*--(IF(ISNUMBER($B$2:$B$100),$B$2:$B$100,IFERROR(DATE(2000+VALUE(RIGHT($B$2:$B$100,2)),VALUE(MID($B$2:$B$100,4,2)),VALUE(LEFT($B$2:$B$100,2))),0))&lt;IF(ISNUMBER(B96),B96,IFERROR(DATE(2000+VALUE(RIGHT(B96,2)),VALUE(MID(B96,4,2)),VALUE(LEFT(B96,2))),0))))+SUMPRODUCT(--ISNUMBER(SEARCH("WHEAT",$G$2:$G96))*--($H$2:$H96="OCCUPIED")*--($B$2:$B96&lt;&gt;"")*--(IF(ISNUMBER($B$2:$B96),$B$2:$B96,IFERROR(DATE(2000+VALUE(RIGHT($B$2:$B96,2)),VALUE(MID($B$2:$B96,4,2)),VALUE(LEFT($B$2:$B96,2))),0))=IF(ISNUMBER(B96),B96,IFERROR(DATE(2000+VALUE(RIGHT(B96,2)),VALUE(MID(B96,4,2)),VALUE(LEFT(B96,2))),0)))),""))</f>
        <v/>
      </c>
      <c r="R96" s="77">
        <f>IF(OR(B96="",G96="",H96&lt;&gt;"OCCUPIED"),"",IF(NOT(ISNUMBER(SEARCH("WHEAT",G96))),SUMPRODUCT(--($G$2:$G$100&lt;&gt;"")*--ISERROR(SEARCH("WHEAT",$G$2:$G$100))*--($H$2:$H$100="OCCUPIED")*--($B$2:$B$100&lt;&gt;"")*--(IF(ISNUMBER($B$2:$B$100),$B$2:$B$100,IFERROR(DATE(2000+VALUE(RIGHT($B$2:$B$100,2)),VALUE(MID($B$2:$B$100,4,2)),VALUE(LEFT($B$2:$B$100,2))),0))&lt;IF(ISNUMBER(B96),B96,IFERROR(DATE(2000+VALUE(RIGHT(B96,2)),VALUE(MID(B96,4,2)),VALUE(LEFT(B96,2))),0))))+SUMPRODUCT(--($G$2:$G96&lt;&gt;"")*--ISERROR(SEARCH("WHEAT",$G$2:$G96))*--($H$2:$H96="OCCUPIED")*--($B$2:$B96&lt;&gt;"")*--(IF(ISNUMBER($B$2:$B96),$B$2:$B96,IFERROR(DATE(2000+VALUE(RIGHT($B$2:$B96,2)),VALUE(MID($B$2:$B96,4,2)),VALUE(LEFT($B$2:$B96,2))),0))=IF(ISNUMBER(B96),B96,IFERROR(DATE(2000+VALUE(RIGHT(B96,2)),VALUE(MID(B96,4,2)),VALUE(LEFT(B96,2))),0)))),""))</f>
        <v/>
      </c>
    </row>
    <row r="97" ht="15.75" customHeight="1" s="42">
      <c r="A97" s="44">
        <f>IF(D97="","",ROWS($D$2:D97))</f>
        <v/>
      </c>
      <c r="B97" s="82" t="n"/>
      <c r="C97" s="83" t="n"/>
      <c r="D97" s="83" t="n"/>
      <c r="E97" s="83" t="n"/>
      <c r="F97" s="83" t="n"/>
      <c r="G97" s="83" t="n"/>
      <c r="H97" s="44">
        <f>IF(AND(E97="",F97="",G97=""),"EMPTY","OCCUPIED")</f>
        <v/>
      </c>
      <c r="I97" s="44">
        <f>IF(B97="","",IF(ISNUMBER(B97),MAX(0,TODAY()-(IF(ISNUMBER(B97),B97,IFERROR(DATE(2000+VALUE(RIGHT(B97,2)),VALUE(MID(B97,4,2)),VALUE(LEFT(B97,2))),"")))),IFERROR(MAX(0,TODAY()-DATE(2000+VALUE(RIGHT(B97,2)),VALUE(MID(B97,4,2)),VALUE(LEFT(B97,2))),"")))</f>
        <v/>
      </c>
      <c r="J97" s="82" t="n"/>
      <c r="K97" s="82" t="n"/>
      <c r="L97" s="82" t="n"/>
      <c r="M97" s="44">
        <f>IF(AND(H97="OCCUPIED",J97&lt;&gt;"",K97=""),1,0)</f>
        <v/>
      </c>
      <c r="N97" s="44">
        <f>IF(M97=1,COUNTIF($M$2:M97,1),"")</f>
        <v/>
      </c>
      <c r="O97" s="44">
        <f>IF(AND(J97&lt;&gt;"",K97=""),IF(ISNUMBER(J97),IF(TODAY()-(IF(ISNUMBER(J97),J97,IFERROR(DATE(2000+VALUE(RIGHT(J97,2)),VALUE(MID(J97,4,2)),VALUE(LEFT(J97,2))),"")))&gt;5,1,0),IFERROR(IF(TODAY()-DATE(2000+VALUE(RIGHT(J97,2)),VALUE(MID(J97,4,2)),VALUE(LEFT(J97,2)))&gt;5,1,0),0)),0)</f>
        <v/>
      </c>
      <c r="P97" s="44">
        <f>IF(O97=1,COUNTIF($O$2:O97,1),"")</f>
        <v/>
      </c>
      <c r="Q97" s="77">
        <f>IF(OR(B97="",G97="",H97&lt;&gt;"OCCUPIED"),"",IF(ISNUMBER(SEARCH("WHEAT",G97)),SUMPRODUCT(--ISNUMBER(SEARCH("WHEAT",$G$2:$G$100))*--($H$2:$H$100="OCCUPIED")*--($B$2:$B$100&lt;&gt;"")*--(IF(ISNUMBER($B$2:$B$100),$B$2:$B$100,IFERROR(DATE(2000+VALUE(RIGHT($B$2:$B$100,2)),VALUE(MID($B$2:$B$100,4,2)),VALUE(LEFT($B$2:$B$100,2))),0))&lt;IF(ISNUMBER(B97),B97,IFERROR(DATE(2000+VALUE(RIGHT(B97,2)),VALUE(MID(B97,4,2)),VALUE(LEFT(B97,2))),0))))+SUMPRODUCT(--ISNUMBER(SEARCH("WHEAT",$G$2:$G97))*--($H$2:$H97="OCCUPIED")*--($B$2:$B97&lt;&gt;"")*--(IF(ISNUMBER($B$2:$B97),$B$2:$B97,IFERROR(DATE(2000+VALUE(RIGHT($B$2:$B97,2)),VALUE(MID($B$2:$B97,4,2)),VALUE(LEFT($B$2:$B97,2))),0))=IF(ISNUMBER(B97),B97,IFERROR(DATE(2000+VALUE(RIGHT(B97,2)),VALUE(MID(B97,4,2)),VALUE(LEFT(B97,2))),0)))),""))</f>
        <v/>
      </c>
      <c r="R97" s="77">
        <f>IF(OR(B97="",G97="",H97&lt;&gt;"OCCUPIED"),"",IF(NOT(ISNUMBER(SEARCH("WHEAT",G97))),SUMPRODUCT(--($G$2:$G$100&lt;&gt;"")*--ISERROR(SEARCH("WHEAT",$G$2:$G$100))*--($H$2:$H$100="OCCUPIED")*--($B$2:$B$100&lt;&gt;"")*--(IF(ISNUMBER($B$2:$B$100),$B$2:$B$100,IFERROR(DATE(2000+VALUE(RIGHT($B$2:$B$100,2)),VALUE(MID($B$2:$B$100,4,2)),VALUE(LEFT($B$2:$B$100,2))),0))&lt;IF(ISNUMBER(B97),B97,IFERROR(DATE(2000+VALUE(RIGHT(B97,2)),VALUE(MID(B97,4,2)),VALUE(LEFT(B97,2))),0))))+SUMPRODUCT(--($G$2:$G97&lt;&gt;"")*--ISERROR(SEARCH("WHEAT",$G$2:$G97))*--($H$2:$H97="OCCUPIED")*--($B$2:$B97&lt;&gt;"")*--(IF(ISNUMBER($B$2:$B97),$B$2:$B97,IFERROR(DATE(2000+VALUE(RIGHT($B$2:$B97,2)),VALUE(MID($B$2:$B97,4,2)),VALUE(LEFT($B$2:$B97,2))),0))=IF(ISNUMBER(B97),B97,IFERROR(DATE(2000+VALUE(RIGHT(B97,2)),VALUE(MID(B97,4,2)),VALUE(LEFT(B97,2))),0)))),""))</f>
        <v/>
      </c>
    </row>
    <row r="98" ht="15.75" customHeight="1" s="42">
      <c r="A98" s="44">
        <f>IF(D98="","",ROWS($D$2:D98))</f>
        <v/>
      </c>
      <c r="B98" s="82" t="n"/>
      <c r="C98" s="83" t="n"/>
      <c r="D98" s="83" t="n"/>
      <c r="E98" s="83" t="n"/>
      <c r="F98" s="83" t="n"/>
      <c r="G98" s="83" t="n"/>
      <c r="H98" s="44">
        <f>IF(AND(E98="",F98="",G98=""),"EMPTY","OCCUPIED")</f>
        <v/>
      </c>
      <c r="I98" s="44">
        <f>IF(B98="","",IF(ISNUMBER(B98),MAX(0,TODAY()-(IF(ISNUMBER(B98),B98,IFERROR(DATE(2000+VALUE(RIGHT(B98,2)),VALUE(MID(B98,4,2)),VALUE(LEFT(B98,2))),"")))),IFERROR(MAX(0,TODAY()-DATE(2000+VALUE(RIGHT(B98,2)),VALUE(MID(B98,4,2)),VALUE(LEFT(B98,2))),"")))</f>
        <v/>
      </c>
      <c r="J98" s="82" t="n"/>
      <c r="K98" s="82" t="n"/>
      <c r="L98" s="82" t="n"/>
      <c r="M98" s="44">
        <f>IF(AND(H98="OCCUPIED",J98&lt;&gt;"",K98=""),1,0)</f>
        <v/>
      </c>
      <c r="N98" s="44">
        <f>IF(M98=1,COUNTIF($M$2:M98,1),"")</f>
        <v/>
      </c>
      <c r="O98" s="44">
        <f>IF(AND(J98&lt;&gt;"",K98=""),IF(ISNUMBER(J98),IF(TODAY()-(IF(ISNUMBER(J98),J98,IFERROR(DATE(2000+VALUE(RIGHT(J98,2)),VALUE(MID(J98,4,2)),VALUE(LEFT(J98,2))),"")))&gt;5,1,0),IFERROR(IF(TODAY()-DATE(2000+VALUE(RIGHT(J98,2)),VALUE(MID(J98,4,2)),VALUE(LEFT(J98,2)))&gt;5,1,0),0)),0)</f>
        <v/>
      </c>
      <c r="P98" s="44">
        <f>IF(O98=1,COUNTIF($O$2:O98,1),"")</f>
        <v/>
      </c>
      <c r="Q98" s="77">
        <f>IF(OR(B98="",G98="",H98&lt;&gt;"OCCUPIED"),"",IF(ISNUMBER(SEARCH("WHEAT",G98)),SUMPRODUCT(--ISNUMBER(SEARCH("WHEAT",$G$2:$G$100))*--($H$2:$H$100="OCCUPIED")*--($B$2:$B$100&lt;&gt;"")*--(IF(ISNUMBER($B$2:$B$100),$B$2:$B$100,IFERROR(DATE(2000+VALUE(RIGHT($B$2:$B$100,2)),VALUE(MID($B$2:$B$100,4,2)),VALUE(LEFT($B$2:$B$100,2))),0))&lt;IF(ISNUMBER(B98),B98,IFERROR(DATE(2000+VALUE(RIGHT(B98,2)),VALUE(MID(B98,4,2)),VALUE(LEFT(B98,2))),0))))+SUMPRODUCT(--ISNUMBER(SEARCH("WHEAT",$G$2:$G98))*--($H$2:$H98="OCCUPIED")*--($B$2:$B98&lt;&gt;"")*--(IF(ISNUMBER($B$2:$B98),$B$2:$B98,IFERROR(DATE(2000+VALUE(RIGHT($B$2:$B98,2)),VALUE(MID($B$2:$B98,4,2)),VALUE(LEFT($B$2:$B98,2))),0))=IF(ISNUMBER(B98),B98,IFERROR(DATE(2000+VALUE(RIGHT(B98,2)),VALUE(MID(B98,4,2)),VALUE(LEFT(B98,2))),0)))),""))</f>
        <v/>
      </c>
      <c r="R98" s="77">
        <f>IF(OR(B98="",G98="",H98&lt;&gt;"OCCUPIED"),"",IF(NOT(ISNUMBER(SEARCH("WHEAT",G98))),SUMPRODUCT(--($G$2:$G$100&lt;&gt;"")*--ISERROR(SEARCH("WHEAT",$G$2:$G$100))*--($H$2:$H$100="OCCUPIED")*--($B$2:$B$100&lt;&gt;"")*--(IF(ISNUMBER($B$2:$B$100),$B$2:$B$100,IFERROR(DATE(2000+VALUE(RIGHT($B$2:$B$100,2)),VALUE(MID($B$2:$B$100,4,2)),VALUE(LEFT($B$2:$B$100,2))),0))&lt;IF(ISNUMBER(B98),B98,IFERROR(DATE(2000+VALUE(RIGHT(B98,2)),VALUE(MID(B98,4,2)),VALUE(LEFT(B98,2))),0))))+SUMPRODUCT(--($G$2:$G98&lt;&gt;"")*--ISERROR(SEARCH("WHEAT",$G$2:$G98))*--($H$2:$H98="OCCUPIED")*--($B$2:$B98&lt;&gt;"")*--(IF(ISNUMBER($B$2:$B98),$B$2:$B98,IFERROR(DATE(2000+VALUE(RIGHT($B$2:$B98,2)),VALUE(MID($B$2:$B98,4,2)),VALUE(LEFT($B$2:$B98,2))),0))=IF(ISNUMBER(B98),B98,IFERROR(DATE(2000+VALUE(RIGHT(B98,2)),VALUE(MID(B98,4,2)),VALUE(LEFT(B98,2))),0)))),""))</f>
        <v/>
      </c>
    </row>
    <row r="99" ht="15.75" customHeight="1" s="42">
      <c r="A99" s="44">
        <f>IF(D99="","",ROWS($D$2:D99))</f>
        <v/>
      </c>
      <c r="B99" s="82" t="n"/>
      <c r="C99" s="83" t="n"/>
      <c r="D99" s="83" t="n"/>
      <c r="E99" s="83" t="n"/>
      <c r="F99" s="83" t="n"/>
      <c r="G99" s="83" t="n"/>
      <c r="H99" s="44">
        <f>IF(AND(E99="",F99="",G99=""),"EMPTY","OCCUPIED")</f>
        <v/>
      </c>
      <c r="I99" s="44">
        <f>IF(B99="","",IF(ISNUMBER(B99),MAX(0,TODAY()-(IF(ISNUMBER(B99),B99,IFERROR(DATE(2000+VALUE(RIGHT(B99,2)),VALUE(MID(B99,4,2)),VALUE(LEFT(B99,2))),"")))),IFERROR(MAX(0,TODAY()-DATE(2000+VALUE(RIGHT(B99,2)),VALUE(MID(B99,4,2)),VALUE(LEFT(B99,2))),"")))</f>
        <v/>
      </c>
      <c r="J99" s="82" t="n"/>
      <c r="K99" s="82" t="n"/>
      <c r="L99" s="82" t="n"/>
      <c r="M99" s="44">
        <f>IF(AND(H99="OCCUPIED",J99&lt;&gt;"",K99=""),1,0)</f>
        <v/>
      </c>
      <c r="N99" s="44">
        <f>IF(M99=1,COUNTIF($M$2:M99,1),"")</f>
        <v/>
      </c>
      <c r="O99" s="44">
        <f>IF(AND(J99&lt;&gt;"",K99=""),IF(ISNUMBER(J99),IF(TODAY()-(IF(ISNUMBER(J99),J99,IFERROR(DATE(2000+VALUE(RIGHT(J99,2)),VALUE(MID(J99,4,2)),VALUE(LEFT(J99,2))),"")))&gt;5,1,0),IFERROR(IF(TODAY()-DATE(2000+VALUE(RIGHT(J99,2)),VALUE(MID(J99,4,2)),VALUE(LEFT(J99,2)))&gt;5,1,0),0)),0)</f>
        <v/>
      </c>
      <c r="P99" s="44">
        <f>IF(O99=1,COUNTIF($O$2:O99,1),"")</f>
        <v/>
      </c>
      <c r="Q99" s="77">
        <f>IF(OR(B99="",G99="",H99&lt;&gt;"OCCUPIED"),"",IF(ISNUMBER(SEARCH("WHEAT",G99)),SUMPRODUCT(--ISNUMBER(SEARCH("WHEAT",$G$2:$G$100))*--($H$2:$H$100="OCCUPIED")*--($B$2:$B$100&lt;&gt;"")*--(IF(ISNUMBER($B$2:$B$100),$B$2:$B$100,IFERROR(DATE(2000+VALUE(RIGHT($B$2:$B$100,2)),VALUE(MID($B$2:$B$100,4,2)),VALUE(LEFT($B$2:$B$100,2))),0))&lt;IF(ISNUMBER(B99),B99,IFERROR(DATE(2000+VALUE(RIGHT(B99,2)),VALUE(MID(B99,4,2)),VALUE(LEFT(B99,2))),0))))+SUMPRODUCT(--ISNUMBER(SEARCH("WHEAT",$G$2:$G99))*--($H$2:$H99="OCCUPIED")*--($B$2:$B99&lt;&gt;"")*--(IF(ISNUMBER($B$2:$B99),$B$2:$B99,IFERROR(DATE(2000+VALUE(RIGHT($B$2:$B99,2)),VALUE(MID($B$2:$B99,4,2)),VALUE(LEFT($B$2:$B99,2))),0))=IF(ISNUMBER(B99),B99,IFERROR(DATE(2000+VALUE(RIGHT(B99,2)),VALUE(MID(B99,4,2)),VALUE(LEFT(B99,2))),0)))),""))</f>
        <v/>
      </c>
      <c r="R99" s="77">
        <f>IF(OR(B99="",G99="",H99&lt;&gt;"OCCUPIED"),"",IF(NOT(ISNUMBER(SEARCH("WHEAT",G99))),SUMPRODUCT(--($G$2:$G$100&lt;&gt;"")*--ISERROR(SEARCH("WHEAT",$G$2:$G$100))*--($H$2:$H$100="OCCUPIED")*--($B$2:$B$100&lt;&gt;"")*--(IF(ISNUMBER($B$2:$B$100),$B$2:$B$100,IFERROR(DATE(2000+VALUE(RIGHT($B$2:$B$100,2)),VALUE(MID($B$2:$B$100,4,2)),VALUE(LEFT($B$2:$B$100,2))),0))&lt;IF(ISNUMBER(B99),B99,IFERROR(DATE(2000+VALUE(RIGHT(B99,2)),VALUE(MID(B99,4,2)),VALUE(LEFT(B99,2))),0))))+SUMPRODUCT(--($G$2:$G99&lt;&gt;"")*--ISERROR(SEARCH("WHEAT",$G$2:$G99))*--($H$2:$H99="OCCUPIED")*--($B$2:$B99&lt;&gt;"")*--(IF(ISNUMBER($B$2:$B99),$B$2:$B99,IFERROR(DATE(2000+VALUE(RIGHT($B$2:$B99,2)),VALUE(MID($B$2:$B99,4,2)),VALUE(LEFT($B$2:$B99,2))),0))=IF(ISNUMBER(B99),B99,IFERROR(DATE(2000+VALUE(RIGHT(B99,2)),VALUE(MID(B99,4,2)),VALUE(LEFT(B99,2))),0)))),""))</f>
        <v/>
      </c>
    </row>
    <row r="100" ht="15.75" customHeight="1" s="42">
      <c r="A100" s="44">
        <f>IF(D100="","",ROWS($D$2:D100))</f>
        <v/>
      </c>
      <c r="B100" s="82" t="n"/>
      <c r="C100" s="83" t="n"/>
      <c r="D100" s="83" t="n"/>
      <c r="E100" s="83" t="n"/>
      <c r="F100" s="83" t="n"/>
      <c r="G100" s="83" t="n"/>
      <c r="H100" s="44">
        <f>IF(AND(E100="",F100="",G100=""),"EMPTY","OCCUPIED")</f>
        <v/>
      </c>
      <c r="I100" s="44">
        <f>IF(B100="","",IF(ISNUMBER(B100),MAX(0,TODAY()-(IF(ISNUMBER(B100),B100,IFERROR(DATE(2000+VALUE(RIGHT(B100,2)),VALUE(MID(B100,4,2)),VALUE(LEFT(B100,2))),"")))),IFERROR(MAX(0,TODAY()-DATE(2000+VALUE(RIGHT(B100,2)),VALUE(MID(B100,4,2)),VALUE(LEFT(B100,2))),"")))</f>
        <v/>
      </c>
      <c r="J100" s="82" t="n"/>
      <c r="K100" s="82" t="n"/>
      <c r="L100" s="82" t="n"/>
      <c r="M100" s="44">
        <f>IF(AND(H100="OCCUPIED",J100&lt;&gt;"",K100=""),1,0)</f>
        <v/>
      </c>
      <c r="N100" s="44">
        <f>IF(M100=1,COUNTIF($M$2:M100,1),"")</f>
        <v/>
      </c>
      <c r="O100" s="44">
        <f>IF(AND(J100&lt;&gt;"",K100=""),IF(ISNUMBER(J100),IF(TODAY()-(IF(ISNUMBER(J100),J100,IFERROR(DATE(2000+VALUE(RIGHT(J100,2)),VALUE(MID(J100,4,2)),VALUE(LEFT(J100,2))),"")))&gt;5,1,0),IFERROR(IF(TODAY()-DATE(2000+VALUE(RIGHT(J100,2)),VALUE(MID(J100,4,2)),VALUE(LEFT(J100,2)))&gt;5,1,0),0)),0)</f>
        <v/>
      </c>
      <c r="P100" s="44">
        <f>IF(O100=1,COUNTIF($O$2:O100,1),"")</f>
        <v/>
      </c>
      <c r="Q100" s="77">
        <f>IF(OR(B100="",G100="",H100&lt;&gt;"OCCUPIED"),"",IF(ISNUMBER(SEARCH("WHEAT",G100)),SUMPRODUCT(--ISNUMBER(SEARCH("WHEAT",$G$2:$G$100))*--($H$2:$H$100="OCCUPIED")*--($B$2:$B$100&lt;&gt;"")*--(IF(ISNUMBER($B$2:$B$100),$B$2:$B$100,IFERROR(DATE(2000+VALUE(RIGHT($B$2:$B$100,2)),VALUE(MID($B$2:$B$100,4,2)),VALUE(LEFT($B$2:$B$100,2))),0))&lt;IF(ISNUMBER(B100),B100,IFERROR(DATE(2000+VALUE(RIGHT(B100,2)),VALUE(MID(B100,4,2)),VALUE(LEFT(B100,2))),0))))+SUMPRODUCT(--ISNUMBER(SEARCH("WHEAT",$G$2:$G100))*--($H$2:$H100="OCCUPIED")*--($B$2:$B100&lt;&gt;"")*--(IF(ISNUMBER($B$2:$B100),$B$2:$B100,IFERROR(DATE(2000+VALUE(RIGHT($B$2:$B100,2)),VALUE(MID($B$2:$B100,4,2)),VALUE(LEFT($B$2:$B100,2))),0))=IF(ISNUMBER(B100),B100,IFERROR(DATE(2000+VALUE(RIGHT(B100,2)),VALUE(MID(B100,4,2)),VALUE(LEFT(B100,2))),0)))),""))</f>
        <v/>
      </c>
      <c r="R100" s="77">
        <f>IF(OR(B100="",G100="",H100&lt;&gt;"OCCUPIED"),"",IF(NOT(ISNUMBER(SEARCH("WHEAT",G100))),SUMPRODUCT(--($G$2:$G$100&lt;&gt;"")*--ISERROR(SEARCH("WHEAT",$G$2:$G$100))*--($H$2:$H$100="OCCUPIED")*--($B$2:$B$100&lt;&gt;"")*--(IF(ISNUMBER($B$2:$B$100),$B$2:$B$100,IFERROR(DATE(2000+VALUE(RIGHT($B$2:$B$100,2)),VALUE(MID($B$2:$B$100,4,2)),VALUE(LEFT($B$2:$B$100,2))),0))&lt;IF(ISNUMBER(B100),B100,IFERROR(DATE(2000+VALUE(RIGHT(B100,2)),VALUE(MID(B100,4,2)),VALUE(LEFT(B100,2))),0))))+SUMPRODUCT(--($G$2:$G100&lt;&gt;"")*--ISERROR(SEARCH("WHEAT",$G$2:$G100))*--($H$2:$H100="OCCUPIED")*--($B$2:$B100&lt;&gt;"")*--(IF(ISNUMBER($B$2:$B100),$B$2:$B100,IFERROR(DATE(2000+VALUE(RIGHT($B$2:$B100,2)),VALUE(MID($B$2:$B100,4,2)),VALUE(LEFT($B$2:$B100,2))),0))=IF(ISNUMBER(B100),B100,IFERROR(DATE(2000+VALUE(RIGHT(B100,2)),VALUE(MID(B100,4,2)),VALUE(LEFT(B100,2))),0)))),""))</f>
        <v/>
      </c>
    </row>
    <row r="101" ht="15.75" customHeight="1" s="42"/>
    <row r="102" ht="15.75" customHeight="1" s="42"/>
    <row r="103" ht="15.75" customHeight="1" s="42"/>
    <row r="104" ht="15.75" customHeight="1" s="42"/>
    <row r="105" ht="15.75" customHeight="1" s="42"/>
    <row r="106" ht="15.75" customHeight="1" s="42"/>
    <row r="107" ht="15.75" customHeight="1" s="42"/>
    <row r="108" ht="15.75" customHeight="1" s="42"/>
    <row r="109" ht="15.75" customHeight="1" s="42"/>
    <row r="110" ht="15.75" customHeight="1" s="42"/>
    <row r="111" ht="15.75" customHeight="1" s="42"/>
    <row r="112" ht="15.75" customHeight="1" s="42"/>
    <row r="113" ht="15.75" customHeight="1" s="42"/>
    <row r="114" ht="15.75" customHeight="1" s="42"/>
    <row r="115" ht="15.75" customHeight="1" s="42"/>
    <row r="116" ht="15.75" customHeight="1" s="42"/>
    <row r="117" ht="15.75" customHeight="1" s="42"/>
    <row r="118" ht="15.75" customHeight="1" s="42"/>
    <row r="119" ht="15.75" customHeight="1" s="42"/>
    <row r="120" ht="15.75" customHeight="1" s="42"/>
    <row r="121" ht="15.75" customHeight="1" s="42"/>
    <row r="122" ht="15.75" customHeight="1" s="42"/>
    <row r="123" ht="15.75" customHeight="1" s="42"/>
    <row r="124" ht="15.75" customHeight="1" s="42"/>
    <row r="125" ht="15.75" customHeight="1" s="42"/>
    <row r="126" ht="15.75" customHeight="1" s="42"/>
    <row r="127" ht="15.75" customHeight="1" s="42"/>
    <row r="128" ht="15.75" customHeight="1" s="42"/>
    <row r="129" ht="15.75" customHeight="1" s="42"/>
    <row r="130" ht="15.75" customHeight="1" s="42"/>
    <row r="131" ht="15.75" customHeight="1" s="42"/>
    <row r="132" ht="15.75" customHeight="1" s="42"/>
    <row r="133" ht="15.75" customHeight="1" s="42"/>
    <row r="134" ht="15.75" customHeight="1" s="42"/>
    <row r="135" ht="15.75" customHeight="1" s="42"/>
    <row r="136" ht="15.75" customHeight="1" s="42"/>
    <row r="137" ht="15.75" customHeight="1" s="42"/>
    <row r="138" ht="15.75" customHeight="1" s="42"/>
    <row r="139" ht="15.75" customHeight="1" s="42"/>
    <row r="140" ht="15.75" customHeight="1" s="42"/>
    <row r="141" ht="15.75" customHeight="1" s="42"/>
    <row r="142" ht="15.75" customHeight="1" s="42"/>
    <row r="143" ht="15.75" customHeight="1" s="42"/>
    <row r="144" ht="15.75" customHeight="1" s="42"/>
    <row r="145" ht="15.75" customHeight="1" s="42"/>
    <row r="146" ht="15.75" customHeight="1" s="42"/>
    <row r="147" ht="15.75" customHeight="1" s="42"/>
    <row r="148" ht="15.75" customHeight="1" s="42"/>
    <row r="149" ht="15.75" customHeight="1" s="42"/>
    <row r="150" ht="15.75" customHeight="1" s="42"/>
    <row r="151" ht="15.75" customHeight="1" s="42"/>
    <row r="152" ht="15.75" customHeight="1" s="42"/>
    <row r="153" ht="15.75" customHeight="1" s="42"/>
    <row r="154" ht="15.75" customHeight="1" s="42"/>
    <row r="155" ht="15.75" customHeight="1" s="42"/>
    <row r="156" ht="15.75" customHeight="1" s="42"/>
    <row r="157" ht="15.75" customHeight="1" s="42"/>
    <row r="158" ht="15.75" customHeight="1" s="42"/>
    <row r="159" ht="15.75" customHeight="1" s="42"/>
    <row r="160" ht="15.75" customHeight="1" s="42"/>
    <row r="161" ht="15.75" customHeight="1" s="42"/>
    <row r="162" ht="15.75" customHeight="1" s="42"/>
    <row r="163" ht="15.75" customHeight="1" s="42"/>
    <row r="164" ht="15.75" customHeight="1" s="42"/>
    <row r="165" ht="15.75" customHeight="1" s="42"/>
    <row r="166" ht="15.75" customHeight="1" s="42"/>
    <row r="167" ht="15.75" customHeight="1" s="42"/>
    <row r="168" ht="15.75" customHeight="1" s="42"/>
    <row r="169" ht="15.75" customHeight="1" s="42"/>
    <row r="170" ht="15.75" customHeight="1" s="42"/>
    <row r="171" ht="15.75" customHeight="1" s="42"/>
    <row r="172" ht="15.75" customHeight="1" s="42"/>
    <row r="173" ht="15.75" customHeight="1" s="42"/>
    <row r="174" ht="15.75" customHeight="1" s="42"/>
    <row r="175" ht="15.75" customHeight="1" s="42"/>
    <row r="176" ht="15.75" customHeight="1" s="42"/>
    <row r="177" ht="15.75" customHeight="1" s="42"/>
    <row r="178" ht="15.75" customHeight="1" s="42"/>
    <row r="179" ht="15.75" customHeight="1" s="42"/>
    <row r="180" ht="15.75" customHeight="1" s="42"/>
    <row r="181" ht="15.75" customHeight="1" s="42"/>
    <row r="182" ht="15.75" customHeight="1" s="42"/>
    <row r="183" ht="15.75" customHeight="1" s="42"/>
    <row r="184" ht="15.75" customHeight="1" s="42"/>
    <row r="185" ht="15.75" customHeight="1" s="42"/>
    <row r="186" ht="15.75" customHeight="1" s="42"/>
    <row r="187" ht="15.75" customHeight="1" s="42"/>
    <row r="188" ht="15.75" customHeight="1" s="42"/>
    <row r="189" ht="15.75" customHeight="1" s="42"/>
    <row r="190" ht="15.75" customHeight="1" s="42"/>
    <row r="191" ht="15.75" customHeight="1" s="42"/>
    <row r="192" ht="15.75" customHeight="1" s="42"/>
    <row r="193" ht="15.75" customHeight="1" s="42"/>
    <row r="194" ht="15.75" customHeight="1" s="42"/>
    <row r="195" ht="15.75" customHeight="1" s="42"/>
    <row r="196" ht="15.75" customHeight="1" s="42"/>
    <row r="197" ht="15.75" customHeight="1" s="42"/>
    <row r="198" ht="15.75" customHeight="1" s="42"/>
    <row r="199" ht="15.75" customHeight="1" s="42"/>
    <row r="200" ht="15.75" customHeight="1" s="42"/>
    <row r="201" ht="15.75" customHeight="1" s="42"/>
    <row r="202" ht="15.75" customHeight="1" s="42"/>
    <row r="203" ht="15.75" customHeight="1" s="42"/>
    <row r="204" ht="15.75" customHeight="1" s="42"/>
    <row r="205" ht="15.75" customHeight="1" s="42"/>
    <row r="206" ht="15.75" customHeight="1" s="42"/>
    <row r="207" ht="15.75" customHeight="1" s="42"/>
    <row r="208" ht="15.75" customHeight="1" s="42"/>
    <row r="209" ht="15.75" customHeight="1" s="42"/>
    <row r="210" ht="15.75" customHeight="1" s="42"/>
    <row r="211" ht="15.75" customHeight="1" s="42"/>
    <row r="212" ht="15.75" customHeight="1" s="42"/>
    <row r="213" ht="15.75" customHeight="1" s="42"/>
    <row r="214" ht="15.75" customHeight="1" s="42"/>
    <row r="215" ht="15.75" customHeight="1" s="42"/>
    <row r="216" ht="15.75" customHeight="1" s="42"/>
    <row r="217" ht="15.75" customHeight="1" s="42"/>
    <row r="218" ht="15.75" customHeight="1" s="42"/>
    <row r="219" ht="15.75" customHeight="1" s="42"/>
    <row r="220" ht="15.75" customHeight="1" s="42"/>
    <row r="221" ht="15.75" customHeight="1" s="42"/>
    <row r="222" ht="15.75" customHeight="1" s="42"/>
    <row r="223" ht="15.75" customHeight="1" s="42"/>
    <row r="224" ht="15.75" customHeight="1" s="42"/>
    <row r="225" ht="15.75" customHeight="1" s="42"/>
    <row r="226" ht="15.75" customHeight="1" s="42"/>
    <row r="227" ht="15.75" customHeight="1" s="42"/>
    <row r="228" ht="15.75" customHeight="1" s="42"/>
    <row r="229" ht="15.75" customHeight="1" s="42"/>
    <row r="230" ht="15.75" customHeight="1" s="42"/>
    <row r="231" ht="15.75" customHeight="1" s="42"/>
    <row r="232" ht="15.75" customHeight="1" s="42"/>
    <row r="233" ht="15.75" customHeight="1" s="42"/>
    <row r="234" ht="15.75" customHeight="1" s="42"/>
    <row r="235" ht="15.75" customHeight="1" s="42"/>
    <row r="236" ht="15.75" customHeight="1" s="42"/>
    <row r="237" ht="15.75" customHeight="1" s="42"/>
    <row r="238" ht="15.75" customHeight="1" s="42"/>
    <row r="239" ht="15.75" customHeight="1" s="42"/>
    <row r="240" ht="15.75" customHeight="1" s="42"/>
    <row r="241" ht="15.75" customHeight="1" s="42"/>
    <row r="242" ht="15.75" customHeight="1" s="42"/>
    <row r="243" ht="15.75" customHeight="1" s="42"/>
    <row r="244" ht="15.75" customHeight="1" s="42"/>
    <row r="245" ht="15.75" customHeight="1" s="42"/>
    <row r="246" ht="15.75" customHeight="1" s="42"/>
    <row r="247" ht="15.75" customHeight="1" s="42"/>
    <row r="248" ht="15.75" customHeight="1" s="42"/>
    <row r="249" ht="15.75" customHeight="1" s="42"/>
    <row r="250" ht="15.75" customHeight="1" s="42"/>
    <row r="251" ht="15.75" customHeight="1" s="42"/>
    <row r="252" ht="15.75" customHeight="1" s="42"/>
    <row r="253" ht="15.75" customHeight="1" s="42"/>
    <row r="254" ht="15.75" customHeight="1" s="42"/>
    <row r="255" ht="15.75" customHeight="1" s="42"/>
    <row r="256" ht="15.75" customHeight="1" s="42"/>
    <row r="257" ht="15.75" customHeight="1" s="42"/>
    <row r="258" ht="15.75" customHeight="1" s="42"/>
    <row r="259" ht="15.75" customHeight="1" s="42"/>
    <row r="260" ht="15.75" customHeight="1" s="42"/>
    <row r="261" ht="15.75" customHeight="1" s="42"/>
    <row r="262" ht="15.75" customHeight="1" s="42"/>
    <row r="263" ht="15.75" customHeight="1" s="42"/>
    <row r="264" ht="15.75" customHeight="1" s="42"/>
    <row r="265" ht="15.75" customHeight="1" s="42"/>
    <row r="266" ht="15.75" customHeight="1" s="42"/>
    <row r="267" ht="15.75" customHeight="1" s="42"/>
    <row r="268" ht="15.75" customHeight="1" s="42"/>
    <row r="269" ht="15.75" customHeight="1" s="42"/>
    <row r="270" ht="15.75" customHeight="1" s="42"/>
    <row r="271" ht="15.75" customHeight="1" s="42"/>
    <row r="272" ht="15.75" customHeight="1" s="42"/>
    <row r="273" ht="15.75" customHeight="1" s="42"/>
    <row r="274" ht="15.75" customHeight="1" s="42"/>
    <row r="275" ht="15.75" customHeight="1" s="42"/>
    <row r="276" ht="15.75" customHeight="1" s="42"/>
    <row r="277" ht="15.75" customHeight="1" s="42"/>
    <row r="278" ht="15.75" customHeight="1" s="42"/>
    <row r="279" ht="15.75" customHeight="1" s="42"/>
    <row r="280" ht="15.75" customHeight="1" s="42"/>
    <row r="281" ht="15.75" customHeight="1" s="42"/>
    <row r="282" ht="15.75" customHeight="1" s="42"/>
    <row r="283" ht="15.75" customHeight="1" s="42"/>
    <row r="284" ht="15.75" customHeight="1" s="42"/>
    <row r="285" ht="15.75" customHeight="1" s="42"/>
    <row r="286" ht="15.75" customHeight="1" s="42"/>
    <row r="287" ht="15.75" customHeight="1" s="42"/>
    <row r="288" ht="15.75" customHeight="1" s="42"/>
    <row r="289" ht="15.75" customHeight="1" s="42"/>
    <row r="290" ht="15.75" customHeight="1" s="42"/>
    <row r="291" ht="15.75" customHeight="1" s="42"/>
    <row r="292" ht="15.75" customHeight="1" s="42"/>
    <row r="293" ht="15.75" customHeight="1" s="42"/>
    <row r="294" ht="15.75" customHeight="1" s="42"/>
    <row r="295" ht="15.75" customHeight="1" s="42"/>
    <row r="296" ht="15.75" customHeight="1" s="42"/>
    <row r="297" ht="15.75" customHeight="1" s="42"/>
    <row r="298" ht="15.75" customHeight="1" s="42"/>
    <row r="299" ht="15.75" customHeight="1" s="42"/>
    <row r="300" ht="15.75" customHeight="1" s="42"/>
    <row r="301" ht="15.75" customHeight="1" s="42"/>
    <row r="302" ht="15.75" customHeight="1" s="42"/>
    <row r="303" ht="15.75" customHeight="1" s="42"/>
    <row r="304" ht="15.75" customHeight="1" s="42"/>
    <row r="305" ht="15.75" customHeight="1" s="42"/>
    <row r="306" ht="15.75" customHeight="1" s="42"/>
    <row r="307" ht="15.75" customHeight="1" s="42"/>
    <row r="308" ht="15.75" customHeight="1" s="42"/>
    <row r="309" ht="15.75" customHeight="1" s="42"/>
    <row r="310" ht="15.75" customHeight="1" s="42"/>
    <row r="311" ht="15.75" customHeight="1" s="42"/>
    <row r="312" ht="15.75" customHeight="1" s="42"/>
    <row r="313" ht="15.75" customHeight="1" s="42"/>
    <row r="314" ht="15.75" customHeight="1" s="42"/>
    <row r="315" ht="15.75" customHeight="1" s="42"/>
    <row r="316" ht="15.75" customHeight="1" s="42"/>
    <row r="317" ht="15.75" customHeight="1" s="42"/>
    <row r="318" ht="15.75" customHeight="1" s="42"/>
    <row r="319" ht="15.75" customHeight="1" s="42"/>
    <row r="320" ht="15.75" customHeight="1" s="42"/>
    <row r="321" ht="15.75" customHeight="1" s="42"/>
    <row r="322" ht="15.75" customHeight="1" s="42"/>
    <row r="323" ht="15.75" customHeight="1" s="42"/>
    <row r="324" ht="15.75" customHeight="1" s="42"/>
    <row r="325" ht="15.75" customHeight="1" s="42"/>
    <row r="326" ht="15.75" customHeight="1" s="42"/>
    <row r="327" ht="15.75" customHeight="1" s="42"/>
    <row r="328" ht="15.75" customHeight="1" s="42"/>
    <row r="329" ht="15.75" customHeight="1" s="42"/>
    <row r="330" ht="15.75" customHeight="1" s="42"/>
    <row r="331" ht="15.75" customHeight="1" s="42"/>
    <row r="332" ht="15.75" customHeight="1" s="42"/>
    <row r="333" ht="15.75" customHeight="1" s="42"/>
    <row r="334" ht="15.75" customHeight="1" s="42"/>
    <row r="335" ht="15.75" customHeight="1" s="42"/>
    <row r="336" ht="15.75" customHeight="1" s="42"/>
    <row r="337" ht="15.75" customHeight="1" s="42"/>
    <row r="338" ht="15.75" customHeight="1" s="42"/>
    <row r="339" ht="15.75" customHeight="1" s="42"/>
    <row r="340" ht="15.75" customHeight="1" s="42"/>
    <row r="341" ht="15.75" customHeight="1" s="42"/>
    <row r="342" ht="15.75" customHeight="1" s="42"/>
    <row r="343" ht="15.75" customHeight="1" s="42"/>
    <row r="344" ht="15.75" customHeight="1" s="42"/>
    <row r="345" ht="15.75" customHeight="1" s="42"/>
    <row r="346" ht="15.75" customHeight="1" s="42"/>
    <row r="347" ht="15.75" customHeight="1" s="42"/>
    <row r="348" ht="15.75" customHeight="1" s="42"/>
    <row r="349" ht="15.75" customHeight="1" s="42"/>
    <row r="350" ht="15.75" customHeight="1" s="42"/>
    <row r="351" ht="15.75" customHeight="1" s="42"/>
    <row r="352" ht="15.75" customHeight="1" s="42"/>
    <row r="353" ht="15.75" customHeight="1" s="42"/>
    <row r="354" ht="15.75" customHeight="1" s="42"/>
    <row r="355" ht="15.75" customHeight="1" s="42"/>
    <row r="356" ht="15.75" customHeight="1" s="42"/>
    <row r="357" ht="15.75" customHeight="1" s="42"/>
    <row r="358" ht="15.75" customHeight="1" s="42"/>
    <row r="359" ht="15.75" customHeight="1" s="42"/>
    <row r="360" ht="15.75" customHeight="1" s="42"/>
    <row r="361" ht="15.75" customHeight="1" s="42"/>
    <row r="362" ht="15.75" customHeight="1" s="42"/>
    <row r="363" ht="15.75" customHeight="1" s="42"/>
    <row r="364" ht="15.75" customHeight="1" s="42"/>
    <row r="365" ht="15.75" customHeight="1" s="42"/>
    <row r="366" ht="15.75" customHeight="1" s="42"/>
    <row r="367" ht="15.75" customHeight="1" s="42"/>
    <row r="368" ht="15.75" customHeight="1" s="42"/>
    <row r="369" ht="15.75" customHeight="1" s="42"/>
    <row r="370" ht="15.75" customHeight="1" s="42"/>
    <row r="371" ht="15.75" customHeight="1" s="42"/>
    <row r="372" ht="15.75" customHeight="1" s="42"/>
    <row r="373" ht="15.75" customHeight="1" s="42"/>
    <row r="374" ht="15.75" customHeight="1" s="42"/>
    <row r="375" ht="15.75" customHeight="1" s="42"/>
    <row r="376" ht="15.75" customHeight="1" s="42"/>
    <row r="377" ht="15.75" customHeight="1" s="42"/>
    <row r="378" ht="15.75" customHeight="1" s="42"/>
    <row r="379" ht="15.75" customHeight="1" s="42"/>
    <row r="380" ht="15.75" customHeight="1" s="42"/>
    <row r="381" ht="15.75" customHeight="1" s="42"/>
    <row r="382" ht="15.75" customHeight="1" s="42"/>
    <row r="383" ht="15.75" customHeight="1" s="42"/>
    <row r="384" ht="15.75" customHeight="1" s="42"/>
    <row r="385" ht="15.75" customHeight="1" s="42"/>
    <row r="386" ht="15.75" customHeight="1" s="42"/>
    <row r="387" ht="15.75" customHeight="1" s="42"/>
    <row r="388" ht="15.75" customHeight="1" s="42"/>
    <row r="389" ht="15.75" customHeight="1" s="42"/>
    <row r="390" ht="15.75" customHeight="1" s="42"/>
    <row r="391" ht="15.75" customHeight="1" s="42"/>
    <row r="392" ht="15.75" customHeight="1" s="42"/>
    <row r="393" ht="15.75" customHeight="1" s="42"/>
    <row r="394" ht="15.75" customHeight="1" s="42"/>
    <row r="395" ht="15.75" customHeight="1" s="42"/>
    <row r="396" ht="15.75" customHeight="1" s="42"/>
    <row r="397" ht="15.75" customHeight="1" s="42"/>
    <row r="398" ht="15.75" customHeight="1" s="42"/>
    <row r="399" ht="15.75" customHeight="1" s="42"/>
    <row r="400" ht="15.75" customHeight="1" s="42"/>
    <row r="401" ht="15.75" customHeight="1" s="42"/>
    <row r="402" ht="15.75" customHeight="1" s="42"/>
    <row r="403" ht="15.75" customHeight="1" s="42"/>
    <row r="404" ht="15.75" customHeight="1" s="42"/>
    <row r="405" ht="15.75" customHeight="1" s="42"/>
    <row r="406" ht="15.75" customHeight="1" s="42"/>
    <row r="407" ht="15.75" customHeight="1" s="42"/>
    <row r="408" ht="15.75" customHeight="1" s="42"/>
    <row r="409" ht="15.75" customHeight="1" s="42"/>
    <row r="410" ht="15.75" customHeight="1" s="42"/>
    <row r="411" ht="15.75" customHeight="1" s="42"/>
    <row r="412" ht="15.75" customHeight="1" s="42"/>
    <row r="413" ht="15.75" customHeight="1" s="42"/>
    <row r="414" ht="15.75" customHeight="1" s="42"/>
    <row r="415" ht="15.75" customHeight="1" s="42"/>
    <row r="416" ht="15.75" customHeight="1" s="42"/>
    <row r="417" ht="15.75" customHeight="1" s="42"/>
    <row r="418" ht="15.75" customHeight="1" s="42"/>
    <row r="419" ht="15.75" customHeight="1" s="42"/>
    <row r="420" ht="15.75" customHeight="1" s="42"/>
    <row r="421" ht="15.75" customHeight="1" s="42"/>
    <row r="422" ht="15.75" customHeight="1" s="42"/>
    <row r="423" ht="15.75" customHeight="1" s="42"/>
    <row r="424" ht="15.75" customHeight="1" s="42"/>
    <row r="425" ht="15.75" customHeight="1" s="42"/>
    <row r="426" ht="15.75" customHeight="1" s="42"/>
    <row r="427" ht="15.75" customHeight="1" s="42"/>
    <row r="428" ht="15.75" customHeight="1" s="42"/>
    <row r="429" ht="15.75" customHeight="1" s="42"/>
    <row r="430" ht="15.75" customHeight="1" s="42"/>
    <row r="431" ht="15.75" customHeight="1" s="42"/>
    <row r="432" ht="15.75" customHeight="1" s="42"/>
    <row r="433" ht="15.75" customHeight="1" s="42"/>
    <row r="434" ht="15.75" customHeight="1" s="42"/>
    <row r="435" ht="15.75" customHeight="1" s="42"/>
    <row r="436" ht="15.75" customHeight="1" s="42"/>
    <row r="437" ht="15.75" customHeight="1" s="42"/>
    <row r="438" ht="15.75" customHeight="1" s="42"/>
    <row r="439" ht="15.75" customHeight="1" s="42"/>
    <row r="440" ht="15.75" customHeight="1" s="42"/>
    <row r="441" ht="15.75" customHeight="1" s="42"/>
    <row r="442" ht="15.75" customHeight="1" s="42"/>
    <row r="443" ht="15.75" customHeight="1" s="42"/>
    <row r="444" ht="15.75" customHeight="1" s="42"/>
    <row r="445" ht="15.75" customHeight="1" s="42"/>
    <row r="446" ht="15.75" customHeight="1" s="42"/>
    <row r="447" ht="15.75" customHeight="1" s="42"/>
    <row r="448" ht="15.75" customHeight="1" s="42"/>
    <row r="449" ht="15.75" customHeight="1" s="42"/>
    <row r="450" ht="15.75" customHeight="1" s="42"/>
    <row r="451" ht="15.75" customHeight="1" s="42"/>
    <row r="452" ht="15.75" customHeight="1" s="42"/>
    <row r="453" ht="15.75" customHeight="1" s="42"/>
    <row r="454" ht="15.75" customHeight="1" s="42"/>
    <row r="455" ht="15.75" customHeight="1" s="42"/>
    <row r="456" ht="15.75" customHeight="1" s="42"/>
    <row r="457" ht="15.75" customHeight="1" s="42"/>
    <row r="458" ht="15.75" customHeight="1" s="42"/>
    <row r="459" ht="15.75" customHeight="1" s="42"/>
    <row r="460" ht="15.75" customHeight="1" s="42"/>
    <row r="461" ht="15.75" customHeight="1" s="42"/>
    <row r="462" ht="15.75" customHeight="1" s="42"/>
    <row r="463" ht="15.75" customHeight="1" s="42"/>
    <row r="464" ht="15.75" customHeight="1" s="42"/>
    <row r="465" ht="15.75" customHeight="1" s="42"/>
    <row r="466" ht="15.75" customHeight="1" s="42"/>
    <row r="467" ht="15.75" customHeight="1" s="42"/>
    <row r="468" ht="15.75" customHeight="1" s="42"/>
    <row r="469" ht="15.75" customHeight="1" s="42"/>
    <row r="470" ht="15.75" customHeight="1" s="42"/>
    <row r="471" ht="15.75" customHeight="1" s="42"/>
    <row r="472" ht="15.75" customHeight="1" s="42"/>
    <row r="473" ht="15.75" customHeight="1" s="42"/>
    <row r="474" ht="15.75" customHeight="1" s="42"/>
    <row r="475" ht="15.75" customHeight="1" s="42"/>
    <row r="476" ht="15.75" customHeight="1" s="42"/>
    <row r="477" ht="15.75" customHeight="1" s="42"/>
    <row r="478" ht="15.75" customHeight="1" s="42"/>
    <row r="479" ht="15.75" customHeight="1" s="42"/>
    <row r="480" ht="15.75" customHeight="1" s="42"/>
    <row r="481" ht="15.75" customHeight="1" s="42"/>
    <row r="482" ht="15.75" customHeight="1" s="42"/>
    <row r="483" ht="15.75" customHeight="1" s="42"/>
    <row r="484" ht="15.75" customHeight="1" s="42"/>
    <row r="485" ht="15.75" customHeight="1" s="42"/>
    <row r="486" ht="15.75" customHeight="1" s="42"/>
    <row r="487" ht="15.75" customHeight="1" s="42"/>
    <row r="488" ht="15.75" customHeight="1" s="42"/>
    <row r="489" ht="15.75" customHeight="1" s="42"/>
    <row r="490" ht="15.75" customHeight="1" s="42"/>
    <row r="491" ht="15.75" customHeight="1" s="42"/>
    <row r="492" ht="15.75" customHeight="1" s="42"/>
    <row r="493" ht="15.75" customHeight="1" s="42"/>
    <row r="494" ht="15.75" customHeight="1" s="42"/>
    <row r="495" ht="15.75" customHeight="1" s="42"/>
    <row r="496" ht="15.75" customHeight="1" s="42"/>
    <row r="497" ht="15.75" customHeight="1" s="42"/>
    <row r="498" ht="15.75" customHeight="1" s="42"/>
    <row r="499" ht="15.75" customHeight="1" s="42"/>
    <row r="500" ht="15.75" customHeight="1" s="42"/>
    <row r="501" ht="15.75" customHeight="1" s="42"/>
    <row r="502" ht="15.75" customHeight="1" s="42"/>
    <row r="503" ht="15.75" customHeight="1" s="42"/>
    <row r="504" ht="15.75" customHeight="1" s="42"/>
    <row r="505" ht="15.75" customHeight="1" s="42"/>
    <row r="506" ht="15.75" customHeight="1" s="42"/>
    <row r="507" ht="15.75" customHeight="1" s="42"/>
    <row r="508" ht="15.75" customHeight="1" s="42"/>
    <row r="509" ht="15.75" customHeight="1" s="42"/>
    <row r="510" ht="15.75" customHeight="1" s="42"/>
    <row r="511" ht="15.75" customHeight="1" s="42"/>
    <row r="512" ht="15.75" customHeight="1" s="42"/>
    <row r="513" ht="15.75" customHeight="1" s="42"/>
    <row r="514" ht="15.75" customHeight="1" s="42"/>
    <row r="515" ht="15.75" customHeight="1" s="42"/>
    <row r="516" ht="15.75" customHeight="1" s="42"/>
    <row r="517" ht="15.75" customHeight="1" s="42"/>
    <row r="518" ht="15.75" customHeight="1" s="42"/>
    <row r="519" ht="15.75" customHeight="1" s="42"/>
    <row r="520" ht="15.75" customHeight="1" s="42"/>
    <row r="521" ht="15.75" customHeight="1" s="42"/>
    <row r="522" ht="15.75" customHeight="1" s="42"/>
    <row r="523" ht="15.75" customHeight="1" s="42"/>
    <row r="524" ht="15.75" customHeight="1" s="42"/>
    <row r="525" ht="15.75" customHeight="1" s="42"/>
    <row r="526" ht="15.75" customHeight="1" s="42"/>
    <row r="527" ht="15.75" customHeight="1" s="42"/>
    <row r="528" ht="15.75" customHeight="1" s="42"/>
    <row r="529" ht="15.75" customHeight="1" s="42"/>
    <row r="530" ht="15.75" customHeight="1" s="42"/>
    <row r="531" ht="15.75" customHeight="1" s="42"/>
    <row r="532" ht="15.75" customHeight="1" s="42"/>
    <row r="533" ht="15.75" customHeight="1" s="42"/>
    <row r="534" ht="15.75" customHeight="1" s="42"/>
    <row r="535" ht="15.75" customHeight="1" s="42"/>
    <row r="536" ht="15.75" customHeight="1" s="42"/>
    <row r="537" ht="15.75" customHeight="1" s="42"/>
    <row r="538" ht="15.75" customHeight="1" s="42"/>
    <row r="539" ht="15.75" customHeight="1" s="42"/>
    <row r="540" ht="15.75" customHeight="1" s="42"/>
    <row r="541" ht="15.75" customHeight="1" s="42"/>
    <row r="542" ht="15.75" customHeight="1" s="42"/>
    <row r="543" ht="15.75" customHeight="1" s="42"/>
    <row r="544" ht="15.75" customHeight="1" s="42"/>
    <row r="545" ht="15.75" customHeight="1" s="42"/>
    <row r="546" ht="15.75" customHeight="1" s="42"/>
    <row r="547" ht="15.75" customHeight="1" s="42"/>
    <row r="548" ht="15.75" customHeight="1" s="42"/>
    <row r="549" ht="15.75" customHeight="1" s="42"/>
    <row r="550" ht="15.75" customHeight="1" s="42"/>
    <row r="551" ht="15.75" customHeight="1" s="42"/>
    <row r="552" ht="15.75" customHeight="1" s="42"/>
    <row r="553" ht="15.75" customHeight="1" s="42"/>
    <row r="554" ht="15.75" customHeight="1" s="42"/>
    <row r="555" ht="15.75" customHeight="1" s="42"/>
    <row r="556" ht="15.75" customHeight="1" s="42"/>
    <row r="557" ht="15.75" customHeight="1" s="42"/>
    <row r="558" ht="15.75" customHeight="1" s="42"/>
    <row r="559" ht="15.75" customHeight="1" s="42"/>
    <row r="560" ht="15.75" customHeight="1" s="42"/>
    <row r="561" ht="15.75" customHeight="1" s="42"/>
    <row r="562" ht="15.75" customHeight="1" s="42"/>
    <row r="563" ht="15.75" customHeight="1" s="42"/>
    <row r="564" ht="15.75" customHeight="1" s="42"/>
    <row r="565" ht="15.75" customHeight="1" s="42"/>
    <row r="566" ht="15.75" customHeight="1" s="42"/>
    <row r="567" ht="15.75" customHeight="1" s="42"/>
    <row r="568" ht="15.75" customHeight="1" s="42"/>
    <row r="569" ht="15.75" customHeight="1" s="42"/>
    <row r="570" ht="15.75" customHeight="1" s="42"/>
    <row r="571" ht="15.75" customHeight="1" s="42"/>
    <row r="572" ht="15.75" customHeight="1" s="42"/>
    <row r="573" ht="15.75" customHeight="1" s="42"/>
    <row r="574" ht="15.75" customHeight="1" s="42"/>
    <row r="575" ht="15.75" customHeight="1" s="42"/>
    <row r="576" ht="15.75" customHeight="1" s="42"/>
    <row r="577" ht="15.75" customHeight="1" s="42"/>
    <row r="578" ht="15.75" customHeight="1" s="42"/>
    <row r="579" ht="15.75" customHeight="1" s="42"/>
    <row r="580" ht="15.75" customHeight="1" s="42"/>
    <row r="581" ht="15.75" customHeight="1" s="42"/>
    <row r="582" ht="15.75" customHeight="1" s="42"/>
    <row r="583" ht="15.75" customHeight="1" s="42"/>
    <row r="584" ht="15.75" customHeight="1" s="42"/>
    <row r="585" ht="15.75" customHeight="1" s="42"/>
    <row r="586" ht="15.75" customHeight="1" s="42"/>
    <row r="587" ht="15.75" customHeight="1" s="42"/>
    <row r="588" ht="15.75" customHeight="1" s="42"/>
    <row r="589" ht="15.75" customHeight="1" s="42"/>
    <row r="590" ht="15.75" customHeight="1" s="42"/>
    <row r="591" ht="15.75" customHeight="1" s="42"/>
    <row r="592" ht="15.75" customHeight="1" s="42"/>
    <row r="593" ht="15.75" customHeight="1" s="42"/>
    <row r="594" ht="15.75" customHeight="1" s="42"/>
    <row r="595" ht="15.75" customHeight="1" s="42"/>
    <row r="596" ht="15.75" customHeight="1" s="42"/>
    <row r="597" ht="15.75" customHeight="1" s="42"/>
    <row r="598" ht="15.75" customHeight="1" s="42"/>
    <row r="599" ht="15.75" customHeight="1" s="42"/>
    <row r="600" ht="15.75" customHeight="1" s="42"/>
    <row r="601" ht="15.75" customHeight="1" s="42"/>
    <row r="602" ht="15.75" customHeight="1" s="42"/>
    <row r="603" ht="15.75" customHeight="1" s="42"/>
    <row r="604" ht="15.75" customHeight="1" s="42"/>
    <row r="605" ht="15.75" customHeight="1" s="42"/>
    <row r="606" ht="15.75" customHeight="1" s="42"/>
    <row r="607" ht="15.75" customHeight="1" s="42"/>
    <row r="608" ht="15.75" customHeight="1" s="42"/>
    <row r="609" ht="15.75" customHeight="1" s="42"/>
    <row r="610" ht="15.75" customHeight="1" s="42"/>
    <row r="611" ht="15.75" customHeight="1" s="42"/>
    <row r="612" ht="15.75" customHeight="1" s="42"/>
    <row r="613" ht="15.75" customHeight="1" s="42"/>
    <row r="614" ht="15.75" customHeight="1" s="42"/>
    <row r="615" ht="15.75" customHeight="1" s="42"/>
    <row r="616" ht="15.75" customHeight="1" s="42"/>
    <row r="617" ht="15.75" customHeight="1" s="42"/>
    <row r="618" ht="15.75" customHeight="1" s="42"/>
    <row r="619" ht="15.75" customHeight="1" s="42"/>
    <row r="620" ht="15.75" customHeight="1" s="42"/>
    <row r="621" ht="15.75" customHeight="1" s="42"/>
    <row r="622" ht="15.75" customHeight="1" s="42"/>
    <row r="623" ht="15.75" customHeight="1" s="42"/>
    <row r="624" ht="15.75" customHeight="1" s="42"/>
    <row r="625" ht="15.75" customHeight="1" s="42"/>
    <row r="626" ht="15.75" customHeight="1" s="42"/>
    <row r="627" ht="15.75" customHeight="1" s="42"/>
    <row r="628" ht="15.75" customHeight="1" s="42"/>
    <row r="629" ht="15.75" customHeight="1" s="42"/>
    <row r="630" ht="15.75" customHeight="1" s="42"/>
    <row r="631" ht="15.75" customHeight="1" s="42"/>
    <row r="632" ht="15.75" customHeight="1" s="42"/>
    <row r="633" ht="15.75" customHeight="1" s="42"/>
    <row r="634" ht="15.75" customHeight="1" s="42"/>
    <row r="635" ht="15.75" customHeight="1" s="42"/>
    <row r="636" ht="15.75" customHeight="1" s="42"/>
    <row r="637" ht="15.75" customHeight="1" s="42"/>
    <row r="638" ht="15.75" customHeight="1" s="42"/>
    <row r="639" ht="15.75" customHeight="1" s="42"/>
    <row r="640" ht="15.75" customHeight="1" s="42"/>
    <row r="641" ht="15.75" customHeight="1" s="42"/>
    <row r="642" ht="15.75" customHeight="1" s="42"/>
    <row r="643" ht="15.75" customHeight="1" s="42"/>
    <row r="644" ht="15.75" customHeight="1" s="42"/>
    <row r="645" ht="15.75" customHeight="1" s="42"/>
    <row r="646" ht="15.75" customHeight="1" s="42"/>
    <row r="647" ht="15.75" customHeight="1" s="42"/>
    <row r="648" ht="15.75" customHeight="1" s="42"/>
    <row r="649" ht="15.75" customHeight="1" s="42"/>
    <row r="650" ht="15.75" customHeight="1" s="42"/>
    <row r="651" ht="15.75" customHeight="1" s="42"/>
    <row r="652" ht="15.75" customHeight="1" s="42"/>
    <row r="653" ht="15.75" customHeight="1" s="42"/>
    <row r="654" ht="15.75" customHeight="1" s="42"/>
    <row r="655" ht="15.75" customHeight="1" s="42"/>
    <row r="656" ht="15.75" customHeight="1" s="42"/>
    <row r="657" ht="15.75" customHeight="1" s="42"/>
    <row r="658" ht="15.75" customHeight="1" s="42"/>
    <row r="659" ht="15.75" customHeight="1" s="42"/>
    <row r="660" ht="15.75" customHeight="1" s="42"/>
    <row r="661" ht="15.75" customHeight="1" s="42"/>
    <row r="662" ht="15.75" customHeight="1" s="42"/>
    <row r="663" ht="15.75" customHeight="1" s="42"/>
    <row r="664" ht="15.75" customHeight="1" s="42"/>
    <row r="665" ht="15.75" customHeight="1" s="42"/>
    <row r="666" ht="15.75" customHeight="1" s="42"/>
    <row r="667" ht="15.75" customHeight="1" s="42"/>
    <row r="668" ht="15.75" customHeight="1" s="42"/>
    <row r="669" ht="15.75" customHeight="1" s="42"/>
    <row r="670" ht="15.75" customHeight="1" s="42"/>
    <row r="671" ht="15.75" customHeight="1" s="42"/>
    <row r="672" ht="15.75" customHeight="1" s="42"/>
    <row r="673" ht="15.75" customHeight="1" s="42"/>
    <row r="674" ht="15.75" customHeight="1" s="42"/>
    <row r="675" ht="15.75" customHeight="1" s="42"/>
    <row r="676" ht="15.75" customHeight="1" s="42"/>
    <row r="677" ht="15.75" customHeight="1" s="42"/>
    <row r="678" ht="15.75" customHeight="1" s="42"/>
    <row r="679" ht="15.75" customHeight="1" s="42"/>
    <row r="680" ht="15.75" customHeight="1" s="42"/>
    <row r="681" ht="15.75" customHeight="1" s="42"/>
    <row r="682" ht="15.75" customHeight="1" s="42"/>
    <row r="683" ht="15.75" customHeight="1" s="42"/>
    <row r="684" ht="15.75" customHeight="1" s="42"/>
    <row r="685" ht="15.75" customHeight="1" s="42"/>
    <row r="686" ht="15.75" customHeight="1" s="42"/>
    <row r="687" ht="15.75" customHeight="1" s="42"/>
    <row r="688" ht="15.75" customHeight="1" s="42"/>
    <row r="689" ht="15.75" customHeight="1" s="42"/>
    <row r="690" ht="15.75" customHeight="1" s="42"/>
    <row r="691" ht="15.75" customHeight="1" s="42"/>
    <row r="692" ht="15.75" customHeight="1" s="42"/>
    <row r="693" ht="15.75" customHeight="1" s="42"/>
    <row r="694" ht="15.75" customHeight="1" s="42"/>
    <row r="695" ht="15.75" customHeight="1" s="42"/>
    <row r="696" ht="15.75" customHeight="1" s="42"/>
    <row r="697" ht="15.75" customHeight="1" s="42"/>
    <row r="698" ht="15.75" customHeight="1" s="42"/>
    <row r="699" ht="15.75" customHeight="1" s="42"/>
    <row r="700" ht="15.75" customHeight="1" s="42"/>
    <row r="701" ht="15.75" customHeight="1" s="42"/>
    <row r="702" ht="15.75" customHeight="1" s="42"/>
    <row r="703" ht="15.75" customHeight="1" s="42"/>
    <row r="704" ht="15.75" customHeight="1" s="42"/>
    <row r="705" ht="15.75" customHeight="1" s="42"/>
    <row r="706" ht="15.75" customHeight="1" s="42"/>
    <row r="707" ht="15.75" customHeight="1" s="42"/>
    <row r="708" ht="15.75" customHeight="1" s="42"/>
    <row r="709" ht="15.75" customHeight="1" s="42"/>
    <row r="710" ht="15.75" customHeight="1" s="42"/>
    <row r="711" ht="15.75" customHeight="1" s="42"/>
    <row r="712" ht="15.75" customHeight="1" s="42"/>
    <row r="713" ht="15.75" customHeight="1" s="42"/>
    <row r="714" ht="15.75" customHeight="1" s="42"/>
    <row r="715" ht="15.75" customHeight="1" s="42"/>
    <row r="716" ht="15.75" customHeight="1" s="42"/>
    <row r="717" ht="15.75" customHeight="1" s="42"/>
    <row r="718" ht="15.75" customHeight="1" s="42"/>
    <row r="719" ht="15.75" customHeight="1" s="42"/>
    <row r="720" ht="15.75" customHeight="1" s="42"/>
    <row r="721" ht="15.75" customHeight="1" s="42"/>
    <row r="722" ht="15.75" customHeight="1" s="42"/>
    <row r="723" ht="15.75" customHeight="1" s="42"/>
    <row r="724" ht="15.75" customHeight="1" s="42"/>
    <row r="725" ht="15.75" customHeight="1" s="42"/>
    <row r="726" ht="15.75" customHeight="1" s="42"/>
    <row r="727" ht="15.75" customHeight="1" s="42"/>
    <row r="728" ht="15.75" customHeight="1" s="42"/>
    <row r="729" ht="15.75" customHeight="1" s="42"/>
    <row r="730" ht="15.75" customHeight="1" s="42"/>
    <row r="731" ht="15.75" customHeight="1" s="42"/>
    <row r="732" ht="15.75" customHeight="1" s="42"/>
    <row r="733" ht="15.75" customHeight="1" s="42"/>
    <row r="734" ht="15.75" customHeight="1" s="42"/>
    <row r="735" ht="15.75" customHeight="1" s="42"/>
    <row r="736" ht="15.75" customHeight="1" s="42"/>
    <row r="737" ht="15.75" customHeight="1" s="42"/>
    <row r="738" ht="15.75" customHeight="1" s="42"/>
    <row r="739" ht="15.75" customHeight="1" s="42"/>
    <row r="740" ht="15.75" customHeight="1" s="42"/>
    <row r="741" ht="15.75" customHeight="1" s="42"/>
    <row r="742" ht="15.75" customHeight="1" s="42"/>
    <row r="743" ht="15.75" customHeight="1" s="42"/>
    <row r="744" ht="15.75" customHeight="1" s="42"/>
    <row r="745" ht="15.75" customHeight="1" s="42"/>
    <row r="746" ht="15.75" customHeight="1" s="42"/>
    <row r="747" ht="15.75" customHeight="1" s="42"/>
    <row r="748" ht="15.75" customHeight="1" s="42"/>
    <row r="749" ht="15.75" customHeight="1" s="42"/>
    <row r="750" ht="15.75" customHeight="1" s="42"/>
    <row r="751" ht="15.75" customHeight="1" s="42"/>
    <row r="752" ht="15.75" customHeight="1" s="42"/>
    <row r="753" ht="15.75" customHeight="1" s="42"/>
    <row r="754" ht="15.75" customHeight="1" s="42"/>
    <row r="755" ht="15.75" customHeight="1" s="42"/>
    <row r="756" ht="15.75" customHeight="1" s="42"/>
    <row r="757" ht="15.75" customHeight="1" s="42"/>
    <row r="758" ht="15.75" customHeight="1" s="42"/>
    <row r="759" ht="15.75" customHeight="1" s="42"/>
    <row r="760" ht="15.75" customHeight="1" s="42"/>
    <row r="761" ht="15.75" customHeight="1" s="42"/>
    <row r="762" ht="15.75" customHeight="1" s="42"/>
    <row r="763" ht="15.75" customHeight="1" s="42"/>
    <row r="764" ht="15.75" customHeight="1" s="42"/>
    <row r="765" ht="15.75" customHeight="1" s="42"/>
    <row r="766" ht="15.75" customHeight="1" s="42"/>
    <row r="767" ht="15.75" customHeight="1" s="42"/>
    <row r="768" ht="15.75" customHeight="1" s="42"/>
    <row r="769" ht="15.75" customHeight="1" s="42"/>
    <row r="770" ht="15.75" customHeight="1" s="42"/>
    <row r="771" ht="15.75" customHeight="1" s="42"/>
    <row r="772" ht="15.75" customHeight="1" s="42"/>
    <row r="773" ht="15.75" customHeight="1" s="42"/>
    <row r="774" ht="15.75" customHeight="1" s="42"/>
    <row r="775" ht="15.75" customHeight="1" s="42"/>
    <row r="776" ht="15.75" customHeight="1" s="42"/>
    <row r="777" ht="15.75" customHeight="1" s="42"/>
    <row r="778" ht="15.75" customHeight="1" s="42"/>
    <row r="779" ht="15.75" customHeight="1" s="42"/>
    <row r="780" ht="15.75" customHeight="1" s="42"/>
    <row r="781" ht="15.75" customHeight="1" s="42"/>
    <row r="782" ht="15.75" customHeight="1" s="42"/>
    <row r="783" ht="15.75" customHeight="1" s="42"/>
    <row r="784" ht="15.75" customHeight="1" s="42"/>
    <row r="785" ht="15.75" customHeight="1" s="42"/>
    <row r="786" ht="15.75" customHeight="1" s="42"/>
    <row r="787" ht="15.75" customHeight="1" s="42"/>
    <row r="788" ht="15.75" customHeight="1" s="42"/>
    <row r="789" ht="15.75" customHeight="1" s="42"/>
    <row r="790" ht="15.75" customHeight="1" s="42"/>
    <row r="791" ht="15.75" customHeight="1" s="42"/>
    <row r="792" ht="15.75" customHeight="1" s="42"/>
    <row r="793" ht="15.75" customHeight="1" s="42"/>
    <row r="794" ht="15.75" customHeight="1" s="42"/>
    <row r="795" ht="15.75" customHeight="1" s="42"/>
    <row r="796" ht="15.75" customHeight="1" s="42"/>
    <row r="797" ht="15.75" customHeight="1" s="42"/>
    <row r="798" ht="15.75" customHeight="1" s="42"/>
    <row r="799" ht="15.75" customHeight="1" s="42"/>
    <row r="800" ht="15.75" customHeight="1" s="42"/>
    <row r="801" ht="15.75" customHeight="1" s="42"/>
    <row r="802" ht="15.75" customHeight="1" s="42"/>
    <row r="803" ht="15.75" customHeight="1" s="42"/>
    <row r="804" ht="15.75" customHeight="1" s="42"/>
    <row r="805" ht="15.75" customHeight="1" s="42"/>
    <row r="806" ht="15.75" customHeight="1" s="42"/>
    <row r="807" ht="15.75" customHeight="1" s="42"/>
    <row r="808" ht="15.75" customHeight="1" s="42"/>
    <row r="809" ht="15.75" customHeight="1" s="42"/>
    <row r="810" ht="15.75" customHeight="1" s="42"/>
    <row r="811" ht="15.75" customHeight="1" s="42"/>
    <row r="812" ht="15.75" customHeight="1" s="42"/>
    <row r="813" ht="15.75" customHeight="1" s="42"/>
    <row r="814" ht="15.75" customHeight="1" s="42"/>
    <row r="815" ht="15.75" customHeight="1" s="42"/>
    <row r="816" ht="15.75" customHeight="1" s="42"/>
    <row r="817" ht="15.75" customHeight="1" s="42"/>
    <row r="818" ht="15.75" customHeight="1" s="42"/>
    <row r="819" ht="15.75" customHeight="1" s="42"/>
    <row r="820" ht="15.75" customHeight="1" s="42"/>
    <row r="821" ht="15.75" customHeight="1" s="42"/>
    <row r="822" ht="15.75" customHeight="1" s="42"/>
    <row r="823" ht="15.75" customHeight="1" s="42"/>
    <row r="824" ht="15.75" customHeight="1" s="42"/>
    <row r="825" ht="15.75" customHeight="1" s="42"/>
    <row r="826" ht="15.75" customHeight="1" s="42"/>
    <row r="827" ht="15.75" customHeight="1" s="42"/>
    <row r="828" ht="15.75" customHeight="1" s="42"/>
    <row r="829" ht="15.75" customHeight="1" s="42"/>
    <row r="830" ht="15.75" customHeight="1" s="42"/>
    <row r="831" ht="15.75" customHeight="1" s="42"/>
    <row r="832" ht="15.75" customHeight="1" s="42"/>
    <row r="833" ht="15.75" customHeight="1" s="42"/>
    <row r="834" ht="15.75" customHeight="1" s="42"/>
    <row r="835" ht="15.75" customHeight="1" s="42"/>
    <row r="836" ht="15.75" customHeight="1" s="42"/>
    <row r="837" ht="15.75" customHeight="1" s="42"/>
    <row r="838" ht="15.75" customHeight="1" s="42"/>
    <row r="839" ht="15.75" customHeight="1" s="42"/>
    <row r="840" ht="15.75" customHeight="1" s="42"/>
    <row r="841" ht="15.75" customHeight="1" s="42"/>
    <row r="842" ht="15.75" customHeight="1" s="42"/>
    <row r="843" ht="15.75" customHeight="1" s="42"/>
    <row r="844" ht="15.75" customHeight="1" s="42"/>
    <row r="845" ht="15.75" customHeight="1" s="42"/>
    <row r="846" ht="15.75" customHeight="1" s="42"/>
    <row r="847" ht="15.75" customHeight="1" s="42"/>
    <row r="848" ht="15.75" customHeight="1" s="42"/>
    <row r="849" ht="15.75" customHeight="1" s="42"/>
    <row r="850" ht="15.75" customHeight="1" s="42"/>
    <row r="851" ht="15.75" customHeight="1" s="42"/>
    <row r="852" ht="15.75" customHeight="1" s="42"/>
    <row r="853" ht="15.75" customHeight="1" s="42"/>
    <row r="854" ht="15.75" customHeight="1" s="42"/>
    <row r="855" ht="15.75" customHeight="1" s="42"/>
    <row r="856" ht="15.75" customHeight="1" s="42"/>
    <row r="857" ht="15.75" customHeight="1" s="42"/>
    <row r="858" ht="15.75" customHeight="1" s="42"/>
    <row r="859" ht="15.75" customHeight="1" s="42"/>
    <row r="860" ht="15.75" customHeight="1" s="42"/>
    <row r="861" ht="15.75" customHeight="1" s="42"/>
    <row r="862" ht="15.75" customHeight="1" s="42"/>
    <row r="863" ht="15.75" customHeight="1" s="42"/>
    <row r="864" ht="15.75" customHeight="1" s="42"/>
    <row r="865" ht="15.75" customHeight="1" s="42"/>
    <row r="866" ht="15.75" customHeight="1" s="42"/>
    <row r="867" ht="15.75" customHeight="1" s="42"/>
    <row r="868" ht="15.75" customHeight="1" s="42"/>
    <row r="869" ht="15.75" customHeight="1" s="42"/>
    <row r="870" ht="15.75" customHeight="1" s="42"/>
    <row r="871" ht="15.75" customHeight="1" s="42"/>
    <row r="872" ht="15.75" customHeight="1" s="42"/>
    <row r="873" ht="15.75" customHeight="1" s="42"/>
    <row r="874" ht="15.75" customHeight="1" s="42"/>
    <row r="875" ht="15.75" customHeight="1" s="42"/>
    <row r="876" ht="15.75" customHeight="1" s="42"/>
    <row r="877" ht="15.75" customHeight="1" s="42"/>
    <row r="878" ht="15.75" customHeight="1" s="42"/>
    <row r="879" ht="15.75" customHeight="1" s="42"/>
    <row r="880" ht="15.75" customHeight="1" s="42"/>
    <row r="881" ht="15.75" customHeight="1" s="42"/>
    <row r="882" ht="15.75" customHeight="1" s="42"/>
    <row r="883" ht="15.75" customHeight="1" s="42"/>
    <row r="884" ht="15.75" customHeight="1" s="42"/>
    <row r="885" ht="15.75" customHeight="1" s="42"/>
    <row r="886" ht="15.75" customHeight="1" s="42"/>
    <row r="887" ht="15.75" customHeight="1" s="42"/>
    <row r="888" ht="15.75" customHeight="1" s="42"/>
    <row r="889" ht="15.75" customHeight="1" s="42"/>
    <row r="890" ht="15.75" customHeight="1" s="42"/>
    <row r="891" ht="15.75" customHeight="1" s="42"/>
    <row r="892" ht="15.75" customHeight="1" s="42"/>
    <row r="893" ht="15.75" customHeight="1" s="42"/>
    <row r="894" ht="15.75" customHeight="1" s="42"/>
    <row r="895" ht="15.75" customHeight="1" s="42"/>
    <row r="896" ht="15.75" customHeight="1" s="42"/>
    <row r="897" ht="15.75" customHeight="1" s="42"/>
    <row r="898" ht="15.75" customHeight="1" s="42"/>
    <row r="899" ht="15.75" customHeight="1" s="42"/>
    <row r="900" ht="15.75" customHeight="1" s="42"/>
    <row r="901" ht="15.75" customHeight="1" s="42"/>
    <row r="902" ht="15.75" customHeight="1" s="42"/>
    <row r="903" ht="15.75" customHeight="1" s="42"/>
    <row r="904" ht="15.75" customHeight="1" s="42"/>
    <row r="905" ht="15.75" customHeight="1" s="42"/>
    <row r="906" ht="15.75" customHeight="1" s="42"/>
    <row r="907" ht="15.75" customHeight="1" s="42"/>
    <row r="908" ht="15.75" customHeight="1" s="42"/>
    <row r="909" ht="15.75" customHeight="1" s="42"/>
    <row r="910" ht="15.75" customHeight="1" s="42"/>
    <row r="911" ht="15.75" customHeight="1" s="42"/>
    <row r="912" ht="15.75" customHeight="1" s="42"/>
    <row r="913" ht="15.75" customHeight="1" s="42"/>
    <row r="914" ht="15.75" customHeight="1" s="42"/>
    <row r="915" ht="15.75" customHeight="1" s="42"/>
    <row r="916" ht="15.75" customHeight="1" s="42"/>
    <row r="917" ht="15.75" customHeight="1" s="42"/>
    <row r="918" ht="15.75" customHeight="1" s="42"/>
    <row r="919" ht="15.75" customHeight="1" s="42"/>
    <row r="920" ht="15.75" customHeight="1" s="42"/>
    <row r="921" ht="15.75" customHeight="1" s="42"/>
    <row r="922" ht="15.75" customHeight="1" s="42"/>
    <row r="923" ht="15.75" customHeight="1" s="42"/>
    <row r="924" ht="15.75" customHeight="1" s="42"/>
    <row r="925" ht="15.75" customHeight="1" s="42"/>
    <row r="926" ht="15.75" customHeight="1" s="42"/>
    <row r="927" ht="15.75" customHeight="1" s="42"/>
    <row r="928" ht="15.75" customHeight="1" s="42"/>
    <row r="929" ht="15.75" customHeight="1" s="42"/>
    <row r="930" ht="15.75" customHeight="1" s="42"/>
    <row r="931" ht="15.75" customHeight="1" s="42"/>
    <row r="932" ht="15.75" customHeight="1" s="42"/>
    <row r="933" ht="15.75" customHeight="1" s="42"/>
    <row r="934" ht="15.75" customHeight="1" s="42"/>
    <row r="935" ht="15.75" customHeight="1" s="42"/>
    <row r="936" ht="15.75" customHeight="1" s="42"/>
    <row r="937" ht="15.75" customHeight="1" s="42"/>
    <row r="938" ht="15.75" customHeight="1" s="42"/>
    <row r="939" ht="15.75" customHeight="1" s="42"/>
    <row r="940" ht="15.75" customHeight="1" s="42"/>
    <row r="941" ht="15.75" customHeight="1" s="42"/>
    <row r="942" ht="15.75" customHeight="1" s="42"/>
    <row r="943" ht="15.75" customHeight="1" s="42"/>
    <row r="944" ht="15.75" customHeight="1" s="42"/>
    <row r="945" ht="15.75" customHeight="1" s="42"/>
    <row r="946" ht="15.75" customHeight="1" s="42"/>
    <row r="947" ht="15.75" customHeight="1" s="42"/>
    <row r="948" ht="15.75" customHeight="1" s="42"/>
    <row r="949" ht="15.75" customHeight="1" s="42"/>
    <row r="950" ht="15.75" customHeight="1" s="42"/>
    <row r="951" ht="15.75" customHeight="1" s="42"/>
    <row r="952" ht="15.75" customHeight="1" s="42"/>
    <row r="953" ht="15.75" customHeight="1" s="42"/>
    <row r="954" ht="15.75" customHeight="1" s="42"/>
    <row r="955" ht="15.75" customHeight="1" s="42"/>
    <row r="956" ht="15.75" customHeight="1" s="42"/>
    <row r="957" ht="15.75" customHeight="1" s="42"/>
    <row r="958" ht="15.75" customHeight="1" s="42"/>
    <row r="959" ht="15.75" customHeight="1" s="42"/>
    <row r="960" ht="15.75" customHeight="1" s="42"/>
    <row r="961" ht="15.75" customHeight="1" s="42"/>
    <row r="962" ht="15.75" customHeight="1" s="42"/>
    <row r="963" ht="15.75" customHeight="1" s="42"/>
    <row r="964" ht="15.75" customHeight="1" s="42"/>
    <row r="965" ht="15.75" customHeight="1" s="42"/>
    <row r="966" ht="15.75" customHeight="1" s="42"/>
    <row r="967" ht="15.75" customHeight="1" s="42"/>
    <row r="968" ht="15.75" customHeight="1" s="42"/>
    <row r="969" ht="15.75" customHeight="1" s="42"/>
    <row r="970" ht="15.75" customHeight="1" s="42"/>
    <row r="971" ht="15.75" customHeight="1" s="42"/>
    <row r="972" ht="15.75" customHeight="1" s="42"/>
    <row r="973" ht="15.75" customHeight="1" s="42"/>
    <row r="974" ht="15.75" customHeight="1" s="42"/>
    <row r="975" ht="15.75" customHeight="1" s="42"/>
    <row r="976" ht="15.75" customHeight="1" s="42"/>
    <row r="977" ht="15.75" customHeight="1" s="42"/>
    <row r="978" ht="15.75" customHeight="1" s="42"/>
    <row r="979" ht="15.75" customHeight="1" s="42"/>
    <row r="980" ht="15.75" customHeight="1" s="42"/>
    <row r="981" ht="15.75" customHeight="1" s="42"/>
    <row r="982" ht="15.75" customHeight="1" s="42"/>
    <row r="983" ht="15.75" customHeight="1" s="42"/>
    <row r="984" ht="15.75" customHeight="1" s="42"/>
    <row r="985" ht="15.75" customHeight="1" s="42"/>
    <row r="986" ht="15.75" customHeight="1" s="42"/>
    <row r="987" ht="15.75" customHeight="1" s="42"/>
    <row r="988" ht="15.75" customHeight="1" s="42"/>
    <row r="989" ht="15.75" customHeight="1" s="42"/>
    <row r="990" ht="15.75" customHeight="1" s="42"/>
    <row r="991" ht="15.75" customHeight="1" s="42"/>
    <row r="992" ht="15.75" customHeight="1" s="42"/>
    <row r="993" ht="15.75" customHeight="1" s="42"/>
    <row r="994" ht="15.75" customHeight="1" s="42"/>
    <row r="995" ht="15.75" customHeight="1" s="42"/>
    <row r="996" ht="15.75" customHeight="1" s="42"/>
    <row r="997" ht="15.75" customHeight="1" s="42"/>
    <row r="998" ht="15.75" customHeight="1" s="42"/>
    <row r="999" ht="15.75" customHeight="1" s="42"/>
    <row r="1000" ht="15.75" customHeight="1" s="42"/>
  </sheetData>
  <sheetProtection selectLockedCells="1" selectUnlockedCells="1" sheet="1" objects="0" insertRows="0" insertHyperlinks="1" autoFilter="1" scenarios="0" formatColumns="0" deleteColumns="0" insertColumns="0" pivotTables="1" deleteRows="0" formatCells="0" formatRows="0" sort="1"/>
  <autoFilter ref="A1:L47"/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H100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2.6328125" defaultRowHeight="15" customHeight="1" zeroHeight="0" outlineLevelRow="0"/>
  <cols>
    <col width="9.630000000000001" customWidth="1" style="41" min="1" max="1"/>
    <col width="11.38" customWidth="1" style="41" min="2" max="2"/>
    <col width="23.63" customWidth="1" style="41" min="3" max="3"/>
    <col width="14.87" customWidth="1" style="41" min="4" max="5"/>
    <col width="17.5" customWidth="1" style="41" min="6" max="6"/>
    <col width="12.25" customWidth="1" style="41" min="7" max="7"/>
    <col width="26.26" customWidth="1" style="41" min="8" max="8"/>
  </cols>
  <sheetData>
    <row r="1" ht="28.35" customHeight="1" s="42">
      <c r="A1" s="102" t="inlineStr">
        <is>
          <t>Shed No.</t>
        </is>
      </c>
      <c r="B1" s="102" t="inlineStr">
        <is>
          <t>Stack No.</t>
        </is>
      </c>
      <c r="C1" s="102" t="inlineStr">
        <is>
          <t>Commodity / Crop Year</t>
        </is>
      </c>
      <c r="D1" s="103" t="inlineStr">
        <is>
          <t>LAST FUMIGATION</t>
        </is>
      </c>
      <c r="E1" s="102" t="inlineStr">
        <is>
          <t>Fumigation Period</t>
        </is>
      </c>
      <c r="F1" s="102" t="inlineStr">
        <is>
          <t>TA INSPECTION/FN</t>
        </is>
      </c>
      <c r="G1" s="102" t="inlineStr">
        <is>
          <t>MIR</t>
        </is>
      </c>
      <c r="H1" s="102" t="inlineStr">
        <is>
          <t xml:space="preserve"> Remarks</t>
        </is>
      </c>
    </row>
    <row r="2" ht="15" customHeight="1" s="42">
      <c r="A2" s="65">
        <f>'Master Stock'!C2</f>
        <v/>
      </c>
      <c r="B2" s="65">
        <f>'Master Stock'!D2</f>
        <v/>
      </c>
      <c r="C2" s="65">
        <f>'Master Stock'!G2</f>
        <v/>
      </c>
      <c r="D2" s="78">
        <f>'Master Stock'!J2</f>
        <v/>
      </c>
      <c r="E2" s="67">
        <f>IF(D2="","",IF(ISNUMBER(D2),MAX(0,TODAY()-D2),IFERROR(MAX(0,TODAY()-DATE(2000+VALUE(RIGHT(D2,2)),VALUE(MID(D2,4,2)),VALUE(LEFT(D2,2))),"")))</f>
        <v/>
      </c>
      <c r="F2" s="84" t="n"/>
      <c r="G2" s="84" t="n"/>
      <c r="H2" s="70">
        <f>'Master Stock'!L2</f>
        <v/>
      </c>
    </row>
    <row r="3" ht="15" customHeight="1" s="42">
      <c r="A3" s="65">
        <f>'Master Stock'!C3</f>
        <v/>
      </c>
      <c r="B3" s="65">
        <f>'Master Stock'!D3</f>
        <v/>
      </c>
      <c r="C3" s="65">
        <f>'Master Stock'!G3</f>
        <v/>
      </c>
      <c r="D3" s="78">
        <f>'Master Stock'!J3</f>
        <v/>
      </c>
      <c r="E3" s="67">
        <f>IF(D3="","",IF(ISNUMBER(D3),MAX(0,TODAY()-D3),IFERROR(MAX(0,TODAY()-DATE(2000+VALUE(RIGHT(D3,2)),VALUE(MID(D3,4,2)),VALUE(LEFT(D3,2))),"")))</f>
        <v/>
      </c>
      <c r="F3" s="84" t="n"/>
      <c r="G3" s="84" t="n"/>
      <c r="H3" s="85" t="n"/>
    </row>
    <row r="4" ht="15" customHeight="1" s="42">
      <c r="A4" s="65">
        <f>'Master Stock'!C4</f>
        <v/>
      </c>
      <c r="B4" s="65">
        <f>'Master Stock'!D4</f>
        <v/>
      </c>
      <c r="C4" s="65">
        <f>'Master Stock'!G4</f>
        <v/>
      </c>
      <c r="D4" s="78">
        <f>'Master Stock'!J4</f>
        <v/>
      </c>
      <c r="E4" s="67">
        <f>IF(D4="","",IF(ISNUMBER(D4),MAX(0,TODAY()-D4),IFERROR(MAX(0,TODAY()-DATE(2000+VALUE(RIGHT(D4,2)),VALUE(MID(D4,4,2)),VALUE(LEFT(D4,2))),"")))</f>
        <v/>
      </c>
      <c r="F4" s="84" t="n"/>
      <c r="G4" s="84" t="n"/>
      <c r="H4" s="69">
        <f>'Master Stock'!L4</f>
        <v/>
      </c>
    </row>
    <row r="5" ht="15" customHeight="1" s="42">
      <c r="A5" s="65">
        <f>'Master Stock'!C5</f>
        <v/>
      </c>
      <c r="B5" s="65">
        <f>'Master Stock'!D5</f>
        <v/>
      </c>
      <c r="C5" s="65">
        <f>'Master Stock'!G5</f>
        <v/>
      </c>
      <c r="D5" s="78">
        <f>'Master Stock'!J5</f>
        <v/>
      </c>
      <c r="E5" s="67">
        <f>IF(D5="","",IF(ISNUMBER(D5),MAX(0,TODAY()-D5),IFERROR(MAX(0,TODAY()-DATE(2000+VALUE(RIGHT(D5,2)),VALUE(MID(D5,4,2)),VALUE(LEFT(D5,2))),"")))</f>
        <v/>
      </c>
      <c r="F5" s="84" t="n"/>
      <c r="G5" s="84" t="n"/>
      <c r="H5" s="69">
        <f>'Master Stock'!L5</f>
        <v/>
      </c>
    </row>
    <row r="6" ht="15" customHeight="1" s="42">
      <c r="A6" s="65">
        <f>'Master Stock'!C6</f>
        <v/>
      </c>
      <c r="B6" s="65">
        <f>'Master Stock'!D6</f>
        <v/>
      </c>
      <c r="C6" s="65">
        <f>'Master Stock'!G6</f>
        <v/>
      </c>
      <c r="D6" s="78">
        <f>'Master Stock'!J6</f>
        <v/>
      </c>
      <c r="E6" s="67">
        <f>IF(D6="","",IF(ISNUMBER(D6),MAX(0,TODAY()-D6),IFERROR(MAX(0,TODAY()-DATE(2000+VALUE(RIGHT(D6,2)),VALUE(MID(D6,4,2)),VALUE(LEFT(D6,2))),"")))</f>
        <v/>
      </c>
      <c r="F6" s="84" t="n"/>
      <c r="G6" s="84" t="n"/>
      <c r="H6" s="69">
        <f>'Master Stock'!L6</f>
        <v/>
      </c>
    </row>
    <row r="7" ht="15" customHeight="1" s="42">
      <c r="A7" s="65">
        <f>'Master Stock'!C7</f>
        <v/>
      </c>
      <c r="B7" s="65">
        <f>'Master Stock'!D7</f>
        <v/>
      </c>
      <c r="C7" s="65">
        <f>'Master Stock'!G7</f>
        <v/>
      </c>
      <c r="D7" s="78">
        <f>'Master Stock'!J7</f>
        <v/>
      </c>
      <c r="E7" s="67">
        <f>IF(D7="","",IF(ISNUMBER(D7),MAX(0,TODAY()-D7),IFERROR(MAX(0,TODAY()-DATE(2000+VALUE(RIGHT(D7,2)),VALUE(MID(D7,4,2)),VALUE(LEFT(D7,2))),"")))</f>
        <v/>
      </c>
      <c r="F7" s="84" t="n"/>
      <c r="G7" s="84" t="n"/>
      <c r="H7" s="69">
        <f>'Master Stock'!L7</f>
        <v/>
      </c>
    </row>
    <row r="8" ht="15" customHeight="1" s="42">
      <c r="A8" s="65">
        <f>'Master Stock'!C8</f>
        <v/>
      </c>
      <c r="B8" s="65">
        <f>'Master Stock'!D8</f>
        <v/>
      </c>
      <c r="C8" s="65">
        <f>'Master Stock'!G8</f>
        <v/>
      </c>
      <c r="D8" s="78">
        <f>'Master Stock'!J8</f>
        <v/>
      </c>
      <c r="E8" s="67">
        <f>IF(D8="","",IF(ISNUMBER(D8),MAX(0,TODAY()-D8),IFERROR(MAX(0,TODAY()-DATE(2000+VALUE(RIGHT(D8,2)),VALUE(MID(D8,4,2)),VALUE(LEFT(D8,2))),"")))</f>
        <v/>
      </c>
      <c r="F8" s="84" t="n"/>
      <c r="G8" s="84" t="n"/>
      <c r="H8" s="69">
        <f>'Master Stock'!L8</f>
        <v/>
      </c>
    </row>
    <row r="9" ht="15" customHeight="1" s="42">
      <c r="A9" s="65">
        <f>'Master Stock'!C9</f>
        <v/>
      </c>
      <c r="B9" s="65">
        <f>'Master Stock'!D9</f>
        <v/>
      </c>
      <c r="C9" s="65">
        <f>'Master Stock'!G9</f>
        <v/>
      </c>
      <c r="D9" s="78">
        <f>'Master Stock'!J9</f>
        <v/>
      </c>
      <c r="E9" s="67">
        <f>IF(D9="","",IF(ISNUMBER(D9),MAX(0,TODAY()-D9),IFERROR(MAX(0,TODAY()-DATE(2000+VALUE(RIGHT(D9,2)),VALUE(MID(D9,4,2)),VALUE(LEFT(D9,2))),"")))</f>
        <v/>
      </c>
      <c r="F9" s="84" t="n"/>
      <c r="G9" s="84" t="n"/>
      <c r="H9" s="69">
        <f>'Master Stock'!L9</f>
        <v/>
      </c>
    </row>
    <row r="10" ht="15" customHeight="1" s="42">
      <c r="A10" s="65">
        <f>'Master Stock'!C10</f>
        <v/>
      </c>
      <c r="B10" s="65">
        <f>'Master Stock'!D10</f>
        <v/>
      </c>
      <c r="C10" s="65">
        <f>'Master Stock'!G10</f>
        <v/>
      </c>
      <c r="D10" s="78">
        <f>'Master Stock'!J10</f>
        <v/>
      </c>
      <c r="E10" s="67">
        <f>IF(D10="","",IF(ISNUMBER(D10),MAX(0,TODAY()-D10),IFERROR(MAX(0,TODAY()-DATE(2000+VALUE(RIGHT(D10,2)),VALUE(MID(D10,4,2)),VALUE(LEFT(D10,2))),"")))</f>
        <v/>
      </c>
      <c r="F10" s="84" t="n"/>
      <c r="G10" s="84" t="n"/>
      <c r="H10" s="69">
        <f>'Master Stock'!L10</f>
        <v/>
      </c>
    </row>
    <row r="11" ht="15" customHeight="1" s="42">
      <c r="A11" s="65">
        <f>'Master Stock'!C11</f>
        <v/>
      </c>
      <c r="B11" s="65">
        <f>'Master Stock'!D11</f>
        <v/>
      </c>
      <c r="C11" s="65">
        <f>'Master Stock'!G11</f>
        <v/>
      </c>
      <c r="D11" s="78">
        <f>'Master Stock'!J11</f>
        <v/>
      </c>
      <c r="E11" s="67">
        <f>IF(D11="","",IF(ISNUMBER(D11),MAX(0,TODAY()-D11),IFERROR(MAX(0,TODAY()-DATE(2000+VALUE(RIGHT(D11,2)),VALUE(MID(D11,4,2)),VALUE(LEFT(D11,2))),"")))</f>
        <v/>
      </c>
      <c r="F11" s="84" t="n"/>
      <c r="G11" s="84" t="n"/>
      <c r="H11" s="69">
        <f>'Master Stock'!L11</f>
        <v/>
      </c>
    </row>
    <row r="12" ht="15" customHeight="1" s="42">
      <c r="A12" s="65">
        <f>'Master Stock'!C12</f>
        <v/>
      </c>
      <c r="B12" s="65">
        <f>'Master Stock'!D12</f>
        <v/>
      </c>
      <c r="C12" s="65">
        <f>'Master Stock'!G12</f>
        <v/>
      </c>
      <c r="D12" s="78">
        <f>'Master Stock'!J12</f>
        <v/>
      </c>
      <c r="E12" s="67">
        <f>IF(D12="","",IF(ISNUMBER(D12),MAX(0,TODAY()-D12),IFERROR(MAX(0,TODAY()-DATE(2000+VALUE(RIGHT(D12,2)),VALUE(MID(D12,4,2)),VALUE(LEFT(D12,2))),"")))</f>
        <v/>
      </c>
      <c r="F12" s="84" t="n"/>
      <c r="G12" s="84" t="n"/>
      <c r="H12" s="69">
        <f>'Master Stock'!L12</f>
        <v/>
      </c>
    </row>
    <row r="13" ht="15" customHeight="1" s="42">
      <c r="A13" s="65">
        <f>'Master Stock'!C13</f>
        <v/>
      </c>
      <c r="B13" s="65">
        <f>'Master Stock'!D13</f>
        <v/>
      </c>
      <c r="C13" s="65">
        <f>'Master Stock'!G13</f>
        <v/>
      </c>
      <c r="D13" s="78">
        <f>'Master Stock'!J13</f>
        <v/>
      </c>
      <c r="E13" s="67">
        <f>IF(D13="","",IF(ISNUMBER(D13),MAX(0,TODAY()-D13),IFERROR(MAX(0,TODAY()-DATE(2000+VALUE(RIGHT(D13,2)),VALUE(MID(D13,4,2)),VALUE(LEFT(D13,2))),"")))</f>
        <v/>
      </c>
      <c r="F13" s="84" t="n"/>
      <c r="G13" s="84" t="n"/>
      <c r="H13" s="69">
        <f>'Master Stock'!L13</f>
        <v/>
      </c>
    </row>
    <row r="14" ht="15" customHeight="1" s="42">
      <c r="A14" s="65">
        <f>'Master Stock'!C14</f>
        <v/>
      </c>
      <c r="B14" s="65">
        <f>'Master Stock'!D14</f>
        <v/>
      </c>
      <c r="C14" s="65">
        <f>'Master Stock'!G14</f>
        <v/>
      </c>
      <c r="D14" s="78">
        <f>'Master Stock'!J14</f>
        <v/>
      </c>
      <c r="E14" s="67">
        <f>IF(D14="","",IF(ISNUMBER(D14),MAX(0,TODAY()-D14),IFERROR(MAX(0,TODAY()-DATE(2000+VALUE(RIGHT(D14,2)),VALUE(MID(D14,4,2)),VALUE(LEFT(D14,2))),"")))</f>
        <v/>
      </c>
      <c r="F14" s="84" t="n"/>
      <c r="G14" s="84" t="n"/>
      <c r="H14" s="69">
        <f>'Master Stock'!L14</f>
        <v/>
      </c>
    </row>
    <row r="15" ht="15" customHeight="1" s="42">
      <c r="A15" s="65">
        <f>'Master Stock'!C15</f>
        <v/>
      </c>
      <c r="B15" s="65">
        <f>'Master Stock'!D15</f>
        <v/>
      </c>
      <c r="C15" s="65">
        <f>'Master Stock'!G15</f>
        <v/>
      </c>
      <c r="D15" s="78">
        <f>'Master Stock'!J15</f>
        <v/>
      </c>
      <c r="E15" s="67">
        <f>IF(D15="","",IF(ISNUMBER(D15),MAX(0,TODAY()-D15),IFERROR(MAX(0,TODAY()-DATE(2000+VALUE(RIGHT(D15,2)),VALUE(MID(D15,4,2)),VALUE(LEFT(D15,2))),"")))</f>
        <v/>
      </c>
      <c r="F15" s="84" t="n"/>
      <c r="G15" s="84" t="n"/>
      <c r="H15" s="69">
        <f>'Master Stock'!L15</f>
        <v/>
      </c>
    </row>
    <row r="16" ht="15" customHeight="1" s="42">
      <c r="A16" s="65">
        <f>'Master Stock'!C16</f>
        <v/>
      </c>
      <c r="B16" s="65">
        <f>'Master Stock'!D16</f>
        <v/>
      </c>
      <c r="C16" s="65">
        <f>'Master Stock'!G16</f>
        <v/>
      </c>
      <c r="D16" s="78">
        <f>'Master Stock'!J16</f>
        <v/>
      </c>
      <c r="E16" s="67">
        <f>IF(D16="","",IF(ISNUMBER(D16),MAX(0,TODAY()-D16),IFERROR(MAX(0,TODAY()-DATE(2000+VALUE(RIGHT(D16,2)),VALUE(MID(D16,4,2)),VALUE(LEFT(D16,2))),"")))</f>
        <v/>
      </c>
      <c r="F16" s="84" t="n"/>
      <c r="G16" s="84" t="n"/>
      <c r="H16" s="69">
        <f>'Master Stock'!L16</f>
        <v/>
      </c>
    </row>
    <row r="17" ht="15" customHeight="1" s="42">
      <c r="A17" s="65">
        <f>'Master Stock'!C17</f>
        <v/>
      </c>
      <c r="B17" s="65">
        <f>'Master Stock'!D17</f>
        <v/>
      </c>
      <c r="C17" s="65">
        <f>'Master Stock'!G17</f>
        <v/>
      </c>
      <c r="D17" s="78">
        <f>'Master Stock'!J17</f>
        <v/>
      </c>
      <c r="E17" s="67">
        <f>IF(D17="","",IF(ISNUMBER(D17),MAX(0,TODAY()-D17),IFERROR(MAX(0,TODAY()-DATE(2000+VALUE(RIGHT(D17,2)),VALUE(MID(D17,4,2)),VALUE(LEFT(D17,2))),"")))</f>
        <v/>
      </c>
      <c r="F17" s="84" t="n"/>
      <c r="G17" s="84" t="n"/>
      <c r="H17" s="69">
        <f>'Master Stock'!L17</f>
        <v/>
      </c>
    </row>
    <row r="18" ht="15" customHeight="1" s="42">
      <c r="A18" s="65">
        <f>'Master Stock'!C18</f>
        <v/>
      </c>
      <c r="B18" s="65">
        <f>'Master Stock'!D18</f>
        <v/>
      </c>
      <c r="C18" s="65">
        <f>'Master Stock'!G18</f>
        <v/>
      </c>
      <c r="D18" s="78">
        <f>'Master Stock'!J18</f>
        <v/>
      </c>
      <c r="E18" s="67">
        <f>IF(D18="","",IF(ISNUMBER(D18),MAX(0,TODAY()-D18),IFERROR(MAX(0,TODAY()-DATE(2000+VALUE(RIGHT(D18,2)),VALUE(MID(D18,4,2)),VALUE(LEFT(D18,2))),"")))</f>
        <v/>
      </c>
      <c r="F18" s="84" t="n"/>
      <c r="G18" s="84" t="n"/>
      <c r="H18" s="69">
        <f>'Master Stock'!L18</f>
        <v/>
      </c>
    </row>
    <row r="19" ht="15" customHeight="1" s="42">
      <c r="A19" s="65">
        <f>'Master Stock'!C19</f>
        <v/>
      </c>
      <c r="B19" s="65">
        <f>'Master Stock'!D19</f>
        <v/>
      </c>
      <c r="C19" s="65">
        <f>'Master Stock'!G19</f>
        <v/>
      </c>
      <c r="D19" s="78">
        <f>'Master Stock'!J19</f>
        <v/>
      </c>
      <c r="E19" s="67">
        <f>IF(D19="","",IF(ISNUMBER(D19),MAX(0,TODAY()-D19),IFERROR(MAX(0,TODAY()-DATE(2000+VALUE(RIGHT(D19,2)),VALUE(MID(D19,4,2)),VALUE(LEFT(D19,2))),"")))</f>
        <v/>
      </c>
      <c r="F19" s="84" t="n"/>
      <c r="G19" s="84" t="n"/>
      <c r="H19" s="69">
        <f>'Master Stock'!L19</f>
        <v/>
      </c>
    </row>
    <row r="20" ht="15" customHeight="1" s="42">
      <c r="A20" s="65">
        <f>'Master Stock'!C20</f>
        <v/>
      </c>
      <c r="B20" s="65">
        <f>'Master Stock'!D20</f>
        <v/>
      </c>
      <c r="C20" s="65">
        <f>'Master Stock'!G20</f>
        <v/>
      </c>
      <c r="D20" s="78">
        <f>'Master Stock'!J20</f>
        <v/>
      </c>
      <c r="E20" s="67">
        <f>IF(D20="","",IF(ISNUMBER(D20),MAX(0,TODAY()-D20),IFERROR(MAX(0,TODAY()-DATE(2000+VALUE(RIGHT(D20,2)),VALUE(MID(D20,4,2)),VALUE(LEFT(D20,2))),"")))</f>
        <v/>
      </c>
      <c r="F20" s="84" t="n"/>
      <c r="G20" s="84" t="n"/>
      <c r="H20" s="69">
        <f>'Master Stock'!L20</f>
        <v/>
      </c>
    </row>
    <row r="21" ht="15.75" customHeight="1" s="42">
      <c r="A21" s="65">
        <f>'Master Stock'!C21</f>
        <v/>
      </c>
      <c r="B21" s="65">
        <f>'Master Stock'!D21</f>
        <v/>
      </c>
      <c r="C21" s="65">
        <f>'Master Stock'!G21</f>
        <v/>
      </c>
      <c r="D21" s="78">
        <f>'Master Stock'!J21</f>
        <v/>
      </c>
      <c r="E21" s="67">
        <f>IF(D21="","",IF(ISNUMBER(D21),MAX(0,TODAY()-D21),IFERROR(MAX(0,TODAY()-DATE(2000+VALUE(RIGHT(D21,2)),VALUE(MID(D21,4,2)),VALUE(LEFT(D21,2))),"")))</f>
        <v/>
      </c>
      <c r="F21" s="84" t="n"/>
      <c r="G21" s="84" t="n"/>
      <c r="H21" s="69">
        <f>'Master Stock'!L21</f>
        <v/>
      </c>
    </row>
    <row r="22" ht="15.75" customHeight="1" s="42">
      <c r="A22" s="65">
        <f>'Master Stock'!C22</f>
        <v/>
      </c>
      <c r="B22" s="65">
        <f>'Master Stock'!D22</f>
        <v/>
      </c>
      <c r="C22" s="65">
        <f>'Master Stock'!G22</f>
        <v/>
      </c>
      <c r="D22" s="78">
        <f>'Master Stock'!J22</f>
        <v/>
      </c>
      <c r="E22" s="67">
        <f>IF(D22="","",IF(ISNUMBER(D22),MAX(0,TODAY()-D22),IFERROR(MAX(0,TODAY()-DATE(2000+VALUE(RIGHT(D22,2)),VALUE(MID(D22,4,2)),VALUE(LEFT(D22,2))),"")))</f>
        <v/>
      </c>
      <c r="F22" s="84" t="n"/>
      <c r="G22" s="84" t="n"/>
      <c r="H22" s="69">
        <f>'Master Stock'!L22</f>
        <v/>
      </c>
    </row>
    <row r="23" ht="15.75" customHeight="1" s="42">
      <c r="A23" s="65">
        <f>'Master Stock'!C23</f>
        <v/>
      </c>
      <c r="B23" s="65">
        <f>'Master Stock'!D23</f>
        <v/>
      </c>
      <c r="C23" s="65">
        <f>'Master Stock'!G23</f>
        <v/>
      </c>
      <c r="D23" s="78">
        <f>'Master Stock'!J23</f>
        <v/>
      </c>
      <c r="E23" s="67">
        <f>IF(D23="","",IF(ISNUMBER(D23),MAX(0,TODAY()-D23),IFERROR(MAX(0,TODAY()-DATE(2000+VALUE(RIGHT(D23,2)),VALUE(MID(D23,4,2)),VALUE(LEFT(D23,2))),"")))</f>
        <v/>
      </c>
      <c r="F23" s="84" t="n"/>
      <c r="G23" s="84" t="n"/>
      <c r="H23" s="69">
        <f>'Master Stock'!L23</f>
        <v/>
      </c>
    </row>
    <row r="24" ht="15.75" customHeight="1" s="42">
      <c r="A24" s="65">
        <f>'Master Stock'!C24</f>
        <v/>
      </c>
      <c r="B24" s="65">
        <f>'Master Stock'!D24</f>
        <v/>
      </c>
      <c r="C24" s="65">
        <f>'Master Stock'!G24</f>
        <v/>
      </c>
      <c r="D24" s="78">
        <f>'Master Stock'!J24</f>
        <v/>
      </c>
      <c r="E24" s="67">
        <f>IF(D24="","",IF(ISNUMBER(D24),MAX(0,TODAY()-D24),IFERROR(MAX(0,TODAY()-DATE(2000+VALUE(RIGHT(D24,2)),VALUE(MID(D24,4,2)),VALUE(LEFT(D24,2))),"")))</f>
        <v/>
      </c>
      <c r="F24" s="84" t="n"/>
      <c r="G24" s="84" t="n"/>
      <c r="H24" s="69">
        <f>'Master Stock'!L24</f>
        <v/>
      </c>
    </row>
    <row r="25" ht="15.75" customHeight="1" s="42">
      <c r="A25" s="65">
        <f>'Master Stock'!C25</f>
        <v/>
      </c>
      <c r="B25" s="65">
        <f>'Master Stock'!D25</f>
        <v/>
      </c>
      <c r="C25" s="65">
        <f>'Master Stock'!G25</f>
        <v/>
      </c>
      <c r="D25" s="78">
        <f>'Master Stock'!J25</f>
        <v/>
      </c>
      <c r="E25" s="67">
        <f>IF(D25="","",IF(ISNUMBER(D25),MAX(0,TODAY()-D25),IFERROR(MAX(0,TODAY()-DATE(2000+VALUE(RIGHT(D25,2)),VALUE(MID(D25,4,2)),VALUE(LEFT(D25,2))),"")))</f>
        <v/>
      </c>
      <c r="F25" s="84" t="n"/>
      <c r="G25" s="84" t="n"/>
      <c r="H25" s="69">
        <f>'Master Stock'!L25</f>
        <v/>
      </c>
    </row>
    <row r="26" ht="15.75" customHeight="1" s="42">
      <c r="A26" s="65">
        <f>'Master Stock'!C26</f>
        <v/>
      </c>
      <c r="B26" s="65">
        <f>'Master Stock'!D26</f>
        <v/>
      </c>
      <c r="C26" s="65">
        <f>'Master Stock'!G26</f>
        <v/>
      </c>
      <c r="D26" s="78">
        <f>'Master Stock'!J26</f>
        <v/>
      </c>
      <c r="E26" s="67">
        <f>IF(D26="","",IF(ISNUMBER(D26),MAX(0,TODAY()-D26),IFERROR(MAX(0,TODAY()-DATE(2000+VALUE(RIGHT(D26,2)),VALUE(MID(D26,4,2)),VALUE(LEFT(D26,2))),"")))</f>
        <v/>
      </c>
      <c r="F26" s="84" t="n"/>
      <c r="G26" s="84" t="n"/>
      <c r="H26" s="69">
        <f>'Master Stock'!L26</f>
        <v/>
      </c>
    </row>
    <row r="27" ht="15.75" customHeight="1" s="42">
      <c r="A27" s="65">
        <f>'Master Stock'!C27</f>
        <v/>
      </c>
      <c r="B27" s="65">
        <f>'Master Stock'!D27</f>
        <v/>
      </c>
      <c r="C27" s="65">
        <f>'Master Stock'!G27</f>
        <v/>
      </c>
      <c r="D27" s="78">
        <f>'Master Stock'!J27</f>
        <v/>
      </c>
      <c r="E27" s="67">
        <f>IF(D27="","",IF(ISNUMBER(D27),MAX(0,TODAY()-D27),IFERROR(MAX(0,TODAY()-DATE(2000+VALUE(RIGHT(D27,2)),VALUE(MID(D27,4,2)),VALUE(LEFT(D27,2))),"")))</f>
        <v/>
      </c>
      <c r="F27" s="84" t="n"/>
      <c r="G27" s="84" t="n"/>
      <c r="H27" s="69">
        <f>'Master Stock'!L27</f>
        <v/>
      </c>
    </row>
    <row r="28" ht="15.75" customHeight="1" s="42">
      <c r="A28" s="65">
        <f>'Master Stock'!C28</f>
        <v/>
      </c>
      <c r="B28" s="65">
        <f>'Master Stock'!D28</f>
        <v/>
      </c>
      <c r="C28" s="65">
        <f>'Master Stock'!G28</f>
        <v/>
      </c>
      <c r="D28" s="78">
        <f>'Master Stock'!J28</f>
        <v/>
      </c>
      <c r="E28" s="67">
        <f>IF(D28="","",IF(ISNUMBER(D28),MAX(0,TODAY()-D28),IFERROR(MAX(0,TODAY()-DATE(2000+VALUE(RIGHT(D28,2)),VALUE(MID(D28,4,2)),VALUE(LEFT(D28,2))),"")))</f>
        <v/>
      </c>
      <c r="F28" s="84" t="n"/>
      <c r="G28" s="84" t="n"/>
      <c r="H28" s="69">
        <f>'Master Stock'!L28</f>
        <v/>
      </c>
    </row>
    <row r="29" ht="15.75" customHeight="1" s="42">
      <c r="A29" s="65">
        <f>'Master Stock'!C29</f>
        <v/>
      </c>
      <c r="B29" s="65">
        <f>'Master Stock'!D29</f>
        <v/>
      </c>
      <c r="C29" s="65">
        <f>'Master Stock'!G29</f>
        <v/>
      </c>
      <c r="D29" s="78">
        <f>'Master Stock'!J29</f>
        <v/>
      </c>
      <c r="E29" s="67">
        <f>IF(D29="","",IF(ISNUMBER(D29),MAX(0,TODAY()-D29),IFERROR(MAX(0,TODAY()-DATE(2000+VALUE(RIGHT(D29,2)),VALUE(MID(D29,4,2)),VALUE(LEFT(D29,2))),"")))</f>
        <v/>
      </c>
      <c r="F29" s="84" t="n"/>
      <c r="G29" s="84" t="n"/>
      <c r="H29" s="69">
        <f>'Master Stock'!L29</f>
        <v/>
      </c>
    </row>
    <row r="30" ht="15.75" customHeight="1" s="42">
      <c r="A30" s="65">
        <f>'Master Stock'!C30</f>
        <v/>
      </c>
      <c r="B30" s="65">
        <f>'Master Stock'!D30</f>
        <v/>
      </c>
      <c r="C30" s="65">
        <f>'Master Stock'!G30</f>
        <v/>
      </c>
      <c r="D30" s="78">
        <f>'Master Stock'!J30</f>
        <v/>
      </c>
      <c r="E30" s="67">
        <f>IF(D30="","",IF(ISNUMBER(D30),MAX(0,TODAY()-D30),IFERROR(MAX(0,TODAY()-DATE(2000+VALUE(RIGHT(D30,2)),VALUE(MID(D30,4,2)),VALUE(LEFT(D30,2))),"")))</f>
        <v/>
      </c>
      <c r="F30" s="84" t="n"/>
      <c r="G30" s="84" t="n"/>
      <c r="H30" s="69">
        <f>'Master Stock'!L30</f>
        <v/>
      </c>
    </row>
    <row r="31" ht="15.75" customHeight="1" s="42">
      <c r="A31" s="65">
        <f>'Master Stock'!C31</f>
        <v/>
      </c>
      <c r="B31" s="65">
        <f>'Master Stock'!D31</f>
        <v/>
      </c>
      <c r="C31" s="65">
        <f>'Master Stock'!G31</f>
        <v/>
      </c>
      <c r="D31" s="78">
        <f>'Master Stock'!J31</f>
        <v/>
      </c>
      <c r="E31" s="67">
        <f>IF(D31="","",IF(ISNUMBER(D31),MAX(0,TODAY()-D31),IFERROR(MAX(0,TODAY()-DATE(2000+VALUE(RIGHT(D31,2)),VALUE(MID(D31,4,2)),VALUE(LEFT(D31,2))),"")))</f>
        <v/>
      </c>
      <c r="F31" s="84" t="n"/>
      <c r="G31" s="84" t="n"/>
      <c r="H31" s="69">
        <f>'Master Stock'!L31</f>
        <v/>
      </c>
    </row>
    <row r="32" ht="15.75" customHeight="1" s="42">
      <c r="A32" s="65">
        <f>'Master Stock'!C32</f>
        <v/>
      </c>
      <c r="B32" s="65">
        <f>'Master Stock'!D32</f>
        <v/>
      </c>
      <c r="C32" s="65">
        <f>'Master Stock'!G32</f>
        <v/>
      </c>
      <c r="D32" s="78">
        <f>'Master Stock'!J32</f>
        <v/>
      </c>
      <c r="E32" s="67">
        <f>IF(D32="","",IF(ISNUMBER(D32),MAX(0,TODAY()-D32),IFERROR(MAX(0,TODAY()-DATE(2000+VALUE(RIGHT(D32,2)),VALUE(MID(D32,4,2)),VALUE(LEFT(D32,2))),"")))</f>
        <v/>
      </c>
      <c r="F32" s="84" t="n"/>
      <c r="G32" s="84" t="n"/>
      <c r="H32" s="69">
        <f>'Master Stock'!L32</f>
        <v/>
      </c>
    </row>
    <row r="33" ht="15.75" customHeight="1" s="42">
      <c r="A33" s="65">
        <f>'Master Stock'!C33</f>
        <v/>
      </c>
      <c r="B33" s="65">
        <f>'Master Stock'!D33</f>
        <v/>
      </c>
      <c r="C33" s="65">
        <f>'Master Stock'!G33</f>
        <v/>
      </c>
      <c r="D33" s="78">
        <f>'Master Stock'!J33</f>
        <v/>
      </c>
      <c r="E33" s="67">
        <f>IF(D33="","",IF(ISNUMBER(D33),MAX(0,TODAY()-D33),IFERROR(MAX(0,TODAY()-DATE(2000+VALUE(RIGHT(D33,2)),VALUE(MID(D33,4,2)),VALUE(LEFT(D33,2))),"")))</f>
        <v/>
      </c>
      <c r="F33" s="84" t="n"/>
      <c r="G33" s="84" t="n"/>
      <c r="H33" s="69">
        <f>'Master Stock'!L33</f>
        <v/>
      </c>
    </row>
    <row r="34" ht="15.75" customHeight="1" s="42">
      <c r="A34" s="65">
        <f>'Master Stock'!C34</f>
        <v/>
      </c>
      <c r="B34" s="65">
        <f>'Master Stock'!D34</f>
        <v/>
      </c>
      <c r="C34" s="65">
        <f>'Master Stock'!G34</f>
        <v/>
      </c>
      <c r="D34" s="78">
        <f>'Master Stock'!J34</f>
        <v/>
      </c>
      <c r="E34" s="67">
        <f>IF(D34="","",IF(ISNUMBER(D34),MAX(0,TODAY()-D34),IFERROR(MAX(0,TODAY()-DATE(2000+VALUE(RIGHT(D34,2)),VALUE(MID(D34,4,2)),VALUE(LEFT(D34,2))),"")))</f>
        <v/>
      </c>
      <c r="F34" s="84" t="n"/>
      <c r="G34" s="84" t="n"/>
      <c r="H34" s="69">
        <f>'Master Stock'!L34</f>
        <v/>
      </c>
    </row>
    <row r="35" ht="15.75" customHeight="1" s="42">
      <c r="A35" s="65">
        <f>'Master Stock'!C35</f>
        <v/>
      </c>
      <c r="B35" s="65">
        <f>'Master Stock'!D35</f>
        <v/>
      </c>
      <c r="C35" s="65">
        <f>'Master Stock'!G35</f>
        <v/>
      </c>
      <c r="D35" s="78">
        <f>'Master Stock'!J35</f>
        <v/>
      </c>
      <c r="E35" s="67">
        <f>IF(D35="","",IF(ISNUMBER(D35),MAX(0,TODAY()-D35),IFERROR(MAX(0,TODAY()-DATE(2000+VALUE(RIGHT(D35,2)),VALUE(MID(D35,4,2)),VALUE(LEFT(D35,2))),"")))</f>
        <v/>
      </c>
      <c r="F35" s="84" t="n"/>
      <c r="G35" s="84" t="n"/>
      <c r="H35" s="69">
        <f>'Master Stock'!L35</f>
        <v/>
      </c>
    </row>
    <row r="36" ht="15.75" customHeight="1" s="42">
      <c r="A36" s="65">
        <f>'Master Stock'!C36</f>
        <v/>
      </c>
      <c r="B36" s="65">
        <f>'Master Stock'!D36</f>
        <v/>
      </c>
      <c r="C36" s="65">
        <f>'Master Stock'!G36</f>
        <v/>
      </c>
      <c r="D36" s="78">
        <f>'Master Stock'!J36</f>
        <v/>
      </c>
      <c r="E36" s="67">
        <f>IF(D36="","",IF(ISNUMBER(D36),MAX(0,TODAY()-D36),IFERROR(MAX(0,TODAY()-DATE(2000+VALUE(RIGHT(D36,2)),VALUE(MID(D36,4,2)),VALUE(LEFT(D36,2))),"")))</f>
        <v/>
      </c>
      <c r="F36" s="84" t="n"/>
      <c r="G36" s="84" t="n"/>
      <c r="H36" s="69">
        <f>'Master Stock'!L36</f>
        <v/>
      </c>
    </row>
    <row r="37" ht="15.75" customHeight="1" s="42">
      <c r="A37" s="65">
        <f>'Master Stock'!C37</f>
        <v/>
      </c>
      <c r="B37" s="65">
        <f>'Master Stock'!D37</f>
        <v/>
      </c>
      <c r="C37" s="65">
        <f>'Master Stock'!G37</f>
        <v/>
      </c>
      <c r="D37" s="78">
        <f>'Master Stock'!J37</f>
        <v/>
      </c>
      <c r="E37" s="67">
        <f>IF(D37="","",IF(ISNUMBER(D37),MAX(0,TODAY()-D37),IFERROR(MAX(0,TODAY()-DATE(2000+VALUE(RIGHT(D37,2)),VALUE(MID(D37,4,2)),VALUE(LEFT(D37,2))),"")))</f>
        <v/>
      </c>
      <c r="F37" s="84" t="n"/>
      <c r="G37" s="84" t="n"/>
      <c r="H37" s="69">
        <f>'Master Stock'!L37</f>
        <v/>
      </c>
    </row>
    <row r="38" ht="15.75" customHeight="1" s="42">
      <c r="A38" s="65">
        <f>'Master Stock'!C38</f>
        <v/>
      </c>
      <c r="B38" s="65">
        <f>'Master Stock'!D38</f>
        <v/>
      </c>
      <c r="C38" s="65">
        <f>'Master Stock'!G38</f>
        <v/>
      </c>
      <c r="D38" s="78">
        <f>'Master Stock'!J38</f>
        <v/>
      </c>
      <c r="E38" s="67">
        <f>IF(D38="","",IF(ISNUMBER(D38),MAX(0,TODAY()-D38),IFERROR(MAX(0,TODAY()-DATE(2000+VALUE(RIGHT(D38,2)),VALUE(MID(D38,4,2)),VALUE(LEFT(D38,2))),"")))</f>
        <v/>
      </c>
      <c r="F38" s="84" t="n"/>
      <c r="G38" s="84" t="n"/>
      <c r="H38" s="69">
        <f>'Master Stock'!L38</f>
        <v/>
      </c>
    </row>
    <row r="39" ht="15.75" customHeight="1" s="42">
      <c r="A39" s="65">
        <f>'Master Stock'!C39</f>
        <v/>
      </c>
      <c r="B39" s="65">
        <f>'Master Stock'!D39</f>
        <v/>
      </c>
      <c r="C39" s="65">
        <f>'Master Stock'!G39</f>
        <v/>
      </c>
      <c r="D39" s="78">
        <f>'Master Stock'!J39</f>
        <v/>
      </c>
      <c r="E39" s="67">
        <f>IF(D39="","",IF(ISNUMBER(D39),MAX(0,TODAY()-D39),IFERROR(MAX(0,TODAY()-DATE(2000+VALUE(RIGHT(D39,2)),VALUE(MID(D39,4,2)),VALUE(LEFT(D39,2))),"")))</f>
        <v/>
      </c>
      <c r="F39" s="84" t="n"/>
      <c r="G39" s="84" t="n"/>
      <c r="H39" s="69">
        <f>'Master Stock'!L39</f>
        <v/>
      </c>
    </row>
    <row r="40" ht="15.75" customHeight="1" s="42">
      <c r="A40" s="65">
        <f>'Master Stock'!C40</f>
        <v/>
      </c>
      <c r="B40" s="65">
        <f>'Master Stock'!D40</f>
        <v/>
      </c>
      <c r="C40" s="65">
        <f>'Master Stock'!G40</f>
        <v/>
      </c>
      <c r="D40" s="78">
        <f>'Master Stock'!J40</f>
        <v/>
      </c>
      <c r="E40" s="67">
        <f>IF(D40="","",IF(ISNUMBER(D40),MAX(0,TODAY()-D40),IFERROR(MAX(0,TODAY()-DATE(2000+VALUE(RIGHT(D40,2)),VALUE(MID(D40,4,2)),VALUE(LEFT(D40,2))),"")))</f>
        <v/>
      </c>
      <c r="F40" s="84" t="n"/>
      <c r="G40" s="84" t="n"/>
      <c r="H40" s="69">
        <f>'Master Stock'!L40</f>
        <v/>
      </c>
    </row>
    <row r="41" ht="15.75" customHeight="1" s="42">
      <c r="A41" s="65">
        <f>'Master Stock'!C41</f>
        <v/>
      </c>
      <c r="B41" s="65">
        <f>'Master Stock'!D41</f>
        <v/>
      </c>
      <c r="C41" s="65">
        <f>'Master Stock'!G41</f>
        <v/>
      </c>
      <c r="D41" s="78">
        <f>'Master Stock'!J41</f>
        <v/>
      </c>
      <c r="E41" s="67">
        <f>IF(D41="","",IF(ISNUMBER(D41),MAX(0,TODAY()-D41),IFERROR(MAX(0,TODAY()-DATE(2000+VALUE(RIGHT(D41,2)),VALUE(MID(D41,4,2)),VALUE(LEFT(D41,2))),"")))</f>
        <v/>
      </c>
      <c r="F41" s="84" t="n"/>
      <c r="G41" s="84" t="n"/>
      <c r="H41" s="69">
        <f>'Master Stock'!L41</f>
        <v/>
      </c>
    </row>
    <row r="42" ht="15.75" customHeight="1" s="42">
      <c r="A42" s="65">
        <f>'Master Stock'!C42</f>
        <v/>
      </c>
      <c r="B42" s="65">
        <f>'Master Stock'!D42</f>
        <v/>
      </c>
      <c r="C42" s="65">
        <f>'Master Stock'!G42</f>
        <v/>
      </c>
      <c r="D42" s="78">
        <f>'Master Stock'!J42</f>
        <v/>
      </c>
      <c r="E42" s="67">
        <f>IF(D42="","",IF(ISNUMBER(D42),MAX(0,TODAY()-D42),IFERROR(MAX(0,TODAY()-DATE(2000+VALUE(RIGHT(D42,2)),VALUE(MID(D42,4,2)),VALUE(LEFT(D42,2))),"")))</f>
        <v/>
      </c>
      <c r="F42" s="84" t="n"/>
      <c r="G42" s="84" t="n"/>
      <c r="H42" s="69">
        <f>'Master Stock'!L42</f>
        <v/>
      </c>
    </row>
    <row r="43" ht="15.75" customHeight="1" s="42">
      <c r="A43" s="65">
        <f>'Master Stock'!C43</f>
        <v/>
      </c>
      <c r="B43" s="65">
        <f>'Master Stock'!D43</f>
        <v/>
      </c>
      <c r="C43" s="65">
        <f>'Master Stock'!G43</f>
        <v/>
      </c>
      <c r="D43" s="78">
        <f>'Master Stock'!J43</f>
        <v/>
      </c>
      <c r="E43" s="67">
        <f>IF(D43="","",IF(ISNUMBER(D43),MAX(0,TODAY()-D43),IFERROR(MAX(0,TODAY()-DATE(2000+VALUE(RIGHT(D43,2)),VALUE(MID(D43,4,2)),VALUE(LEFT(D43,2))),"")))</f>
        <v/>
      </c>
      <c r="F43" s="84" t="n"/>
      <c r="G43" s="84" t="n"/>
      <c r="H43" s="69">
        <f>'Master Stock'!L43</f>
        <v/>
      </c>
    </row>
    <row r="44" ht="15.75" customHeight="1" s="42">
      <c r="A44" s="65">
        <f>'Master Stock'!C44</f>
        <v/>
      </c>
      <c r="B44" s="65">
        <f>'Master Stock'!D44</f>
        <v/>
      </c>
      <c r="C44" s="65">
        <f>'Master Stock'!G44</f>
        <v/>
      </c>
      <c r="D44" s="78">
        <f>'Master Stock'!J44</f>
        <v/>
      </c>
      <c r="E44" s="67">
        <f>IF(D44="","",IF(ISNUMBER(D44),MAX(0,TODAY()-D44),IFERROR(MAX(0,TODAY()-DATE(2000+VALUE(RIGHT(D44,2)),VALUE(MID(D44,4,2)),VALUE(LEFT(D44,2))),"")))</f>
        <v/>
      </c>
      <c r="F44" s="84" t="n"/>
      <c r="G44" s="84" t="n"/>
      <c r="H44" s="69">
        <f>'Master Stock'!L44</f>
        <v/>
      </c>
    </row>
    <row r="45" ht="15.75" customHeight="1" s="42">
      <c r="A45" s="65">
        <f>'Master Stock'!C45</f>
        <v/>
      </c>
      <c r="B45" s="65">
        <f>'Master Stock'!D45</f>
        <v/>
      </c>
      <c r="C45" s="65">
        <f>'Master Stock'!G45</f>
        <v/>
      </c>
      <c r="D45" s="78">
        <f>'Master Stock'!J45</f>
        <v/>
      </c>
      <c r="E45" s="67">
        <f>IF(D45="","",IF(ISNUMBER(D45),MAX(0,TODAY()-D45),IFERROR(MAX(0,TODAY()-DATE(2000+VALUE(RIGHT(D45,2)),VALUE(MID(D45,4,2)),VALUE(LEFT(D45,2))),"")))</f>
        <v/>
      </c>
      <c r="F45" s="84" t="n"/>
      <c r="G45" s="84" t="n"/>
      <c r="H45" s="69">
        <f>'Master Stock'!L45</f>
        <v/>
      </c>
    </row>
    <row r="46" ht="15.75" customHeight="1" s="42">
      <c r="A46" s="65">
        <f>'Master Stock'!C46</f>
        <v/>
      </c>
      <c r="B46" s="65">
        <f>'Master Stock'!D46</f>
        <v/>
      </c>
      <c r="C46" s="65">
        <f>'Master Stock'!G46</f>
        <v/>
      </c>
      <c r="D46" s="78">
        <f>'Master Stock'!J46</f>
        <v/>
      </c>
      <c r="E46" s="67">
        <f>IF(D46="","",IF(ISNUMBER(D46),MAX(0,TODAY()-D46),IFERROR(MAX(0,TODAY()-DATE(2000+VALUE(RIGHT(D46,2)),VALUE(MID(D46,4,2)),VALUE(LEFT(D46,2))),"")))</f>
        <v/>
      </c>
      <c r="F46" s="84" t="n"/>
      <c r="G46" s="84" t="n"/>
      <c r="H46" s="69">
        <f>'Master Stock'!L46</f>
        <v/>
      </c>
    </row>
    <row r="47" ht="15.75" customHeight="1" s="42">
      <c r="A47" s="65">
        <f>'Master Stock'!C47</f>
        <v/>
      </c>
      <c r="B47" s="65">
        <f>'Master Stock'!D47</f>
        <v/>
      </c>
      <c r="C47" s="65">
        <f>'Master Stock'!G47</f>
        <v/>
      </c>
      <c r="D47" s="78">
        <f>'Master Stock'!J47</f>
        <v/>
      </c>
      <c r="E47" s="67">
        <f>IF(D47="","",IF(ISNUMBER(D47),MAX(0,TODAY()-D47),IFERROR(MAX(0,TODAY()-DATE(2000+VALUE(RIGHT(D47,2)),VALUE(MID(D47,4,2)),VALUE(LEFT(D47,2))),"")))</f>
        <v/>
      </c>
      <c r="F47" s="84" t="n"/>
      <c r="G47" s="84" t="n"/>
      <c r="H47" s="69">
        <f>'Master Stock'!L47</f>
        <v/>
      </c>
    </row>
    <row r="48" ht="15.75" customHeight="1" s="42">
      <c r="A48" s="44">
        <f>'Master Stock'!C48</f>
        <v/>
      </c>
      <c r="B48" s="44">
        <f>'Master Stock'!D48</f>
        <v/>
      </c>
      <c r="C48" s="44">
        <f>'Master Stock'!G48</f>
        <v/>
      </c>
      <c r="D48" s="53">
        <f>'Master Stock'!J48</f>
        <v/>
      </c>
      <c r="E48" s="86">
        <f>IF(D48="","",IF(ISNUMBER(D48),MAX(0,TODAY()-D48),IFERROR(MAX(0,TODAY()-DATE(2000+VALUE(RIGHT(D48,2)),VALUE(MID(D48,4,2)),VALUE(LEFT(D48,2))),"")))</f>
        <v/>
      </c>
      <c r="F48" s="82" t="n"/>
      <c r="G48" s="82" t="n"/>
      <c r="H48" s="83" t="n"/>
    </row>
    <row r="49" ht="15.75" customHeight="1" s="42">
      <c r="A49" s="44">
        <f>'Master Stock'!C49</f>
        <v/>
      </c>
      <c r="B49" s="44">
        <f>'Master Stock'!D49</f>
        <v/>
      </c>
      <c r="C49" s="44">
        <f>'Master Stock'!G49</f>
        <v/>
      </c>
      <c r="D49" s="53">
        <f>'Master Stock'!J49</f>
        <v/>
      </c>
      <c r="E49" s="86">
        <f>IF(D49="","",IF(ISNUMBER(D49),MAX(0,TODAY()-D49),IFERROR(MAX(0,TODAY()-DATE(2000+VALUE(RIGHT(D49,2)),VALUE(MID(D49,4,2)),VALUE(LEFT(D49,2))),"")))</f>
        <v/>
      </c>
      <c r="F49" s="82" t="n"/>
      <c r="G49" s="82" t="n"/>
      <c r="H49" s="83" t="n"/>
    </row>
    <row r="50" ht="15.75" customHeight="1" s="42">
      <c r="A50" s="44">
        <f>'Master Stock'!C50</f>
        <v/>
      </c>
      <c r="B50" s="44">
        <f>'Master Stock'!D50</f>
        <v/>
      </c>
      <c r="C50" s="44">
        <f>'Master Stock'!G50</f>
        <v/>
      </c>
      <c r="D50" s="53">
        <f>'Master Stock'!J50</f>
        <v/>
      </c>
      <c r="E50" s="86">
        <f>IF(D50="","",IF(ISNUMBER(D50),MAX(0,TODAY()-D50),IFERROR(MAX(0,TODAY()-DATE(2000+VALUE(RIGHT(D50,2)),VALUE(MID(D50,4,2)),VALUE(LEFT(D50,2))),"")))</f>
        <v/>
      </c>
      <c r="F50" s="82" t="n"/>
      <c r="G50" s="82" t="n"/>
      <c r="H50" s="83" t="n"/>
    </row>
    <row r="51" ht="15.75" customHeight="1" s="42">
      <c r="A51" s="44">
        <f>'Master Stock'!C51</f>
        <v/>
      </c>
      <c r="B51" s="44">
        <f>'Master Stock'!D51</f>
        <v/>
      </c>
      <c r="C51" s="44">
        <f>'Master Stock'!G51</f>
        <v/>
      </c>
      <c r="D51" s="53">
        <f>'Master Stock'!J51</f>
        <v/>
      </c>
      <c r="E51" s="86">
        <f>IF(D51="","",IF(ISNUMBER(D51),MAX(0,TODAY()-D51),IFERROR(MAX(0,TODAY()-DATE(2000+VALUE(RIGHT(D51,2)),VALUE(MID(D51,4,2)),VALUE(LEFT(D51,2))),"")))</f>
        <v/>
      </c>
      <c r="F51" s="82" t="n"/>
      <c r="G51" s="82" t="n"/>
      <c r="H51" s="83" t="n"/>
    </row>
    <row r="52" ht="15.75" customHeight="1" s="42">
      <c r="A52" s="44">
        <f>'Master Stock'!C52</f>
        <v/>
      </c>
      <c r="B52" s="44">
        <f>'Master Stock'!D52</f>
        <v/>
      </c>
      <c r="C52" s="44">
        <f>'Master Stock'!G52</f>
        <v/>
      </c>
      <c r="D52" s="53">
        <f>'Master Stock'!J52</f>
        <v/>
      </c>
      <c r="E52" s="86">
        <f>IF(D52="","",IF(ISNUMBER(D52),MAX(0,TODAY()-D52),IFERROR(MAX(0,TODAY()-DATE(2000+VALUE(RIGHT(D52,2)),VALUE(MID(D52,4,2)),VALUE(LEFT(D52,2))),"")))</f>
        <v/>
      </c>
      <c r="F52" s="82" t="n"/>
      <c r="G52" s="82" t="n"/>
      <c r="H52" s="83" t="n"/>
    </row>
    <row r="53" ht="15.75" customHeight="1" s="42">
      <c r="A53" s="44">
        <f>'Master Stock'!C53</f>
        <v/>
      </c>
      <c r="B53" s="44">
        <f>'Master Stock'!D53</f>
        <v/>
      </c>
      <c r="C53" s="44">
        <f>'Master Stock'!G53</f>
        <v/>
      </c>
      <c r="D53" s="53">
        <f>'Master Stock'!J53</f>
        <v/>
      </c>
      <c r="E53" s="86">
        <f>IF(D53="","",IF(ISNUMBER(D53),MAX(0,TODAY()-D53),IFERROR(MAX(0,TODAY()-DATE(2000+VALUE(RIGHT(D53,2)),VALUE(MID(D53,4,2)),VALUE(LEFT(D53,2))),"")))</f>
        <v/>
      </c>
      <c r="F53" s="82" t="n"/>
      <c r="G53" s="82" t="n"/>
      <c r="H53" s="83" t="n"/>
    </row>
    <row r="54" ht="15.75" customHeight="1" s="42">
      <c r="A54" s="44">
        <f>'Master Stock'!C54</f>
        <v/>
      </c>
      <c r="B54" s="44">
        <f>'Master Stock'!D54</f>
        <v/>
      </c>
      <c r="C54" s="44">
        <f>'Master Stock'!G54</f>
        <v/>
      </c>
      <c r="D54" s="53">
        <f>'Master Stock'!J54</f>
        <v/>
      </c>
      <c r="E54" s="86">
        <f>IF(D54="","",IF(ISNUMBER(D54),MAX(0,TODAY()-D54),IFERROR(MAX(0,TODAY()-DATE(2000+VALUE(RIGHT(D54,2)),VALUE(MID(D54,4,2)),VALUE(LEFT(D54,2))),"")))</f>
        <v/>
      </c>
      <c r="F54" s="82" t="n"/>
      <c r="G54" s="82" t="n"/>
      <c r="H54" s="83" t="n"/>
    </row>
    <row r="55" ht="15.75" customHeight="1" s="42">
      <c r="A55" s="44">
        <f>'Master Stock'!C55</f>
        <v/>
      </c>
      <c r="B55" s="44">
        <f>'Master Stock'!D55</f>
        <v/>
      </c>
      <c r="C55" s="44">
        <f>'Master Stock'!G55</f>
        <v/>
      </c>
      <c r="D55" s="53">
        <f>'Master Stock'!J55</f>
        <v/>
      </c>
      <c r="E55" s="86">
        <f>IF(D55="","",IF(ISNUMBER(D55),MAX(0,TODAY()-D55),IFERROR(MAX(0,TODAY()-DATE(2000+VALUE(RIGHT(D55,2)),VALUE(MID(D55,4,2)),VALUE(LEFT(D55,2))),"")))</f>
        <v/>
      </c>
      <c r="F55" s="82" t="n"/>
      <c r="G55" s="82" t="n"/>
      <c r="H55" s="83" t="n"/>
    </row>
    <row r="56" ht="15.75" customHeight="1" s="42">
      <c r="A56" s="44">
        <f>'Master Stock'!C56</f>
        <v/>
      </c>
      <c r="B56" s="44">
        <f>'Master Stock'!D56</f>
        <v/>
      </c>
      <c r="C56" s="44">
        <f>'Master Stock'!G56</f>
        <v/>
      </c>
      <c r="D56" s="53">
        <f>'Master Stock'!J56</f>
        <v/>
      </c>
      <c r="E56" s="86">
        <f>IF(D56="","",IF(ISNUMBER(D56),MAX(0,TODAY()-D56),IFERROR(MAX(0,TODAY()-DATE(2000+VALUE(RIGHT(D56,2)),VALUE(MID(D56,4,2)),VALUE(LEFT(D56,2))),"")))</f>
        <v/>
      </c>
      <c r="F56" s="82" t="n"/>
      <c r="G56" s="82" t="n"/>
      <c r="H56" s="83" t="n"/>
    </row>
    <row r="57" ht="15.75" customHeight="1" s="42">
      <c r="A57" s="44">
        <f>'Master Stock'!C57</f>
        <v/>
      </c>
      <c r="B57" s="44">
        <f>'Master Stock'!D57</f>
        <v/>
      </c>
      <c r="C57" s="44">
        <f>'Master Stock'!G57</f>
        <v/>
      </c>
      <c r="D57" s="53">
        <f>'Master Stock'!J57</f>
        <v/>
      </c>
      <c r="E57" s="86">
        <f>IF(D57="","",IF(ISNUMBER(D57),MAX(0,TODAY()-D57),IFERROR(MAX(0,TODAY()-DATE(2000+VALUE(RIGHT(D57,2)),VALUE(MID(D57,4,2)),VALUE(LEFT(D57,2))),"")))</f>
        <v/>
      </c>
      <c r="F57" s="82" t="n"/>
      <c r="G57" s="82" t="n"/>
      <c r="H57" s="83" t="n"/>
    </row>
    <row r="58" ht="15.75" customHeight="1" s="42">
      <c r="A58" s="44">
        <f>'Master Stock'!C58</f>
        <v/>
      </c>
      <c r="B58" s="44">
        <f>'Master Stock'!D58</f>
        <v/>
      </c>
      <c r="C58" s="44">
        <f>'Master Stock'!G58</f>
        <v/>
      </c>
      <c r="D58" s="53">
        <f>'Master Stock'!J58</f>
        <v/>
      </c>
      <c r="E58" s="86">
        <f>IF(D58="","",IF(ISNUMBER(D58),MAX(0,TODAY()-D58),IFERROR(MAX(0,TODAY()-DATE(2000+VALUE(RIGHT(D58,2)),VALUE(MID(D58,4,2)),VALUE(LEFT(D58,2))),"")))</f>
        <v/>
      </c>
      <c r="F58" s="82" t="n"/>
      <c r="G58" s="82" t="n"/>
      <c r="H58" s="83" t="n"/>
    </row>
    <row r="59" ht="15.75" customHeight="1" s="42">
      <c r="A59" s="44">
        <f>'Master Stock'!C59</f>
        <v/>
      </c>
      <c r="B59" s="44">
        <f>'Master Stock'!D59</f>
        <v/>
      </c>
      <c r="C59" s="44">
        <f>'Master Stock'!G59</f>
        <v/>
      </c>
      <c r="D59" s="53">
        <f>'Master Stock'!J59</f>
        <v/>
      </c>
      <c r="E59" s="86">
        <f>IF(D59="","",IF(ISNUMBER(D59),MAX(0,TODAY()-D59),IFERROR(MAX(0,TODAY()-DATE(2000+VALUE(RIGHT(D59,2)),VALUE(MID(D59,4,2)),VALUE(LEFT(D59,2))),"")))</f>
        <v/>
      </c>
      <c r="F59" s="82" t="n"/>
      <c r="G59" s="82" t="n"/>
      <c r="H59" s="83" t="n"/>
    </row>
    <row r="60" ht="15.75" customHeight="1" s="42">
      <c r="A60" s="44">
        <f>'Master Stock'!C60</f>
        <v/>
      </c>
      <c r="B60" s="44">
        <f>'Master Stock'!D60</f>
        <v/>
      </c>
      <c r="C60" s="44">
        <f>'Master Stock'!G60</f>
        <v/>
      </c>
      <c r="D60" s="53">
        <f>'Master Stock'!J60</f>
        <v/>
      </c>
      <c r="E60" s="86">
        <f>IF(D60="","",IF(ISNUMBER(D60),MAX(0,TODAY()-D60),IFERROR(MAX(0,TODAY()-DATE(2000+VALUE(RIGHT(D60,2)),VALUE(MID(D60,4,2)),VALUE(LEFT(D60,2))),"")))</f>
        <v/>
      </c>
      <c r="F60" s="82" t="n"/>
      <c r="G60" s="82" t="n"/>
      <c r="H60" s="83" t="n"/>
    </row>
    <row r="61" ht="15.75" customHeight="1" s="42">
      <c r="A61" s="44">
        <f>'Master Stock'!C61</f>
        <v/>
      </c>
      <c r="B61" s="44">
        <f>'Master Stock'!D61</f>
        <v/>
      </c>
      <c r="C61" s="44">
        <f>'Master Stock'!G61</f>
        <v/>
      </c>
      <c r="D61" s="53">
        <f>'Master Stock'!J61</f>
        <v/>
      </c>
      <c r="E61" s="86">
        <f>IF(D61="","",IF(ISNUMBER(D61),MAX(0,TODAY()-D61),IFERROR(MAX(0,TODAY()-DATE(2000+VALUE(RIGHT(D61,2)),VALUE(MID(D61,4,2)),VALUE(LEFT(D61,2))),"")))</f>
        <v/>
      </c>
      <c r="F61" s="82" t="n"/>
      <c r="G61" s="82" t="n"/>
      <c r="H61" s="83" t="n"/>
    </row>
    <row r="62" ht="15.75" customHeight="1" s="42">
      <c r="A62" s="44">
        <f>'Master Stock'!C62</f>
        <v/>
      </c>
      <c r="B62" s="44">
        <f>'Master Stock'!D62</f>
        <v/>
      </c>
      <c r="C62" s="44">
        <f>'Master Stock'!G62</f>
        <v/>
      </c>
      <c r="D62" s="53">
        <f>'Master Stock'!J62</f>
        <v/>
      </c>
      <c r="E62" s="86">
        <f>IF(D62="","",IF(ISNUMBER(D62),MAX(0,TODAY()-D62),IFERROR(MAX(0,TODAY()-DATE(2000+VALUE(RIGHT(D62,2)),VALUE(MID(D62,4,2)),VALUE(LEFT(D62,2))),"")))</f>
        <v/>
      </c>
      <c r="F62" s="82" t="n"/>
      <c r="G62" s="82" t="n"/>
      <c r="H62" s="83" t="n"/>
    </row>
    <row r="63" ht="15.75" customHeight="1" s="42">
      <c r="A63" s="44">
        <f>'Master Stock'!C63</f>
        <v/>
      </c>
      <c r="B63" s="44">
        <f>'Master Stock'!D63</f>
        <v/>
      </c>
      <c r="C63" s="44">
        <f>'Master Stock'!G63</f>
        <v/>
      </c>
      <c r="D63" s="53">
        <f>'Master Stock'!J63</f>
        <v/>
      </c>
      <c r="E63" s="86">
        <f>IF(D63="","",IF(ISNUMBER(D63),MAX(0,TODAY()-D63),IFERROR(MAX(0,TODAY()-DATE(2000+VALUE(RIGHT(D63,2)),VALUE(MID(D63,4,2)),VALUE(LEFT(D63,2))),"")))</f>
        <v/>
      </c>
      <c r="F63" s="82" t="n"/>
      <c r="G63" s="82" t="n"/>
      <c r="H63" s="83" t="n"/>
    </row>
    <row r="64" ht="15.75" customHeight="1" s="42">
      <c r="A64" s="44">
        <f>'Master Stock'!C64</f>
        <v/>
      </c>
      <c r="B64" s="44">
        <f>'Master Stock'!D64</f>
        <v/>
      </c>
      <c r="C64" s="44">
        <f>'Master Stock'!G64</f>
        <v/>
      </c>
      <c r="D64" s="53">
        <f>'Master Stock'!J64</f>
        <v/>
      </c>
      <c r="E64" s="86">
        <f>IF(D64="","",IF(ISNUMBER(D64),MAX(0,TODAY()-D64),IFERROR(MAX(0,TODAY()-DATE(2000+VALUE(RIGHT(D64,2)),VALUE(MID(D64,4,2)),VALUE(LEFT(D64,2))),"")))</f>
        <v/>
      </c>
      <c r="F64" s="82" t="n"/>
      <c r="G64" s="82" t="n"/>
      <c r="H64" s="83" t="n"/>
    </row>
    <row r="65" ht="15.75" customHeight="1" s="42">
      <c r="A65" s="44">
        <f>'Master Stock'!C65</f>
        <v/>
      </c>
      <c r="B65" s="44">
        <f>'Master Stock'!D65</f>
        <v/>
      </c>
      <c r="C65" s="44">
        <f>'Master Stock'!G65</f>
        <v/>
      </c>
      <c r="D65" s="53">
        <f>'Master Stock'!J65</f>
        <v/>
      </c>
      <c r="E65" s="86">
        <f>IF(D65="","",IF(ISNUMBER(D65),MAX(0,TODAY()-D65),IFERROR(MAX(0,TODAY()-DATE(2000+VALUE(RIGHT(D65,2)),VALUE(MID(D65,4,2)),VALUE(LEFT(D65,2))),"")))</f>
        <v/>
      </c>
      <c r="F65" s="82" t="n"/>
      <c r="G65" s="82" t="n"/>
      <c r="H65" s="83" t="n"/>
    </row>
    <row r="66" ht="15.75" customHeight="1" s="42">
      <c r="A66" s="44">
        <f>'Master Stock'!C66</f>
        <v/>
      </c>
      <c r="B66" s="44">
        <f>'Master Stock'!D66</f>
        <v/>
      </c>
      <c r="C66" s="44">
        <f>'Master Stock'!G66</f>
        <v/>
      </c>
      <c r="D66" s="53">
        <f>'Master Stock'!J66</f>
        <v/>
      </c>
      <c r="E66" s="86">
        <f>IF(D66="","",IF(ISNUMBER(D66),MAX(0,TODAY()-D66),IFERROR(MAX(0,TODAY()-DATE(2000+VALUE(RIGHT(D66,2)),VALUE(MID(D66,4,2)),VALUE(LEFT(D66,2))),"")))</f>
        <v/>
      </c>
      <c r="F66" s="82" t="n"/>
      <c r="G66" s="82" t="n"/>
      <c r="H66" s="83" t="n"/>
    </row>
    <row r="67" ht="15.75" customHeight="1" s="42">
      <c r="A67" s="44">
        <f>'Master Stock'!C67</f>
        <v/>
      </c>
      <c r="B67" s="44">
        <f>'Master Stock'!D67</f>
        <v/>
      </c>
      <c r="C67" s="44">
        <f>'Master Stock'!G67</f>
        <v/>
      </c>
      <c r="D67" s="53">
        <f>'Master Stock'!J67</f>
        <v/>
      </c>
      <c r="E67" s="86">
        <f>IF(D67="","",IF(ISNUMBER(D67),MAX(0,TODAY()-D67),IFERROR(MAX(0,TODAY()-DATE(2000+VALUE(RIGHT(D67,2)),VALUE(MID(D67,4,2)),VALUE(LEFT(D67,2))),"")))</f>
        <v/>
      </c>
      <c r="F67" s="82" t="n"/>
      <c r="G67" s="82" t="n"/>
      <c r="H67" s="83" t="n"/>
    </row>
    <row r="68" ht="15.75" customHeight="1" s="42">
      <c r="A68" s="44">
        <f>'Master Stock'!C68</f>
        <v/>
      </c>
      <c r="B68" s="44">
        <f>'Master Stock'!D68</f>
        <v/>
      </c>
      <c r="C68" s="44">
        <f>'Master Stock'!G68</f>
        <v/>
      </c>
      <c r="D68" s="53">
        <f>'Master Stock'!J68</f>
        <v/>
      </c>
      <c r="E68" s="86">
        <f>IF(D68="","",IF(ISNUMBER(D68),MAX(0,TODAY()-D68),IFERROR(MAX(0,TODAY()-DATE(2000+VALUE(RIGHT(D68,2)),VALUE(MID(D68,4,2)),VALUE(LEFT(D68,2))),"")))</f>
        <v/>
      </c>
      <c r="F68" s="82" t="n"/>
      <c r="G68" s="82" t="n"/>
      <c r="H68" s="83" t="n"/>
    </row>
    <row r="69" ht="15.75" customHeight="1" s="42">
      <c r="A69" s="44">
        <f>'Master Stock'!C69</f>
        <v/>
      </c>
      <c r="B69" s="44">
        <f>'Master Stock'!D69</f>
        <v/>
      </c>
      <c r="C69" s="44">
        <f>'Master Stock'!G69</f>
        <v/>
      </c>
      <c r="D69" s="53">
        <f>'Master Stock'!J69</f>
        <v/>
      </c>
      <c r="E69" s="86">
        <f>IF(D69="","",IF(ISNUMBER(D69),MAX(0,TODAY()-D69),IFERROR(MAX(0,TODAY()-DATE(2000+VALUE(RIGHT(D69,2)),VALUE(MID(D69,4,2)),VALUE(LEFT(D69,2))),"")))</f>
        <v/>
      </c>
      <c r="F69" s="82" t="n"/>
      <c r="G69" s="82" t="n"/>
      <c r="H69" s="83" t="n"/>
    </row>
    <row r="70" ht="15.75" customHeight="1" s="42">
      <c r="A70" s="44">
        <f>'Master Stock'!C70</f>
        <v/>
      </c>
      <c r="B70" s="44">
        <f>'Master Stock'!D70</f>
        <v/>
      </c>
      <c r="C70" s="44">
        <f>'Master Stock'!G70</f>
        <v/>
      </c>
      <c r="D70" s="53">
        <f>'Master Stock'!J70</f>
        <v/>
      </c>
      <c r="E70" s="86">
        <f>IF(D70="","",IF(ISNUMBER(D70),MAX(0,TODAY()-D70),IFERROR(MAX(0,TODAY()-DATE(2000+VALUE(RIGHT(D70,2)),VALUE(MID(D70,4,2)),VALUE(LEFT(D70,2))),"")))</f>
        <v/>
      </c>
      <c r="F70" s="82" t="n"/>
      <c r="G70" s="82" t="n"/>
      <c r="H70" s="83" t="n"/>
    </row>
    <row r="71" ht="15.75" customHeight="1" s="42">
      <c r="A71" s="44">
        <f>'Master Stock'!C71</f>
        <v/>
      </c>
      <c r="B71" s="44">
        <f>'Master Stock'!D71</f>
        <v/>
      </c>
      <c r="C71" s="44">
        <f>'Master Stock'!G71</f>
        <v/>
      </c>
      <c r="D71" s="53">
        <f>'Master Stock'!J71</f>
        <v/>
      </c>
      <c r="E71" s="86">
        <f>IF(D71="","",IF(ISNUMBER(D71),MAX(0,TODAY()-D71),IFERROR(MAX(0,TODAY()-DATE(2000+VALUE(RIGHT(D71,2)),VALUE(MID(D71,4,2)),VALUE(LEFT(D71,2))),"")))</f>
        <v/>
      </c>
      <c r="F71" s="82" t="n"/>
      <c r="G71" s="82" t="n"/>
      <c r="H71" s="83" t="n"/>
    </row>
    <row r="72" ht="15.75" customHeight="1" s="42">
      <c r="A72" s="44">
        <f>'Master Stock'!C72</f>
        <v/>
      </c>
      <c r="B72" s="44">
        <f>'Master Stock'!D72</f>
        <v/>
      </c>
      <c r="C72" s="44">
        <f>'Master Stock'!G72</f>
        <v/>
      </c>
      <c r="D72" s="53">
        <f>'Master Stock'!J72</f>
        <v/>
      </c>
      <c r="E72" s="86">
        <f>IF(D72="","",IF(ISNUMBER(D72),MAX(0,TODAY()-D72),IFERROR(MAX(0,TODAY()-DATE(2000+VALUE(RIGHT(D72,2)),VALUE(MID(D72,4,2)),VALUE(LEFT(D72,2))),"")))</f>
        <v/>
      </c>
      <c r="F72" s="82" t="n"/>
      <c r="G72" s="82" t="n"/>
      <c r="H72" s="83" t="n"/>
    </row>
    <row r="73" ht="15.75" customHeight="1" s="42">
      <c r="A73" s="44">
        <f>'Master Stock'!C73</f>
        <v/>
      </c>
      <c r="B73" s="44">
        <f>'Master Stock'!D73</f>
        <v/>
      </c>
      <c r="C73" s="44">
        <f>'Master Stock'!G73</f>
        <v/>
      </c>
      <c r="D73" s="53">
        <f>'Master Stock'!J73</f>
        <v/>
      </c>
      <c r="E73" s="86">
        <f>IF(D73="","",IF(ISNUMBER(D73),MAX(0,TODAY()-D73),IFERROR(MAX(0,TODAY()-DATE(2000+VALUE(RIGHT(D73,2)),VALUE(MID(D73,4,2)),VALUE(LEFT(D73,2))),"")))</f>
        <v/>
      </c>
      <c r="F73" s="82" t="n"/>
      <c r="G73" s="82" t="n"/>
      <c r="H73" s="83" t="n"/>
    </row>
    <row r="74" ht="15.75" customHeight="1" s="42">
      <c r="A74" s="44">
        <f>'Master Stock'!C74</f>
        <v/>
      </c>
      <c r="B74" s="44">
        <f>'Master Stock'!D74</f>
        <v/>
      </c>
      <c r="C74" s="44">
        <f>'Master Stock'!G74</f>
        <v/>
      </c>
      <c r="D74" s="53">
        <f>'Master Stock'!J74</f>
        <v/>
      </c>
      <c r="E74" s="86">
        <f>IF(D74="","",IF(ISNUMBER(D74),MAX(0,TODAY()-D74),IFERROR(MAX(0,TODAY()-DATE(2000+VALUE(RIGHT(D74,2)),VALUE(MID(D74,4,2)),VALUE(LEFT(D74,2))),"")))</f>
        <v/>
      </c>
      <c r="F74" s="82" t="n"/>
      <c r="G74" s="82" t="n"/>
      <c r="H74" s="83" t="n"/>
    </row>
    <row r="75" ht="15.75" customHeight="1" s="42">
      <c r="A75" s="44">
        <f>'Master Stock'!C75</f>
        <v/>
      </c>
      <c r="B75" s="44">
        <f>'Master Stock'!D75</f>
        <v/>
      </c>
      <c r="C75" s="44">
        <f>'Master Stock'!G75</f>
        <v/>
      </c>
      <c r="D75" s="53">
        <f>'Master Stock'!J75</f>
        <v/>
      </c>
      <c r="E75" s="86">
        <f>IF(D75="","",IF(ISNUMBER(D75),MAX(0,TODAY()-D75),IFERROR(MAX(0,TODAY()-DATE(2000+VALUE(RIGHT(D75,2)),VALUE(MID(D75,4,2)),VALUE(LEFT(D75,2))),"")))</f>
        <v/>
      </c>
      <c r="F75" s="82" t="n"/>
      <c r="G75" s="82" t="n"/>
      <c r="H75" s="83" t="n"/>
    </row>
    <row r="76" ht="15.75" customHeight="1" s="42">
      <c r="A76" s="44">
        <f>'Master Stock'!C76</f>
        <v/>
      </c>
      <c r="B76" s="44">
        <f>'Master Stock'!D76</f>
        <v/>
      </c>
      <c r="C76" s="44">
        <f>'Master Stock'!G76</f>
        <v/>
      </c>
      <c r="D76" s="53">
        <f>'Master Stock'!J76</f>
        <v/>
      </c>
      <c r="E76" s="86">
        <f>IF(D76="","",IF(ISNUMBER(D76),MAX(0,TODAY()-D76),IFERROR(MAX(0,TODAY()-DATE(2000+VALUE(RIGHT(D76,2)),VALUE(MID(D76,4,2)),VALUE(LEFT(D76,2))),"")))</f>
        <v/>
      </c>
      <c r="F76" s="82" t="n"/>
      <c r="G76" s="82" t="n"/>
      <c r="H76" s="83" t="n"/>
    </row>
    <row r="77" ht="15.75" customHeight="1" s="42">
      <c r="A77" s="44">
        <f>'Master Stock'!C77</f>
        <v/>
      </c>
      <c r="B77" s="44">
        <f>'Master Stock'!D77</f>
        <v/>
      </c>
      <c r="C77" s="44">
        <f>'Master Stock'!G77</f>
        <v/>
      </c>
      <c r="D77" s="53">
        <f>'Master Stock'!J77</f>
        <v/>
      </c>
      <c r="E77" s="86">
        <f>IF(D77="","",IF(ISNUMBER(D77),MAX(0,TODAY()-D77),IFERROR(MAX(0,TODAY()-DATE(2000+VALUE(RIGHT(D77,2)),VALUE(MID(D77,4,2)),VALUE(LEFT(D77,2))),"")))</f>
        <v/>
      </c>
      <c r="F77" s="82" t="n"/>
      <c r="G77" s="82" t="n"/>
      <c r="H77" s="83" t="n"/>
    </row>
    <row r="78" ht="15.75" customHeight="1" s="42">
      <c r="A78" s="44">
        <f>'Master Stock'!C78</f>
        <v/>
      </c>
      <c r="B78" s="44">
        <f>'Master Stock'!D78</f>
        <v/>
      </c>
      <c r="C78" s="44">
        <f>'Master Stock'!G78</f>
        <v/>
      </c>
      <c r="D78" s="53">
        <f>'Master Stock'!J78</f>
        <v/>
      </c>
      <c r="E78" s="86">
        <f>IF(D78="","",IF(ISNUMBER(D78),MAX(0,TODAY()-D78),IFERROR(MAX(0,TODAY()-DATE(2000+VALUE(RIGHT(D78,2)),VALUE(MID(D78,4,2)),VALUE(LEFT(D78,2))),"")))</f>
        <v/>
      </c>
      <c r="F78" s="82" t="n"/>
      <c r="G78" s="82" t="n"/>
      <c r="H78" s="83" t="n"/>
    </row>
    <row r="79" ht="15.75" customHeight="1" s="42">
      <c r="A79" s="44">
        <f>'Master Stock'!C79</f>
        <v/>
      </c>
      <c r="B79" s="44">
        <f>'Master Stock'!D79</f>
        <v/>
      </c>
      <c r="C79" s="44">
        <f>'Master Stock'!G79</f>
        <v/>
      </c>
      <c r="D79" s="53">
        <f>'Master Stock'!J79</f>
        <v/>
      </c>
      <c r="E79" s="86">
        <f>IF(D79="","",IF(ISNUMBER(D79),MAX(0,TODAY()-D79),IFERROR(MAX(0,TODAY()-DATE(2000+VALUE(RIGHT(D79,2)),VALUE(MID(D79,4,2)),VALUE(LEFT(D79,2))),"")))</f>
        <v/>
      </c>
      <c r="F79" s="82" t="n"/>
      <c r="G79" s="82" t="n"/>
      <c r="H79" s="83" t="n"/>
    </row>
    <row r="80" ht="15.75" customHeight="1" s="42">
      <c r="A80" s="44">
        <f>'Master Stock'!C80</f>
        <v/>
      </c>
      <c r="B80" s="44">
        <f>'Master Stock'!D80</f>
        <v/>
      </c>
      <c r="C80" s="44">
        <f>'Master Stock'!G80</f>
        <v/>
      </c>
      <c r="D80" s="53">
        <f>'Master Stock'!J80</f>
        <v/>
      </c>
      <c r="E80" s="86">
        <f>IF(D80="","",IF(ISNUMBER(D80),MAX(0,TODAY()-D80),IFERROR(MAX(0,TODAY()-DATE(2000+VALUE(RIGHT(D80,2)),VALUE(MID(D80,4,2)),VALUE(LEFT(D80,2))),"")))</f>
        <v/>
      </c>
      <c r="F80" s="82" t="n"/>
      <c r="G80" s="82" t="n"/>
      <c r="H80" s="83" t="n"/>
    </row>
    <row r="81" ht="15.75" customHeight="1" s="42">
      <c r="A81" s="44">
        <f>'Master Stock'!C81</f>
        <v/>
      </c>
      <c r="B81" s="44">
        <f>'Master Stock'!D81</f>
        <v/>
      </c>
      <c r="C81" s="44">
        <f>'Master Stock'!G81</f>
        <v/>
      </c>
      <c r="D81" s="53">
        <f>'Master Stock'!J81</f>
        <v/>
      </c>
      <c r="E81" s="86">
        <f>IF(D81="","",IF(ISNUMBER(D81),MAX(0,TODAY()-D81),IFERROR(MAX(0,TODAY()-DATE(2000+VALUE(RIGHT(D81,2)),VALUE(MID(D81,4,2)),VALUE(LEFT(D81,2))),"")))</f>
        <v/>
      </c>
      <c r="F81" s="82" t="n"/>
      <c r="G81" s="82" t="n"/>
      <c r="H81" s="83" t="n"/>
    </row>
    <row r="82" ht="15.75" customHeight="1" s="42">
      <c r="A82" s="44">
        <f>'Master Stock'!C82</f>
        <v/>
      </c>
      <c r="B82" s="44">
        <f>'Master Stock'!D82</f>
        <v/>
      </c>
      <c r="C82" s="44">
        <f>'Master Stock'!G82</f>
        <v/>
      </c>
      <c r="D82" s="53">
        <f>'Master Stock'!J82</f>
        <v/>
      </c>
      <c r="E82" s="86">
        <f>IF(D82="","",IF(ISNUMBER(D82),MAX(0,TODAY()-D82),IFERROR(MAX(0,TODAY()-DATE(2000+VALUE(RIGHT(D82,2)),VALUE(MID(D82,4,2)),VALUE(LEFT(D82,2))),"")))</f>
        <v/>
      </c>
      <c r="F82" s="82" t="n"/>
      <c r="G82" s="82" t="n"/>
      <c r="H82" s="83" t="n"/>
    </row>
    <row r="83" ht="15.75" customHeight="1" s="42">
      <c r="A83" s="44">
        <f>'Master Stock'!C83</f>
        <v/>
      </c>
      <c r="B83" s="44">
        <f>'Master Stock'!D83</f>
        <v/>
      </c>
      <c r="C83" s="44">
        <f>'Master Stock'!G83</f>
        <v/>
      </c>
      <c r="D83" s="53">
        <f>'Master Stock'!J83</f>
        <v/>
      </c>
      <c r="E83" s="86">
        <f>IF(D83="","",IF(ISNUMBER(D83),MAX(0,TODAY()-D83),IFERROR(MAX(0,TODAY()-DATE(2000+VALUE(RIGHT(D83,2)),VALUE(MID(D83,4,2)),VALUE(LEFT(D83,2))),"")))</f>
        <v/>
      </c>
      <c r="F83" s="82" t="n"/>
      <c r="G83" s="82" t="n"/>
      <c r="H83" s="83" t="n"/>
    </row>
    <row r="84" ht="15.75" customHeight="1" s="42">
      <c r="A84" s="44">
        <f>'Master Stock'!C84</f>
        <v/>
      </c>
      <c r="B84" s="44">
        <f>'Master Stock'!D84</f>
        <v/>
      </c>
      <c r="C84" s="44">
        <f>'Master Stock'!G84</f>
        <v/>
      </c>
      <c r="D84" s="53">
        <f>'Master Stock'!J84</f>
        <v/>
      </c>
      <c r="E84" s="86">
        <f>IF(D84="","",IF(ISNUMBER(D84),MAX(0,TODAY()-D84),IFERROR(MAX(0,TODAY()-DATE(2000+VALUE(RIGHT(D84,2)),VALUE(MID(D84,4,2)),VALUE(LEFT(D84,2))),"")))</f>
        <v/>
      </c>
      <c r="F84" s="82" t="n"/>
      <c r="G84" s="82" t="n"/>
      <c r="H84" s="83" t="n"/>
    </row>
    <row r="85" ht="15.75" customHeight="1" s="42">
      <c r="A85" s="44">
        <f>'Master Stock'!C85</f>
        <v/>
      </c>
      <c r="B85" s="44">
        <f>'Master Stock'!D85</f>
        <v/>
      </c>
      <c r="C85" s="44">
        <f>'Master Stock'!G85</f>
        <v/>
      </c>
      <c r="D85" s="53">
        <f>'Master Stock'!J85</f>
        <v/>
      </c>
      <c r="E85" s="86">
        <f>IF(D85="","",IF(ISNUMBER(D85),MAX(0,TODAY()-D85),IFERROR(MAX(0,TODAY()-DATE(2000+VALUE(RIGHT(D85,2)),VALUE(MID(D85,4,2)),VALUE(LEFT(D85,2))),"")))</f>
        <v/>
      </c>
      <c r="F85" s="82" t="n"/>
      <c r="G85" s="82" t="n"/>
      <c r="H85" s="83" t="n"/>
    </row>
    <row r="86" ht="15.75" customHeight="1" s="42">
      <c r="A86" s="44">
        <f>'Master Stock'!C86</f>
        <v/>
      </c>
      <c r="B86" s="44">
        <f>'Master Stock'!D86</f>
        <v/>
      </c>
      <c r="C86" s="44">
        <f>'Master Stock'!G86</f>
        <v/>
      </c>
      <c r="D86" s="53">
        <f>'Master Stock'!J86</f>
        <v/>
      </c>
      <c r="E86" s="86">
        <f>IF(D86="","",IF(ISNUMBER(D86),MAX(0,TODAY()-D86),IFERROR(MAX(0,TODAY()-DATE(2000+VALUE(RIGHT(D86,2)),VALUE(MID(D86,4,2)),VALUE(LEFT(D86,2))),"")))</f>
        <v/>
      </c>
      <c r="F86" s="82" t="n"/>
      <c r="G86" s="82" t="n"/>
      <c r="H86" s="83" t="n"/>
    </row>
    <row r="87" ht="15.75" customHeight="1" s="42">
      <c r="A87" s="44">
        <f>'Master Stock'!C87</f>
        <v/>
      </c>
      <c r="B87" s="44">
        <f>'Master Stock'!D87</f>
        <v/>
      </c>
      <c r="C87" s="44">
        <f>'Master Stock'!G87</f>
        <v/>
      </c>
      <c r="D87" s="53">
        <f>'Master Stock'!J87</f>
        <v/>
      </c>
      <c r="E87" s="86">
        <f>IF(D87="","",IF(ISNUMBER(D87),MAX(0,TODAY()-D87),IFERROR(MAX(0,TODAY()-DATE(2000+VALUE(RIGHT(D87,2)),VALUE(MID(D87,4,2)),VALUE(LEFT(D87,2))),"")))</f>
        <v/>
      </c>
      <c r="F87" s="82" t="n"/>
      <c r="G87" s="82" t="n"/>
      <c r="H87" s="83" t="n"/>
    </row>
    <row r="88" ht="15.75" customHeight="1" s="42">
      <c r="A88" s="44">
        <f>'Master Stock'!C88</f>
        <v/>
      </c>
      <c r="B88" s="44">
        <f>'Master Stock'!D88</f>
        <v/>
      </c>
      <c r="C88" s="44">
        <f>'Master Stock'!G88</f>
        <v/>
      </c>
      <c r="D88" s="53">
        <f>'Master Stock'!J88</f>
        <v/>
      </c>
      <c r="E88" s="86">
        <f>IF(D88="","",IF(ISNUMBER(D88),MAX(0,TODAY()-D88),IFERROR(MAX(0,TODAY()-DATE(2000+VALUE(RIGHT(D88,2)),VALUE(MID(D88,4,2)),VALUE(LEFT(D88,2))),"")))</f>
        <v/>
      </c>
      <c r="F88" s="82" t="n"/>
      <c r="G88" s="82" t="n"/>
      <c r="H88" s="83" t="n"/>
    </row>
    <row r="89" ht="15.75" customHeight="1" s="42">
      <c r="A89" s="44">
        <f>'Master Stock'!C89</f>
        <v/>
      </c>
      <c r="B89" s="44">
        <f>'Master Stock'!D89</f>
        <v/>
      </c>
      <c r="C89" s="44">
        <f>'Master Stock'!G89</f>
        <v/>
      </c>
      <c r="D89" s="53">
        <f>'Master Stock'!J89</f>
        <v/>
      </c>
      <c r="E89" s="86">
        <f>IF(D89="","",IF(ISNUMBER(D89),MAX(0,TODAY()-D89),IFERROR(MAX(0,TODAY()-DATE(2000+VALUE(RIGHT(D89,2)),VALUE(MID(D89,4,2)),VALUE(LEFT(D89,2))),"")))</f>
        <v/>
      </c>
      <c r="F89" s="82" t="n"/>
      <c r="G89" s="82" t="n"/>
      <c r="H89" s="83" t="n"/>
    </row>
    <row r="90" ht="15.75" customHeight="1" s="42">
      <c r="A90" s="44">
        <f>'Master Stock'!C90</f>
        <v/>
      </c>
      <c r="B90" s="44">
        <f>'Master Stock'!D90</f>
        <v/>
      </c>
      <c r="C90" s="44">
        <f>'Master Stock'!G90</f>
        <v/>
      </c>
      <c r="D90" s="53">
        <f>'Master Stock'!J90</f>
        <v/>
      </c>
      <c r="E90" s="86">
        <f>IF(D90="","",IF(ISNUMBER(D90),MAX(0,TODAY()-D90),IFERROR(MAX(0,TODAY()-DATE(2000+VALUE(RIGHT(D90,2)),VALUE(MID(D90,4,2)),VALUE(LEFT(D90,2))),"")))</f>
        <v/>
      </c>
      <c r="F90" s="82" t="n"/>
      <c r="G90" s="82" t="n"/>
      <c r="H90" s="83" t="n"/>
    </row>
    <row r="91" ht="15.75" customHeight="1" s="42">
      <c r="A91" s="44">
        <f>'Master Stock'!C91</f>
        <v/>
      </c>
      <c r="B91" s="44">
        <f>'Master Stock'!D91</f>
        <v/>
      </c>
      <c r="C91" s="44">
        <f>'Master Stock'!G91</f>
        <v/>
      </c>
      <c r="D91" s="53">
        <f>'Master Stock'!J91</f>
        <v/>
      </c>
      <c r="E91" s="86">
        <f>IF(D91="","",IF(ISNUMBER(D91),MAX(0,TODAY()-D91),IFERROR(MAX(0,TODAY()-DATE(2000+VALUE(RIGHT(D91,2)),VALUE(MID(D91,4,2)),VALUE(LEFT(D91,2))),"")))</f>
        <v/>
      </c>
      <c r="F91" s="82" t="n"/>
      <c r="G91" s="82" t="n"/>
      <c r="H91" s="83" t="n"/>
    </row>
    <row r="92" ht="15.75" customHeight="1" s="42">
      <c r="A92" s="44">
        <f>'Master Stock'!C92</f>
        <v/>
      </c>
      <c r="B92" s="44">
        <f>'Master Stock'!D92</f>
        <v/>
      </c>
      <c r="C92" s="44">
        <f>'Master Stock'!G92</f>
        <v/>
      </c>
      <c r="D92" s="53">
        <f>'Master Stock'!J92</f>
        <v/>
      </c>
      <c r="E92" s="86">
        <f>IF(D92="","",IF(ISNUMBER(D92),MAX(0,TODAY()-D92),IFERROR(MAX(0,TODAY()-DATE(2000+VALUE(RIGHT(D92,2)),VALUE(MID(D92,4,2)),VALUE(LEFT(D92,2))),"")))</f>
        <v/>
      </c>
      <c r="F92" s="82" t="n"/>
      <c r="G92" s="82" t="n"/>
      <c r="H92" s="83" t="n"/>
    </row>
    <row r="93" ht="15.75" customHeight="1" s="42">
      <c r="A93" s="44">
        <f>'Master Stock'!C93</f>
        <v/>
      </c>
      <c r="B93" s="44">
        <f>'Master Stock'!D93</f>
        <v/>
      </c>
      <c r="C93" s="44">
        <f>'Master Stock'!G93</f>
        <v/>
      </c>
      <c r="D93" s="53">
        <f>'Master Stock'!J93</f>
        <v/>
      </c>
      <c r="E93" s="86">
        <f>IF(D93="","",IF(ISNUMBER(D93),MAX(0,TODAY()-D93),IFERROR(MAX(0,TODAY()-DATE(2000+VALUE(RIGHT(D93,2)),VALUE(MID(D93,4,2)),VALUE(LEFT(D93,2))),"")))</f>
        <v/>
      </c>
      <c r="F93" s="82" t="n"/>
      <c r="G93" s="82" t="n"/>
      <c r="H93" s="83" t="n"/>
    </row>
    <row r="94" ht="15.75" customHeight="1" s="42">
      <c r="A94" s="44">
        <f>'Master Stock'!C94</f>
        <v/>
      </c>
      <c r="B94" s="44">
        <f>'Master Stock'!D94</f>
        <v/>
      </c>
      <c r="C94" s="44">
        <f>'Master Stock'!G94</f>
        <v/>
      </c>
      <c r="D94" s="53">
        <f>'Master Stock'!J94</f>
        <v/>
      </c>
      <c r="E94" s="86">
        <f>IF(D94="","",IF(ISNUMBER(D94),MAX(0,TODAY()-D94),IFERROR(MAX(0,TODAY()-DATE(2000+VALUE(RIGHT(D94,2)),VALUE(MID(D94,4,2)),VALUE(LEFT(D94,2))),"")))</f>
        <v/>
      </c>
      <c r="F94" s="82" t="n"/>
      <c r="G94" s="82" t="n"/>
      <c r="H94" s="83" t="n"/>
    </row>
    <row r="95" ht="15.75" customHeight="1" s="42">
      <c r="A95" s="44">
        <f>'Master Stock'!C95</f>
        <v/>
      </c>
      <c r="B95" s="44">
        <f>'Master Stock'!D95</f>
        <v/>
      </c>
      <c r="C95" s="44">
        <f>'Master Stock'!G95</f>
        <v/>
      </c>
      <c r="D95" s="53">
        <f>'Master Stock'!J95</f>
        <v/>
      </c>
      <c r="E95" s="86">
        <f>IF(D95="","",IF(ISNUMBER(D95),MAX(0,TODAY()-D95),IFERROR(MAX(0,TODAY()-DATE(2000+VALUE(RIGHT(D95,2)),VALUE(MID(D95,4,2)),VALUE(LEFT(D95,2))),"")))</f>
        <v/>
      </c>
      <c r="F95" s="82" t="n"/>
      <c r="G95" s="82" t="n"/>
      <c r="H95" s="83" t="n"/>
    </row>
    <row r="96" ht="15.75" customHeight="1" s="42">
      <c r="A96" s="44">
        <f>'Master Stock'!C96</f>
        <v/>
      </c>
      <c r="B96" s="44">
        <f>'Master Stock'!D96</f>
        <v/>
      </c>
      <c r="C96" s="44">
        <f>'Master Stock'!G96</f>
        <v/>
      </c>
      <c r="D96" s="53">
        <f>'Master Stock'!J96</f>
        <v/>
      </c>
      <c r="E96" s="86">
        <f>IF(D96="","",IF(ISNUMBER(D96),MAX(0,TODAY()-D96),IFERROR(MAX(0,TODAY()-DATE(2000+VALUE(RIGHT(D96,2)),VALUE(MID(D96,4,2)),VALUE(LEFT(D96,2))),"")))</f>
        <v/>
      </c>
      <c r="F96" s="82" t="n"/>
      <c r="G96" s="82" t="n"/>
      <c r="H96" s="83" t="n"/>
    </row>
    <row r="97" ht="15.75" customHeight="1" s="42">
      <c r="A97" s="44">
        <f>'Master Stock'!C97</f>
        <v/>
      </c>
      <c r="B97" s="44">
        <f>'Master Stock'!D97</f>
        <v/>
      </c>
      <c r="C97" s="44">
        <f>'Master Stock'!G97</f>
        <v/>
      </c>
      <c r="D97" s="53">
        <f>'Master Stock'!J97</f>
        <v/>
      </c>
      <c r="E97" s="86">
        <f>IF(D97="","",IF(ISNUMBER(D97),MAX(0,TODAY()-D97),IFERROR(MAX(0,TODAY()-DATE(2000+VALUE(RIGHT(D97,2)),VALUE(MID(D97,4,2)),VALUE(LEFT(D97,2))),"")))</f>
        <v/>
      </c>
      <c r="F97" s="82" t="n"/>
      <c r="G97" s="82" t="n"/>
      <c r="H97" s="83" t="n"/>
    </row>
    <row r="98" ht="15.75" customHeight="1" s="42">
      <c r="A98" s="44">
        <f>'Master Stock'!C98</f>
        <v/>
      </c>
      <c r="B98" s="44">
        <f>'Master Stock'!D98</f>
        <v/>
      </c>
      <c r="C98" s="44">
        <f>'Master Stock'!G98</f>
        <v/>
      </c>
      <c r="D98" s="53">
        <f>'Master Stock'!J98</f>
        <v/>
      </c>
      <c r="E98" s="86">
        <f>IF(D98="","",IF(ISNUMBER(D98),MAX(0,TODAY()-D98),IFERROR(MAX(0,TODAY()-DATE(2000+VALUE(RIGHT(D98,2)),VALUE(MID(D98,4,2)),VALUE(LEFT(D98,2))),"")))</f>
        <v/>
      </c>
      <c r="F98" s="82" t="n"/>
      <c r="G98" s="82" t="n"/>
      <c r="H98" s="83" t="n"/>
    </row>
    <row r="99" ht="15.75" customHeight="1" s="42">
      <c r="A99" s="44">
        <f>'Master Stock'!C99</f>
        <v/>
      </c>
      <c r="B99" s="44">
        <f>'Master Stock'!D99</f>
        <v/>
      </c>
      <c r="C99" s="44">
        <f>'Master Stock'!G99</f>
        <v/>
      </c>
      <c r="D99" s="53">
        <f>'Master Stock'!J99</f>
        <v/>
      </c>
      <c r="E99" s="86">
        <f>IF(D99="","",IF(ISNUMBER(D99),MAX(0,TODAY()-D99),IFERROR(MAX(0,TODAY()-DATE(2000+VALUE(RIGHT(D99,2)),VALUE(MID(D99,4,2)),VALUE(LEFT(D99,2))),"")))</f>
        <v/>
      </c>
      <c r="F99" s="82" t="n"/>
      <c r="G99" s="82" t="n"/>
      <c r="H99" s="83" t="n"/>
    </row>
    <row r="100" ht="15.75" customHeight="1" s="42">
      <c r="A100" s="44">
        <f>'Master Stock'!C100</f>
        <v/>
      </c>
      <c r="B100" s="44">
        <f>'Master Stock'!D100</f>
        <v/>
      </c>
      <c r="C100" s="44">
        <f>'Master Stock'!G100</f>
        <v/>
      </c>
      <c r="D100" s="53">
        <f>'Master Stock'!J100</f>
        <v/>
      </c>
      <c r="E100" s="86">
        <f>IF(D100="","",IF(ISNUMBER(D100),MAX(0,TODAY()-D100),IFERROR(MAX(0,TODAY()-DATE(2000+VALUE(RIGHT(D100,2)),VALUE(MID(D100,4,2)),VALUE(LEFT(D100,2))),"")))</f>
        <v/>
      </c>
      <c r="F100" s="82" t="n"/>
      <c r="G100" s="82" t="n"/>
      <c r="H100" s="83" t="n"/>
    </row>
    <row r="101" ht="15.75" customHeight="1" s="42"/>
    <row r="102" ht="15.75" customHeight="1" s="42"/>
    <row r="103" ht="15.75" customHeight="1" s="42"/>
    <row r="104" ht="15.75" customHeight="1" s="42"/>
    <row r="105" ht="15.75" customHeight="1" s="42"/>
    <row r="106" ht="15.75" customHeight="1" s="42"/>
    <row r="107" ht="15.75" customHeight="1" s="42"/>
    <row r="108" ht="15.75" customHeight="1" s="42"/>
    <row r="109" ht="15.75" customHeight="1" s="42"/>
    <row r="110" ht="15.75" customHeight="1" s="42"/>
    <row r="111" ht="15.75" customHeight="1" s="42"/>
    <row r="112" ht="15.75" customHeight="1" s="42"/>
    <row r="113" ht="15.75" customHeight="1" s="42"/>
    <row r="114" ht="15.75" customHeight="1" s="42"/>
    <row r="115" ht="15.75" customHeight="1" s="42"/>
    <row r="116" ht="15.75" customHeight="1" s="42"/>
    <row r="117" ht="15.75" customHeight="1" s="42"/>
    <row r="118" ht="15.75" customHeight="1" s="42"/>
    <row r="119" ht="15.75" customHeight="1" s="42"/>
    <row r="120" ht="15.75" customHeight="1" s="42"/>
    <row r="121" ht="15.75" customHeight="1" s="42"/>
    <row r="122" ht="15.75" customHeight="1" s="42"/>
    <row r="123" ht="15.75" customHeight="1" s="42"/>
    <row r="124" ht="15.75" customHeight="1" s="42"/>
    <row r="125" ht="15.75" customHeight="1" s="42"/>
    <row r="126" ht="15.75" customHeight="1" s="42"/>
    <row r="127" ht="15.75" customHeight="1" s="42"/>
    <row r="128" ht="15.75" customHeight="1" s="42"/>
    <row r="129" ht="15.75" customHeight="1" s="42"/>
    <row r="130" ht="15.75" customHeight="1" s="42"/>
    <row r="131" ht="15.75" customHeight="1" s="42"/>
    <row r="132" ht="15.75" customHeight="1" s="42"/>
    <row r="133" ht="15.75" customHeight="1" s="42"/>
    <row r="134" ht="15.75" customHeight="1" s="42"/>
    <row r="135" ht="15.75" customHeight="1" s="42"/>
    <row r="136" ht="15.75" customHeight="1" s="42"/>
    <row r="137" ht="15.75" customHeight="1" s="42"/>
    <row r="138" ht="15.75" customHeight="1" s="42"/>
    <row r="139" ht="15.75" customHeight="1" s="42"/>
    <row r="140" ht="15.75" customHeight="1" s="42"/>
    <row r="141" ht="15.75" customHeight="1" s="42"/>
    <row r="142" ht="15.75" customHeight="1" s="42"/>
    <row r="143" ht="15.75" customHeight="1" s="42"/>
    <row r="144" ht="15.75" customHeight="1" s="42"/>
    <row r="145" ht="15.75" customHeight="1" s="42"/>
    <row r="146" ht="15.75" customHeight="1" s="42"/>
    <row r="147" ht="15.75" customHeight="1" s="42"/>
    <row r="148" ht="15.75" customHeight="1" s="42"/>
    <row r="149" ht="15.75" customHeight="1" s="42"/>
    <row r="150" ht="15.75" customHeight="1" s="42"/>
    <row r="151" ht="15.75" customHeight="1" s="42"/>
    <row r="152" ht="15.75" customHeight="1" s="42"/>
    <row r="153" ht="15.75" customHeight="1" s="42"/>
    <row r="154" ht="15.75" customHeight="1" s="42"/>
    <row r="155" ht="15.75" customHeight="1" s="42"/>
    <row r="156" ht="15.75" customHeight="1" s="42"/>
    <row r="157" ht="15.75" customHeight="1" s="42"/>
    <row r="158" ht="15.75" customHeight="1" s="42"/>
    <row r="159" ht="15.75" customHeight="1" s="42"/>
    <row r="160" ht="15.75" customHeight="1" s="42"/>
    <row r="161" ht="15.75" customHeight="1" s="42"/>
    <row r="162" ht="15.75" customHeight="1" s="42"/>
    <row r="163" ht="15.75" customHeight="1" s="42"/>
    <row r="164" ht="15.75" customHeight="1" s="42"/>
    <row r="165" ht="15.75" customHeight="1" s="42"/>
    <row r="166" ht="15.75" customHeight="1" s="42"/>
    <row r="167" ht="15.75" customHeight="1" s="42"/>
    <row r="168" ht="15.75" customHeight="1" s="42"/>
    <row r="169" ht="15.75" customHeight="1" s="42"/>
    <row r="170" ht="15.75" customHeight="1" s="42"/>
    <row r="171" ht="15.75" customHeight="1" s="42"/>
    <row r="172" ht="15.75" customHeight="1" s="42"/>
    <row r="173" ht="15.75" customHeight="1" s="42"/>
    <row r="174" ht="15.75" customHeight="1" s="42"/>
    <row r="175" ht="15.75" customHeight="1" s="42"/>
    <row r="176" ht="15.75" customHeight="1" s="42"/>
    <row r="177" ht="15.75" customHeight="1" s="42"/>
    <row r="178" ht="15.75" customHeight="1" s="42"/>
    <row r="179" ht="15.75" customHeight="1" s="42"/>
    <row r="180" ht="15.75" customHeight="1" s="42"/>
    <row r="181" ht="15.75" customHeight="1" s="42"/>
    <row r="182" ht="15.75" customHeight="1" s="42"/>
    <row r="183" ht="15.75" customHeight="1" s="42"/>
    <row r="184" ht="15.75" customHeight="1" s="42"/>
    <row r="185" ht="15.75" customHeight="1" s="42"/>
    <row r="186" ht="15.75" customHeight="1" s="42"/>
    <row r="187" ht="15.75" customHeight="1" s="42"/>
    <row r="188" ht="15.75" customHeight="1" s="42"/>
    <row r="189" ht="15.75" customHeight="1" s="42"/>
    <row r="190" ht="15.75" customHeight="1" s="42"/>
    <row r="191" ht="15.75" customHeight="1" s="42"/>
    <row r="192" ht="15.75" customHeight="1" s="42"/>
    <row r="193" ht="15.75" customHeight="1" s="42"/>
    <row r="194" ht="15.75" customHeight="1" s="42"/>
    <row r="195" ht="15.75" customHeight="1" s="42"/>
    <row r="196" ht="15.75" customHeight="1" s="42"/>
    <row r="197" ht="15.75" customHeight="1" s="42"/>
    <row r="198" ht="15.75" customHeight="1" s="42"/>
    <row r="199" ht="15.75" customHeight="1" s="42"/>
    <row r="200" ht="15.75" customHeight="1" s="42"/>
    <row r="201" ht="15.75" customHeight="1" s="42"/>
    <row r="202" ht="15.75" customHeight="1" s="42"/>
    <row r="203" ht="15.75" customHeight="1" s="42"/>
    <row r="204" ht="15.75" customHeight="1" s="42"/>
    <row r="205" ht="15.75" customHeight="1" s="42"/>
    <row r="206" ht="15.75" customHeight="1" s="42"/>
    <row r="207" ht="15.75" customHeight="1" s="42"/>
    <row r="208" ht="15.75" customHeight="1" s="42"/>
    <row r="209" ht="15.75" customHeight="1" s="42"/>
    <row r="210" ht="15.75" customHeight="1" s="42"/>
    <row r="211" ht="15.75" customHeight="1" s="42"/>
    <row r="212" ht="15.75" customHeight="1" s="42"/>
    <row r="213" ht="15.75" customHeight="1" s="42"/>
    <row r="214" ht="15.75" customHeight="1" s="42"/>
    <row r="215" ht="15.75" customHeight="1" s="42"/>
    <row r="216" ht="15.75" customHeight="1" s="42"/>
    <row r="217" ht="15.75" customHeight="1" s="42"/>
    <row r="218" ht="15.75" customHeight="1" s="42"/>
    <row r="219" ht="15.75" customHeight="1" s="42"/>
    <row r="220" ht="15.75" customHeight="1" s="42"/>
    <row r="221" ht="15.75" customHeight="1" s="42"/>
    <row r="222" ht="15.75" customHeight="1" s="42"/>
    <row r="223" ht="15.75" customHeight="1" s="42"/>
    <row r="224" ht="15.75" customHeight="1" s="42"/>
    <row r="225" ht="15.75" customHeight="1" s="42"/>
    <row r="226" ht="15.75" customHeight="1" s="42"/>
    <row r="227" ht="15.75" customHeight="1" s="42"/>
    <row r="228" ht="15.75" customHeight="1" s="42"/>
    <row r="229" ht="15.75" customHeight="1" s="42"/>
    <row r="230" ht="15.75" customHeight="1" s="42"/>
    <row r="231" ht="15.75" customHeight="1" s="42"/>
    <row r="232" ht="15.75" customHeight="1" s="42"/>
    <row r="233" ht="15.75" customHeight="1" s="42"/>
    <row r="234" ht="15.75" customHeight="1" s="42"/>
    <row r="235" ht="15.75" customHeight="1" s="42"/>
    <row r="236" ht="15.75" customHeight="1" s="42"/>
    <row r="237" ht="15.75" customHeight="1" s="42"/>
    <row r="238" ht="15.75" customHeight="1" s="42"/>
    <row r="239" ht="15.75" customHeight="1" s="42"/>
    <row r="240" ht="15.75" customHeight="1" s="42"/>
    <row r="241" ht="15.75" customHeight="1" s="42"/>
    <row r="242" ht="15.75" customHeight="1" s="42"/>
    <row r="243" ht="15.75" customHeight="1" s="42"/>
    <row r="244" ht="15.75" customHeight="1" s="42"/>
    <row r="245" ht="15.75" customHeight="1" s="42"/>
    <row r="246" ht="15.75" customHeight="1" s="42"/>
    <row r="247" ht="15.75" customHeight="1" s="42"/>
    <row r="248" ht="15.75" customHeight="1" s="42"/>
    <row r="249" ht="15.75" customHeight="1" s="42"/>
    <row r="250" ht="15.75" customHeight="1" s="42"/>
    <row r="251" ht="15.75" customHeight="1" s="42"/>
    <row r="252" ht="15.75" customHeight="1" s="42"/>
    <row r="253" ht="15.75" customHeight="1" s="42"/>
    <row r="254" ht="15.75" customHeight="1" s="42"/>
    <row r="255" ht="15.75" customHeight="1" s="42"/>
    <row r="256" ht="15.75" customHeight="1" s="42"/>
    <row r="257" ht="15.75" customHeight="1" s="42"/>
    <row r="258" ht="15.75" customHeight="1" s="42"/>
    <row r="259" ht="15.75" customHeight="1" s="42"/>
    <row r="260" ht="15.75" customHeight="1" s="42"/>
    <row r="261" ht="15.75" customHeight="1" s="42"/>
    <row r="262" ht="15.75" customHeight="1" s="42"/>
    <row r="263" ht="15.75" customHeight="1" s="42"/>
    <row r="264" ht="15.75" customHeight="1" s="42"/>
    <row r="265" ht="15.75" customHeight="1" s="42"/>
    <row r="266" ht="15.75" customHeight="1" s="42"/>
    <row r="267" ht="15.75" customHeight="1" s="42"/>
    <row r="268" ht="15.75" customHeight="1" s="42"/>
    <row r="269" ht="15.75" customHeight="1" s="42"/>
    <row r="270" ht="15.75" customHeight="1" s="42"/>
    <row r="271" ht="15.75" customHeight="1" s="42"/>
    <row r="272" ht="15.75" customHeight="1" s="42"/>
    <row r="273" ht="15.75" customHeight="1" s="42"/>
    <row r="274" ht="15.75" customHeight="1" s="42"/>
    <row r="275" ht="15.75" customHeight="1" s="42"/>
    <row r="276" ht="15.75" customHeight="1" s="42"/>
    <row r="277" ht="15.75" customHeight="1" s="42"/>
    <row r="278" ht="15.75" customHeight="1" s="42"/>
    <row r="279" ht="15.75" customHeight="1" s="42"/>
    <row r="280" ht="15.75" customHeight="1" s="42"/>
    <row r="281" ht="15.75" customHeight="1" s="42"/>
    <row r="282" ht="15.75" customHeight="1" s="42"/>
    <row r="283" ht="15.75" customHeight="1" s="42"/>
    <row r="284" ht="15.75" customHeight="1" s="42"/>
    <row r="285" ht="15.75" customHeight="1" s="42"/>
    <row r="286" ht="15.75" customHeight="1" s="42"/>
    <row r="287" ht="15.75" customHeight="1" s="42"/>
    <row r="288" ht="15.75" customHeight="1" s="42"/>
    <row r="289" ht="15.75" customHeight="1" s="42"/>
    <row r="290" ht="15.75" customHeight="1" s="42"/>
    <row r="291" ht="15.75" customHeight="1" s="42"/>
    <row r="292" ht="15.75" customHeight="1" s="42"/>
    <row r="293" ht="15.75" customHeight="1" s="42"/>
    <row r="294" ht="15.75" customHeight="1" s="42"/>
    <row r="295" ht="15.75" customHeight="1" s="42"/>
    <row r="296" ht="15.75" customHeight="1" s="42"/>
    <row r="297" ht="15.75" customHeight="1" s="42"/>
    <row r="298" ht="15.75" customHeight="1" s="42"/>
    <row r="299" ht="15.75" customHeight="1" s="42"/>
    <row r="300" ht="15.75" customHeight="1" s="42"/>
    <row r="301" ht="15.75" customHeight="1" s="42"/>
    <row r="302" ht="15.75" customHeight="1" s="42"/>
    <row r="303" ht="15.75" customHeight="1" s="42"/>
    <row r="304" ht="15.75" customHeight="1" s="42"/>
    <row r="305" ht="15.75" customHeight="1" s="42"/>
    <row r="306" ht="15.75" customHeight="1" s="42"/>
    <row r="307" ht="15.75" customHeight="1" s="42"/>
    <row r="308" ht="15.75" customHeight="1" s="42"/>
    <row r="309" ht="15.75" customHeight="1" s="42"/>
    <row r="310" ht="15.75" customHeight="1" s="42"/>
    <row r="311" ht="15.75" customHeight="1" s="42"/>
    <row r="312" ht="15.75" customHeight="1" s="42"/>
    <row r="313" ht="15.75" customHeight="1" s="42"/>
    <row r="314" ht="15.75" customHeight="1" s="42"/>
    <row r="315" ht="15.75" customHeight="1" s="42"/>
    <row r="316" ht="15.75" customHeight="1" s="42"/>
    <row r="317" ht="15.75" customHeight="1" s="42"/>
    <row r="318" ht="15.75" customHeight="1" s="42"/>
    <row r="319" ht="15.75" customHeight="1" s="42"/>
    <row r="320" ht="15.75" customHeight="1" s="42"/>
    <row r="321" ht="15.75" customHeight="1" s="42"/>
    <row r="322" ht="15.75" customHeight="1" s="42"/>
    <row r="323" ht="15.75" customHeight="1" s="42"/>
    <row r="324" ht="15.75" customHeight="1" s="42"/>
    <row r="325" ht="15.75" customHeight="1" s="42"/>
    <row r="326" ht="15.75" customHeight="1" s="42"/>
    <row r="327" ht="15.75" customHeight="1" s="42"/>
    <row r="328" ht="15.75" customHeight="1" s="42"/>
    <row r="329" ht="15.75" customHeight="1" s="42"/>
    <row r="330" ht="15.75" customHeight="1" s="42"/>
    <row r="331" ht="15.75" customHeight="1" s="42"/>
    <row r="332" ht="15.75" customHeight="1" s="42"/>
    <row r="333" ht="15.75" customHeight="1" s="42"/>
    <row r="334" ht="15.75" customHeight="1" s="42"/>
    <row r="335" ht="15.75" customHeight="1" s="42"/>
    <row r="336" ht="15.75" customHeight="1" s="42"/>
    <row r="337" ht="15.75" customHeight="1" s="42"/>
    <row r="338" ht="15.75" customHeight="1" s="42"/>
    <row r="339" ht="15.75" customHeight="1" s="42"/>
    <row r="340" ht="15.75" customHeight="1" s="42"/>
    <row r="341" ht="15.75" customHeight="1" s="42"/>
    <row r="342" ht="15.75" customHeight="1" s="42"/>
    <row r="343" ht="15.75" customHeight="1" s="42"/>
    <row r="344" ht="15.75" customHeight="1" s="42"/>
    <row r="345" ht="15.75" customHeight="1" s="42"/>
    <row r="346" ht="15.75" customHeight="1" s="42"/>
    <row r="347" ht="15.75" customHeight="1" s="42"/>
    <row r="348" ht="15.75" customHeight="1" s="42"/>
    <row r="349" ht="15.75" customHeight="1" s="42"/>
    <row r="350" ht="15.75" customHeight="1" s="42"/>
    <row r="351" ht="15.75" customHeight="1" s="42"/>
    <row r="352" ht="15.75" customHeight="1" s="42"/>
    <row r="353" ht="15.75" customHeight="1" s="42"/>
    <row r="354" ht="15.75" customHeight="1" s="42"/>
    <row r="355" ht="15.75" customHeight="1" s="42"/>
    <row r="356" ht="15.75" customHeight="1" s="42"/>
    <row r="357" ht="15.75" customHeight="1" s="42"/>
    <row r="358" ht="15.75" customHeight="1" s="42"/>
    <row r="359" ht="15.75" customHeight="1" s="42"/>
    <row r="360" ht="15.75" customHeight="1" s="42"/>
    <row r="361" ht="15.75" customHeight="1" s="42"/>
    <row r="362" ht="15.75" customHeight="1" s="42"/>
    <row r="363" ht="15.75" customHeight="1" s="42"/>
    <row r="364" ht="15.75" customHeight="1" s="42"/>
    <row r="365" ht="15.75" customHeight="1" s="42"/>
    <row r="366" ht="15.75" customHeight="1" s="42"/>
    <row r="367" ht="15.75" customHeight="1" s="42"/>
    <row r="368" ht="15.75" customHeight="1" s="42"/>
    <row r="369" ht="15.75" customHeight="1" s="42"/>
    <row r="370" ht="15.75" customHeight="1" s="42"/>
    <row r="371" ht="15.75" customHeight="1" s="42"/>
    <row r="372" ht="15.75" customHeight="1" s="42"/>
    <row r="373" ht="15.75" customHeight="1" s="42"/>
    <row r="374" ht="15.75" customHeight="1" s="42"/>
    <row r="375" ht="15.75" customHeight="1" s="42"/>
    <row r="376" ht="15.75" customHeight="1" s="42"/>
    <row r="377" ht="15.75" customHeight="1" s="42"/>
    <row r="378" ht="15.75" customHeight="1" s="42"/>
    <row r="379" ht="15.75" customHeight="1" s="42"/>
    <row r="380" ht="15.75" customHeight="1" s="42"/>
    <row r="381" ht="15.75" customHeight="1" s="42"/>
    <row r="382" ht="15.75" customHeight="1" s="42"/>
    <row r="383" ht="15.75" customHeight="1" s="42"/>
    <row r="384" ht="15.75" customHeight="1" s="42"/>
    <row r="385" ht="15.75" customHeight="1" s="42"/>
    <row r="386" ht="15.75" customHeight="1" s="42"/>
    <row r="387" ht="15.75" customHeight="1" s="42"/>
    <row r="388" ht="15.75" customHeight="1" s="42"/>
    <row r="389" ht="15.75" customHeight="1" s="42"/>
    <row r="390" ht="15.75" customHeight="1" s="42"/>
    <row r="391" ht="15.75" customHeight="1" s="42"/>
    <row r="392" ht="15.75" customHeight="1" s="42"/>
    <row r="393" ht="15.75" customHeight="1" s="42"/>
    <row r="394" ht="15.75" customHeight="1" s="42"/>
    <row r="395" ht="15.75" customHeight="1" s="42"/>
    <row r="396" ht="15.75" customHeight="1" s="42"/>
    <row r="397" ht="15.75" customHeight="1" s="42"/>
    <row r="398" ht="15.75" customHeight="1" s="42"/>
    <row r="399" ht="15.75" customHeight="1" s="42"/>
    <row r="400" ht="15.75" customHeight="1" s="42"/>
    <row r="401" ht="15.75" customHeight="1" s="42"/>
    <row r="402" ht="15.75" customHeight="1" s="42"/>
    <row r="403" ht="15.75" customHeight="1" s="42"/>
    <row r="404" ht="15.75" customHeight="1" s="42"/>
    <row r="405" ht="15.75" customHeight="1" s="42"/>
    <row r="406" ht="15.75" customHeight="1" s="42"/>
    <row r="407" ht="15.75" customHeight="1" s="42"/>
    <row r="408" ht="15.75" customHeight="1" s="42"/>
    <row r="409" ht="15.75" customHeight="1" s="42"/>
    <row r="410" ht="15.75" customHeight="1" s="42"/>
    <row r="411" ht="15.75" customHeight="1" s="42"/>
    <row r="412" ht="15.75" customHeight="1" s="42"/>
    <row r="413" ht="15.75" customHeight="1" s="42"/>
    <row r="414" ht="15.75" customHeight="1" s="42"/>
    <row r="415" ht="15.75" customHeight="1" s="42"/>
    <row r="416" ht="15.75" customHeight="1" s="42"/>
    <row r="417" ht="15.75" customHeight="1" s="42"/>
    <row r="418" ht="15.75" customHeight="1" s="42"/>
    <row r="419" ht="15.75" customHeight="1" s="42"/>
    <row r="420" ht="15.75" customHeight="1" s="42"/>
    <row r="421" ht="15.75" customHeight="1" s="42"/>
    <row r="422" ht="15.75" customHeight="1" s="42"/>
    <row r="423" ht="15.75" customHeight="1" s="42"/>
    <row r="424" ht="15.75" customHeight="1" s="42"/>
    <row r="425" ht="15.75" customHeight="1" s="42"/>
    <row r="426" ht="15.75" customHeight="1" s="42"/>
    <row r="427" ht="15.75" customHeight="1" s="42"/>
    <row r="428" ht="15.75" customHeight="1" s="42"/>
    <row r="429" ht="15.75" customHeight="1" s="42"/>
    <row r="430" ht="15.75" customHeight="1" s="42"/>
    <row r="431" ht="15.75" customHeight="1" s="42"/>
    <row r="432" ht="15.75" customHeight="1" s="42"/>
    <row r="433" ht="15.75" customHeight="1" s="42"/>
    <row r="434" ht="15.75" customHeight="1" s="42"/>
    <row r="435" ht="15.75" customHeight="1" s="42"/>
    <row r="436" ht="15.75" customHeight="1" s="42"/>
    <row r="437" ht="15.75" customHeight="1" s="42"/>
    <row r="438" ht="15.75" customHeight="1" s="42"/>
    <row r="439" ht="15.75" customHeight="1" s="42"/>
    <row r="440" ht="15.75" customHeight="1" s="42"/>
    <row r="441" ht="15.75" customHeight="1" s="42"/>
    <row r="442" ht="15.75" customHeight="1" s="42"/>
    <row r="443" ht="15.75" customHeight="1" s="42"/>
    <row r="444" ht="15.75" customHeight="1" s="42"/>
    <row r="445" ht="15.75" customHeight="1" s="42"/>
    <row r="446" ht="15.75" customHeight="1" s="42"/>
    <row r="447" ht="15.75" customHeight="1" s="42"/>
    <row r="448" ht="15.75" customHeight="1" s="42"/>
    <row r="449" ht="15.75" customHeight="1" s="42"/>
    <row r="450" ht="15.75" customHeight="1" s="42"/>
    <row r="451" ht="15.75" customHeight="1" s="42"/>
    <row r="452" ht="15.75" customHeight="1" s="42"/>
    <row r="453" ht="15.75" customHeight="1" s="42"/>
    <row r="454" ht="15.75" customHeight="1" s="42"/>
    <row r="455" ht="15.75" customHeight="1" s="42"/>
    <row r="456" ht="15.75" customHeight="1" s="42"/>
    <row r="457" ht="15.75" customHeight="1" s="42"/>
    <row r="458" ht="15.75" customHeight="1" s="42"/>
    <row r="459" ht="15.75" customHeight="1" s="42"/>
    <row r="460" ht="15.75" customHeight="1" s="42"/>
    <row r="461" ht="15.75" customHeight="1" s="42"/>
    <row r="462" ht="15.75" customHeight="1" s="42"/>
    <row r="463" ht="15.75" customHeight="1" s="42"/>
    <row r="464" ht="15.75" customHeight="1" s="42"/>
    <row r="465" ht="15.75" customHeight="1" s="42"/>
    <row r="466" ht="15.75" customHeight="1" s="42"/>
    <row r="467" ht="15.75" customHeight="1" s="42"/>
    <row r="468" ht="15.75" customHeight="1" s="42"/>
    <row r="469" ht="15.75" customHeight="1" s="42"/>
    <row r="470" ht="15.75" customHeight="1" s="42"/>
    <row r="471" ht="15.75" customHeight="1" s="42"/>
    <row r="472" ht="15.75" customHeight="1" s="42"/>
    <row r="473" ht="15.75" customHeight="1" s="42"/>
    <row r="474" ht="15.75" customHeight="1" s="42"/>
    <row r="475" ht="15.75" customHeight="1" s="42"/>
    <row r="476" ht="15.75" customHeight="1" s="42"/>
    <row r="477" ht="15.75" customHeight="1" s="42"/>
    <row r="478" ht="15.75" customHeight="1" s="42"/>
    <row r="479" ht="15.75" customHeight="1" s="42"/>
    <row r="480" ht="15.75" customHeight="1" s="42"/>
    <row r="481" ht="15.75" customHeight="1" s="42"/>
    <row r="482" ht="15.75" customHeight="1" s="42"/>
    <row r="483" ht="15.75" customHeight="1" s="42"/>
    <row r="484" ht="15.75" customHeight="1" s="42"/>
    <row r="485" ht="15.75" customHeight="1" s="42"/>
    <row r="486" ht="15.75" customHeight="1" s="42"/>
    <row r="487" ht="15.75" customHeight="1" s="42"/>
    <row r="488" ht="15.75" customHeight="1" s="42"/>
    <row r="489" ht="15.75" customHeight="1" s="42"/>
    <row r="490" ht="15.75" customHeight="1" s="42"/>
    <row r="491" ht="15.75" customHeight="1" s="42"/>
    <row r="492" ht="15.75" customHeight="1" s="42"/>
    <row r="493" ht="15.75" customHeight="1" s="42"/>
    <row r="494" ht="15.75" customHeight="1" s="42"/>
    <row r="495" ht="15.75" customHeight="1" s="42"/>
    <row r="496" ht="15.75" customHeight="1" s="42"/>
    <row r="497" ht="15.75" customHeight="1" s="42"/>
    <row r="498" ht="15.75" customHeight="1" s="42"/>
    <row r="499" ht="15.75" customHeight="1" s="42"/>
    <row r="500" ht="15.75" customHeight="1" s="42"/>
    <row r="501" ht="15.75" customHeight="1" s="42"/>
    <row r="502" ht="15.75" customHeight="1" s="42"/>
    <row r="503" ht="15.75" customHeight="1" s="42"/>
    <row r="504" ht="15.75" customHeight="1" s="42"/>
    <row r="505" ht="15.75" customHeight="1" s="42"/>
    <row r="506" ht="15.75" customHeight="1" s="42"/>
    <row r="507" ht="15.75" customHeight="1" s="42"/>
    <row r="508" ht="15.75" customHeight="1" s="42"/>
    <row r="509" ht="15.75" customHeight="1" s="42"/>
    <row r="510" ht="15.75" customHeight="1" s="42"/>
    <row r="511" ht="15.75" customHeight="1" s="42"/>
    <row r="512" ht="15.75" customHeight="1" s="42"/>
    <row r="513" ht="15.75" customHeight="1" s="42"/>
    <row r="514" ht="15.75" customHeight="1" s="42"/>
    <row r="515" ht="15.75" customHeight="1" s="42"/>
    <row r="516" ht="15.75" customHeight="1" s="42"/>
    <row r="517" ht="15.75" customHeight="1" s="42"/>
    <row r="518" ht="15.75" customHeight="1" s="42"/>
    <row r="519" ht="15.75" customHeight="1" s="42"/>
    <row r="520" ht="15.75" customHeight="1" s="42"/>
    <row r="521" ht="15.75" customHeight="1" s="42"/>
    <row r="522" ht="15.75" customHeight="1" s="42"/>
    <row r="523" ht="15.75" customHeight="1" s="42"/>
    <row r="524" ht="15.75" customHeight="1" s="42"/>
    <row r="525" ht="15.75" customHeight="1" s="42"/>
    <row r="526" ht="15.75" customHeight="1" s="42"/>
    <row r="527" ht="15.75" customHeight="1" s="42"/>
    <row r="528" ht="15.75" customHeight="1" s="42"/>
    <row r="529" ht="15.75" customHeight="1" s="42"/>
    <row r="530" ht="15.75" customHeight="1" s="42"/>
    <row r="531" ht="15.75" customHeight="1" s="42"/>
    <row r="532" ht="15.75" customHeight="1" s="42"/>
    <row r="533" ht="15.75" customHeight="1" s="42"/>
    <row r="534" ht="15.75" customHeight="1" s="42"/>
    <row r="535" ht="15.75" customHeight="1" s="42"/>
    <row r="536" ht="15.75" customHeight="1" s="42"/>
    <row r="537" ht="15.75" customHeight="1" s="42"/>
    <row r="538" ht="15.75" customHeight="1" s="42"/>
    <row r="539" ht="15.75" customHeight="1" s="42"/>
    <row r="540" ht="15.75" customHeight="1" s="42"/>
    <row r="541" ht="15.75" customHeight="1" s="42"/>
    <row r="542" ht="15.75" customHeight="1" s="42"/>
    <row r="543" ht="15.75" customHeight="1" s="42"/>
    <row r="544" ht="15.75" customHeight="1" s="42"/>
    <row r="545" ht="15.75" customHeight="1" s="42"/>
    <row r="546" ht="15.75" customHeight="1" s="42"/>
    <row r="547" ht="15.75" customHeight="1" s="42"/>
    <row r="548" ht="15.75" customHeight="1" s="42"/>
    <row r="549" ht="15.75" customHeight="1" s="42"/>
    <row r="550" ht="15.75" customHeight="1" s="42"/>
    <row r="551" ht="15.75" customHeight="1" s="42"/>
    <row r="552" ht="15.75" customHeight="1" s="42"/>
    <row r="553" ht="15.75" customHeight="1" s="42"/>
    <row r="554" ht="15.75" customHeight="1" s="42"/>
    <row r="555" ht="15.75" customHeight="1" s="42"/>
    <row r="556" ht="15.75" customHeight="1" s="42"/>
    <row r="557" ht="15.75" customHeight="1" s="42"/>
    <row r="558" ht="15.75" customHeight="1" s="42"/>
    <row r="559" ht="15.75" customHeight="1" s="42"/>
    <row r="560" ht="15.75" customHeight="1" s="42"/>
    <row r="561" ht="15.75" customHeight="1" s="42"/>
    <row r="562" ht="15.75" customHeight="1" s="42"/>
    <row r="563" ht="15.75" customHeight="1" s="42"/>
    <row r="564" ht="15.75" customHeight="1" s="42"/>
    <row r="565" ht="15.75" customHeight="1" s="42"/>
    <row r="566" ht="15.75" customHeight="1" s="42"/>
    <row r="567" ht="15.75" customHeight="1" s="42"/>
    <row r="568" ht="15.75" customHeight="1" s="42"/>
    <row r="569" ht="15.75" customHeight="1" s="42"/>
    <row r="570" ht="15.75" customHeight="1" s="42"/>
    <row r="571" ht="15.75" customHeight="1" s="42"/>
    <row r="572" ht="15.75" customHeight="1" s="42"/>
    <row r="573" ht="15.75" customHeight="1" s="42"/>
    <row r="574" ht="15.75" customHeight="1" s="42"/>
    <row r="575" ht="15.75" customHeight="1" s="42"/>
    <row r="576" ht="15.75" customHeight="1" s="42"/>
    <row r="577" ht="15.75" customHeight="1" s="42"/>
    <row r="578" ht="15.75" customHeight="1" s="42"/>
    <row r="579" ht="15.75" customHeight="1" s="42"/>
    <row r="580" ht="15.75" customHeight="1" s="42"/>
    <row r="581" ht="15.75" customHeight="1" s="42"/>
    <row r="582" ht="15.75" customHeight="1" s="42"/>
    <row r="583" ht="15.75" customHeight="1" s="42"/>
    <row r="584" ht="15.75" customHeight="1" s="42"/>
    <row r="585" ht="15.75" customHeight="1" s="42"/>
    <row r="586" ht="15.75" customHeight="1" s="42"/>
    <row r="587" ht="15.75" customHeight="1" s="42"/>
    <row r="588" ht="15.75" customHeight="1" s="42"/>
    <row r="589" ht="15.75" customHeight="1" s="42"/>
    <row r="590" ht="15.75" customHeight="1" s="42"/>
    <row r="591" ht="15.75" customHeight="1" s="42"/>
    <row r="592" ht="15.75" customHeight="1" s="42"/>
    <row r="593" ht="15.75" customHeight="1" s="42"/>
    <row r="594" ht="15.75" customHeight="1" s="42"/>
    <row r="595" ht="15.75" customHeight="1" s="42"/>
    <row r="596" ht="15.75" customHeight="1" s="42"/>
    <row r="597" ht="15.75" customHeight="1" s="42"/>
    <row r="598" ht="15.75" customHeight="1" s="42"/>
    <row r="599" ht="15.75" customHeight="1" s="42"/>
    <row r="600" ht="15.75" customHeight="1" s="42"/>
    <row r="601" ht="15.75" customHeight="1" s="42"/>
    <row r="602" ht="15.75" customHeight="1" s="42"/>
    <row r="603" ht="15.75" customHeight="1" s="42"/>
    <row r="604" ht="15.75" customHeight="1" s="42"/>
    <row r="605" ht="15.75" customHeight="1" s="42"/>
    <row r="606" ht="15.75" customHeight="1" s="42"/>
    <row r="607" ht="15.75" customHeight="1" s="42"/>
    <row r="608" ht="15.75" customHeight="1" s="42"/>
    <row r="609" ht="15.75" customHeight="1" s="42"/>
    <row r="610" ht="15.75" customHeight="1" s="42"/>
    <row r="611" ht="15.75" customHeight="1" s="42"/>
    <row r="612" ht="15.75" customHeight="1" s="42"/>
    <row r="613" ht="15.75" customHeight="1" s="42"/>
    <row r="614" ht="15.75" customHeight="1" s="42"/>
    <row r="615" ht="15.75" customHeight="1" s="42"/>
    <row r="616" ht="15.75" customHeight="1" s="42"/>
    <row r="617" ht="15.75" customHeight="1" s="42"/>
    <row r="618" ht="15.75" customHeight="1" s="42"/>
    <row r="619" ht="15.75" customHeight="1" s="42"/>
    <row r="620" ht="15.75" customHeight="1" s="42"/>
    <row r="621" ht="15.75" customHeight="1" s="42"/>
    <row r="622" ht="15.75" customHeight="1" s="42"/>
    <row r="623" ht="15.75" customHeight="1" s="42"/>
    <row r="624" ht="15.75" customHeight="1" s="42"/>
    <row r="625" ht="15.75" customHeight="1" s="42"/>
    <row r="626" ht="15.75" customHeight="1" s="42"/>
    <row r="627" ht="15.75" customHeight="1" s="42"/>
    <row r="628" ht="15.75" customHeight="1" s="42"/>
    <row r="629" ht="15.75" customHeight="1" s="42"/>
    <row r="630" ht="15.75" customHeight="1" s="42"/>
    <row r="631" ht="15.75" customHeight="1" s="42"/>
    <row r="632" ht="15.75" customHeight="1" s="42"/>
    <row r="633" ht="15.75" customHeight="1" s="42"/>
    <row r="634" ht="15.75" customHeight="1" s="42"/>
    <row r="635" ht="15.75" customHeight="1" s="42"/>
    <row r="636" ht="15.75" customHeight="1" s="42"/>
    <row r="637" ht="15.75" customHeight="1" s="42"/>
    <row r="638" ht="15.75" customHeight="1" s="42"/>
    <row r="639" ht="15.75" customHeight="1" s="42"/>
    <row r="640" ht="15.75" customHeight="1" s="42"/>
    <row r="641" ht="15.75" customHeight="1" s="42"/>
    <row r="642" ht="15.75" customHeight="1" s="42"/>
    <row r="643" ht="15.75" customHeight="1" s="42"/>
    <row r="644" ht="15.75" customHeight="1" s="42"/>
    <row r="645" ht="15.75" customHeight="1" s="42"/>
    <row r="646" ht="15.75" customHeight="1" s="42"/>
    <row r="647" ht="15.75" customHeight="1" s="42"/>
    <row r="648" ht="15.75" customHeight="1" s="42"/>
    <row r="649" ht="15.75" customHeight="1" s="42"/>
    <row r="650" ht="15.75" customHeight="1" s="42"/>
    <row r="651" ht="15.75" customHeight="1" s="42"/>
    <row r="652" ht="15.75" customHeight="1" s="42"/>
    <row r="653" ht="15.75" customHeight="1" s="42"/>
    <row r="654" ht="15.75" customHeight="1" s="42"/>
    <row r="655" ht="15.75" customHeight="1" s="42"/>
    <row r="656" ht="15.75" customHeight="1" s="42"/>
    <row r="657" ht="15.75" customHeight="1" s="42"/>
    <row r="658" ht="15.75" customHeight="1" s="42"/>
    <row r="659" ht="15.75" customHeight="1" s="42"/>
    <row r="660" ht="15.75" customHeight="1" s="42"/>
    <row r="661" ht="15.75" customHeight="1" s="42"/>
    <row r="662" ht="15.75" customHeight="1" s="42"/>
    <row r="663" ht="15.75" customHeight="1" s="42"/>
    <row r="664" ht="15.75" customHeight="1" s="42"/>
    <row r="665" ht="15.75" customHeight="1" s="42"/>
    <row r="666" ht="15.75" customHeight="1" s="42"/>
    <row r="667" ht="15.75" customHeight="1" s="42"/>
    <row r="668" ht="15.75" customHeight="1" s="42"/>
    <row r="669" ht="15.75" customHeight="1" s="42"/>
    <row r="670" ht="15.75" customHeight="1" s="42"/>
    <row r="671" ht="15.75" customHeight="1" s="42"/>
    <row r="672" ht="15.75" customHeight="1" s="42"/>
    <row r="673" ht="15.75" customHeight="1" s="42"/>
    <row r="674" ht="15.75" customHeight="1" s="42"/>
    <row r="675" ht="15.75" customHeight="1" s="42"/>
    <row r="676" ht="15.75" customHeight="1" s="42"/>
    <row r="677" ht="15.75" customHeight="1" s="42"/>
    <row r="678" ht="15.75" customHeight="1" s="42"/>
    <row r="679" ht="15.75" customHeight="1" s="42"/>
    <row r="680" ht="15.75" customHeight="1" s="42"/>
    <row r="681" ht="15.75" customHeight="1" s="42"/>
    <row r="682" ht="15.75" customHeight="1" s="42"/>
    <row r="683" ht="15.75" customHeight="1" s="42"/>
    <row r="684" ht="15.75" customHeight="1" s="42"/>
    <row r="685" ht="15.75" customHeight="1" s="42"/>
    <row r="686" ht="15.75" customHeight="1" s="42"/>
    <row r="687" ht="15.75" customHeight="1" s="42"/>
    <row r="688" ht="15.75" customHeight="1" s="42"/>
    <row r="689" ht="15.75" customHeight="1" s="42"/>
    <row r="690" ht="15.75" customHeight="1" s="42"/>
    <row r="691" ht="15.75" customHeight="1" s="42"/>
    <row r="692" ht="15.75" customHeight="1" s="42"/>
    <row r="693" ht="15.75" customHeight="1" s="42"/>
    <row r="694" ht="15.75" customHeight="1" s="42"/>
    <row r="695" ht="15.75" customHeight="1" s="42"/>
    <row r="696" ht="15.75" customHeight="1" s="42"/>
    <row r="697" ht="15.75" customHeight="1" s="42"/>
    <row r="698" ht="15.75" customHeight="1" s="42"/>
    <row r="699" ht="15.75" customHeight="1" s="42"/>
    <row r="700" ht="15.75" customHeight="1" s="42"/>
    <row r="701" ht="15.75" customHeight="1" s="42"/>
    <row r="702" ht="15.75" customHeight="1" s="42"/>
    <row r="703" ht="15.75" customHeight="1" s="42"/>
    <row r="704" ht="15.75" customHeight="1" s="42"/>
    <row r="705" ht="15.75" customHeight="1" s="42"/>
    <row r="706" ht="15.75" customHeight="1" s="42"/>
    <row r="707" ht="15.75" customHeight="1" s="42"/>
    <row r="708" ht="15.75" customHeight="1" s="42"/>
    <row r="709" ht="15.75" customHeight="1" s="42"/>
    <row r="710" ht="15.75" customHeight="1" s="42"/>
    <row r="711" ht="15.75" customHeight="1" s="42"/>
    <row r="712" ht="15.75" customHeight="1" s="42"/>
    <row r="713" ht="15.75" customHeight="1" s="42"/>
    <row r="714" ht="15.75" customHeight="1" s="42"/>
    <row r="715" ht="15.75" customHeight="1" s="42"/>
    <row r="716" ht="15.75" customHeight="1" s="42"/>
    <row r="717" ht="15.75" customHeight="1" s="42"/>
    <row r="718" ht="15.75" customHeight="1" s="42"/>
    <row r="719" ht="15.75" customHeight="1" s="42"/>
    <row r="720" ht="15.75" customHeight="1" s="42"/>
    <row r="721" ht="15.75" customHeight="1" s="42"/>
    <row r="722" ht="15.75" customHeight="1" s="42"/>
    <row r="723" ht="15.75" customHeight="1" s="42"/>
    <row r="724" ht="15.75" customHeight="1" s="42"/>
    <row r="725" ht="15.75" customHeight="1" s="42"/>
    <row r="726" ht="15.75" customHeight="1" s="42"/>
    <row r="727" ht="15.75" customHeight="1" s="42"/>
    <row r="728" ht="15.75" customHeight="1" s="42"/>
    <row r="729" ht="15.75" customHeight="1" s="42"/>
    <row r="730" ht="15.75" customHeight="1" s="42"/>
    <row r="731" ht="15.75" customHeight="1" s="42"/>
    <row r="732" ht="15.75" customHeight="1" s="42"/>
    <row r="733" ht="15.75" customHeight="1" s="42"/>
    <row r="734" ht="15.75" customHeight="1" s="42"/>
    <row r="735" ht="15.75" customHeight="1" s="42"/>
    <row r="736" ht="15.75" customHeight="1" s="42"/>
    <row r="737" ht="15.75" customHeight="1" s="42"/>
    <row r="738" ht="15.75" customHeight="1" s="42"/>
    <row r="739" ht="15.75" customHeight="1" s="42"/>
    <row r="740" ht="15.75" customHeight="1" s="42"/>
    <row r="741" ht="15.75" customHeight="1" s="42"/>
    <row r="742" ht="15.75" customHeight="1" s="42"/>
    <row r="743" ht="15.75" customHeight="1" s="42"/>
    <row r="744" ht="15.75" customHeight="1" s="42"/>
    <row r="745" ht="15.75" customHeight="1" s="42"/>
    <row r="746" ht="15.75" customHeight="1" s="42"/>
    <row r="747" ht="15.75" customHeight="1" s="42"/>
    <row r="748" ht="15.75" customHeight="1" s="42"/>
    <row r="749" ht="15.75" customHeight="1" s="42"/>
    <row r="750" ht="15.75" customHeight="1" s="42"/>
    <row r="751" ht="15.75" customHeight="1" s="42"/>
    <row r="752" ht="15.75" customHeight="1" s="42"/>
    <row r="753" ht="15.75" customHeight="1" s="42"/>
    <row r="754" ht="15.75" customHeight="1" s="42"/>
    <row r="755" ht="15.75" customHeight="1" s="42"/>
    <row r="756" ht="15.75" customHeight="1" s="42"/>
    <row r="757" ht="15.75" customHeight="1" s="42"/>
    <row r="758" ht="15.75" customHeight="1" s="42"/>
    <row r="759" ht="15.75" customHeight="1" s="42"/>
    <row r="760" ht="15.75" customHeight="1" s="42"/>
    <row r="761" ht="15.75" customHeight="1" s="42"/>
    <row r="762" ht="15.75" customHeight="1" s="42"/>
    <row r="763" ht="15.75" customHeight="1" s="42"/>
    <row r="764" ht="15.75" customHeight="1" s="42"/>
    <row r="765" ht="15.75" customHeight="1" s="42"/>
    <row r="766" ht="15.75" customHeight="1" s="42"/>
    <row r="767" ht="15.75" customHeight="1" s="42"/>
    <row r="768" ht="15.75" customHeight="1" s="42"/>
    <row r="769" ht="15.75" customHeight="1" s="42"/>
    <row r="770" ht="15.75" customHeight="1" s="42"/>
    <row r="771" ht="15.75" customHeight="1" s="42"/>
    <row r="772" ht="15.75" customHeight="1" s="42"/>
    <row r="773" ht="15.75" customHeight="1" s="42"/>
    <row r="774" ht="15.75" customHeight="1" s="42"/>
    <row r="775" ht="15.75" customHeight="1" s="42"/>
    <row r="776" ht="15.75" customHeight="1" s="42"/>
    <row r="777" ht="15.75" customHeight="1" s="42"/>
    <row r="778" ht="15.75" customHeight="1" s="42"/>
    <row r="779" ht="15.75" customHeight="1" s="42"/>
    <row r="780" ht="15.75" customHeight="1" s="42"/>
    <row r="781" ht="15.75" customHeight="1" s="42"/>
    <row r="782" ht="15.75" customHeight="1" s="42"/>
    <row r="783" ht="15.75" customHeight="1" s="42"/>
    <row r="784" ht="15.75" customHeight="1" s="42"/>
    <row r="785" ht="15.75" customHeight="1" s="42"/>
    <row r="786" ht="15.75" customHeight="1" s="42"/>
    <row r="787" ht="15.75" customHeight="1" s="42"/>
    <row r="788" ht="15.75" customHeight="1" s="42"/>
    <row r="789" ht="15.75" customHeight="1" s="42"/>
    <row r="790" ht="15.75" customHeight="1" s="42"/>
    <row r="791" ht="15.75" customHeight="1" s="42"/>
    <row r="792" ht="15.75" customHeight="1" s="42"/>
    <row r="793" ht="15.75" customHeight="1" s="42"/>
    <row r="794" ht="15.75" customHeight="1" s="42"/>
    <row r="795" ht="15.75" customHeight="1" s="42"/>
    <row r="796" ht="15.75" customHeight="1" s="42"/>
    <row r="797" ht="15.75" customHeight="1" s="42"/>
    <row r="798" ht="15.75" customHeight="1" s="42"/>
    <row r="799" ht="15.75" customHeight="1" s="42"/>
    <row r="800" ht="15.75" customHeight="1" s="42"/>
    <row r="801" ht="15.75" customHeight="1" s="42"/>
    <row r="802" ht="15.75" customHeight="1" s="42"/>
    <row r="803" ht="15.75" customHeight="1" s="42"/>
    <row r="804" ht="15.75" customHeight="1" s="42"/>
    <row r="805" ht="15.75" customHeight="1" s="42"/>
    <row r="806" ht="15.75" customHeight="1" s="42"/>
    <row r="807" ht="15.75" customHeight="1" s="42"/>
    <row r="808" ht="15.75" customHeight="1" s="42"/>
    <row r="809" ht="15.75" customHeight="1" s="42"/>
    <row r="810" ht="15.75" customHeight="1" s="42"/>
    <row r="811" ht="15.75" customHeight="1" s="42"/>
    <row r="812" ht="15.75" customHeight="1" s="42"/>
    <row r="813" ht="15.75" customHeight="1" s="42"/>
    <row r="814" ht="15.75" customHeight="1" s="42"/>
    <row r="815" ht="15.75" customHeight="1" s="42"/>
    <row r="816" ht="15.75" customHeight="1" s="42"/>
    <row r="817" ht="15.75" customHeight="1" s="42"/>
    <row r="818" ht="15.75" customHeight="1" s="42"/>
    <row r="819" ht="15.75" customHeight="1" s="42"/>
    <row r="820" ht="15.75" customHeight="1" s="42"/>
    <row r="821" ht="15.75" customHeight="1" s="42"/>
    <row r="822" ht="15.75" customHeight="1" s="42"/>
    <row r="823" ht="15.75" customHeight="1" s="42"/>
    <row r="824" ht="15.75" customHeight="1" s="42"/>
    <row r="825" ht="15.75" customHeight="1" s="42"/>
    <row r="826" ht="15.75" customHeight="1" s="42"/>
    <row r="827" ht="15.75" customHeight="1" s="42"/>
    <row r="828" ht="15.75" customHeight="1" s="42"/>
    <row r="829" ht="15.75" customHeight="1" s="42"/>
    <row r="830" ht="15.75" customHeight="1" s="42"/>
    <row r="831" ht="15.75" customHeight="1" s="42"/>
    <row r="832" ht="15.75" customHeight="1" s="42"/>
    <row r="833" ht="15.75" customHeight="1" s="42"/>
    <row r="834" ht="15.75" customHeight="1" s="42"/>
    <row r="835" ht="15.75" customHeight="1" s="42"/>
    <row r="836" ht="15.75" customHeight="1" s="42"/>
    <row r="837" ht="15.75" customHeight="1" s="42"/>
    <row r="838" ht="15.75" customHeight="1" s="42"/>
    <row r="839" ht="15.75" customHeight="1" s="42"/>
    <row r="840" ht="15.75" customHeight="1" s="42"/>
    <row r="841" ht="15.75" customHeight="1" s="42"/>
    <row r="842" ht="15.75" customHeight="1" s="42"/>
    <row r="843" ht="15.75" customHeight="1" s="42"/>
    <row r="844" ht="15.75" customHeight="1" s="42"/>
    <row r="845" ht="15.75" customHeight="1" s="42"/>
    <row r="846" ht="15.75" customHeight="1" s="42"/>
    <row r="847" ht="15.75" customHeight="1" s="42"/>
    <row r="848" ht="15.75" customHeight="1" s="42"/>
    <row r="849" ht="15.75" customHeight="1" s="42"/>
    <row r="850" ht="15.75" customHeight="1" s="42"/>
    <row r="851" ht="15.75" customHeight="1" s="42"/>
    <row r="852" ht="15.75" customHeight="1" s="42"/>
    <row r="853" ht="15.75" customHeight="1" s="42"/>
    <row r="854" ht="15.75" customHeight="1" s="42"/>
    <row r="855" ht="15.75" customHeight="1" s="42"/>
    <row r="856" ht="15.75" customHeight="1" s="42"/>
    <row r="857" ht="15.75" customHeight="1" s="42"/>
    <row r="858" ht="15.75" customHeight="1" s="42"/>
    <row r="859" ht="15.75" customHeight="1" s="42"/>
    <row r="860" ht="15.75" customHeight="1" s="42"/>
    <row r="861" ht="15.75" customHeight="1" s="42"/>
    <row r="862" ht="15.75" customHeight="1" s="42"/>
    <row r="863" ht="15.75" customHeight="1" s="42"/>
    <row r="864" ht="15.75" customHeight="1" s="42"/>
    <row r="865" ht="15.75" customHeight="1" s="42"/>
    <row r="866" ht="15.75" customHeight="1" s="42"/>
    <row r="867" ht="15.75" customHeight="1" s="42"/>
    <row r="868" ht="15.75" customHeight="1" s="42"/>
    <row r="869" ht="15.75" customHeight="1" s="42"/>
    <row r="870" ht="15.75" customHeight="1" s="42"/>
    <row r="871" ht="15.75" customHeight="1" s="42"/>
    <row r="872" ht="15.75" customHeight="1" s="42"/>
    <row r="873" ht="15.75" customHeight="1" s="42"/>
    <row r="874" ht="15.75" customHeight="1" s="42"/>
    <row r="875" ht="15.75" customHeight="1" s="42"/>
    <row r="876" ht="15.75" customHeight="1" s="42"/>
    <row r="877" ht="15.75" customHeight="1" s="42"/>
    <row r="878" ht="15.75" customHeight="1" s="42"/>
    <row r="879" ht="15.75" customHeight="1" s="42"/>
    <row r="880" ht="15.75" customHeight="1" s="42"/>
    <row r="881" ht="15.75" customHeight="1" s="42"/>
    <row r="882" ht="15.75" customHeight="1" s="42"/>
    <row r="883" ht="15.75" customHeight="1" s="42"/>
    <row r="884" ht="15.75" customHeight="1" s="42"/>
    <row r="885" ht="15.75" customHeight="1" s="42"/>
    <row r="886" ht="15.75" customHeight="1" s="42"/>
    <row r="887" ht="15.75" customHeight="1" s="42"/>
    <row r="888" ht="15.75" customHeight="1" s="42"/>
    <row r="889" ht="15.75" customHeight="1" s="42"/>
    <row r="890" ht="15.75" customHeight="1" s="42"/>
    <row r="891" ht="15.75" customHeight="1" s="42"/>
    <row r="892" ht="15.75" customHeight="1" s="42"/>
    <row r="893" ht="15.75" customHeight="1" s="42"/>
    <row r="894" ht="15.75" customHeight="1" s="42"/>
    <row r="895" ht="15.75" customHeight="1" s="42"/>
    <row r="896" ht="15.75" customHeight="1" s="42"/>
    <row r="897" ht="15.75" customHeight="1" s="42"/>
    <row r="898" ht="15.75" customHeight="1" s="42"/>
    <row r="899" ht="15.75" customHeight="1" s="42"/>
    <row r="900" ht="15.75" customHeight="1" s="42"/>
    <row r="901" ht="15.75" customHeight="1" s="42"/>
    <row r="902" ht="15.75" customHeight="1" s="42"/>
    <row r="903" ht="15.75" customHeight="1" s="42"/>
    <row r="904" ht="15.75" customHeight="1" s="42"/>
    <row r="905" ht="15.75" customHeight="1" s="42"/>
    <row r="906" ht="15.75" customHeight="1" s="42"/>
    <row r="907" ht="15.75" customHeight="1" s="42"/>
    <row r="908" ht="15.75" customHeight="1" s="42"/>
    <row r="909" ht="15.75" customHeight="1" s="42"/>
    <row r="910" ht="15.75" customHeight="1" s="42"/>
    <row r="911" ht="15.75" customHeight="1" s="42"/>
    <row r="912" ht="15.75" customHeight="1" s="42"/>
    <row r="913" ht="15.75" customHeight="1" s="42"/>
    <row r="914" ht="15.75" customHeight="1" s="42"/>
    <row r="915" ht="15.75" customHeight="1" s="42"/>
    <row r="916" ht="15.75" customHeight="1" s="42"/>
    <row r="917" ht="15.75" customHeight="1" s="42"/>
    <row r="918" ht="15.75" customHeight="1" s="42"/>
    <row r="919" ht="15.75" customHeight="1" s="42"/>
    <row r="920" ht="15.75" customHeight="1" s="42"/>
    <row r="921" ht="15.75" customHeight="1" s="42"/>
    <row r="922" ht="15.75" customHeight="1" s="42"/>
    <row r="923" ht="15.75" customHeight="1" s="42"/>
    <row r="924" ht="15.75" customHeight="1" s="42"/>
    <row r="925" ht="15.75" customHeight="1" s="42"/>
    <row r="926" ht="15.75" customHeight="1" s="42"/>
    <row r="927" ht="15.75" customHeight="1" s="42"/>
    <row r="928" ht="15.75" customHeight="1" s="42"/>
    <row r="929" ht="15.75" customHeight="1" s="42"/>
    <row r="930" ht="15.75" customHeight="1" s="42"/>
    <row r="931" ht="15.75" customHeight="1" s="42"/>
    <row r="932" ht="15.75" customHeight="1" s="42"/>
    <row r="933" ht="15.75" customHeight="1" s="42"/>
    <row r="934" ht="15.75" customHeight="1" s="42"/>
    <row r="935" ht="15.75" customHeight="1" s="42"/>
    <row r="936" ht="15.75" customHeight="1" s="42"/>
    <row r="937" ht="15.75" customHeight="1" s="42"/>
    <row r="938" ht="15.75" customHeight="1" s="42"/>
    <row r="939" ht="15.75" customHeight="1" s="42"/>
    <row r="940" ht="15.75" customHeight="1" s="42"/>
    <row r="941" ht="15.75" customHeight="1" s="42"/>
    <row r="942" ht="15.75" customHeight="1" s="42"/>
    <row r="943" ht="15.75" customHeight="1" s="42"/>
    <row r="944" ht="15.75" customHeight="1" s="42"/>
    <row r="945" ht="15.75" customHeight="1" s="42"/>
    <row r="946" ht="15.75" customHeight="1" s="42"/>
    <row r="947" ht="15.75" customHeight="1" s="42"/>
    <row r="948" ht="15.75" customHeight="1" s="42"/>
    <row r="949" ht="15.75" customHeight="1" s="42"/>
    <row r="950" ht="15.75" customHeight="1" s="42"/>
    <row r="951" ht="15.75" customHeight="1" s="42"/>
    <row r="952" ht="15.75" customHeight="1" s="42"/>
    <row r="953" ht="15.75" customHeight="1" s="42"/>
    <row r="954" ht="15.75" customHeight="1" s="42"/>
    <row r="955" ht="15.75" customHeight="1" s="42"/>
    <row r="956" ht="15.75" customHeight="1" s="42"/>
    <row r="957" ht="15.75" customHeight="1" s="42"/>
    <row r="958" ht="15.75" customHeight="1" s="42"/>
    <row r="959" ht="15.75" customHeight="1" s="42"/>
    <row r="960" ht="15.75" customHeight="1" s="42"/>
    <row r="961" ht="15.75" customHeight="1" s="42"/>
    <row r="962" ht="15.75" customHeight="1" s="42"/>
    <row r="963" ht="15.75" customHeight="1" s="42"/>
    <row r="964" ht="15.75" customHeight="1" s="42"/>
    <row r="965" ht="15.75" customHeight="1" s="42"/>
    <row r="966" ht="15.75" customHeight="1" s="42"/>
    <row r="967" ht="15.75" customHeight="1" s="42"/>
    <row r="968" ht="15.75" customHeight="1" s="42"/>
    <row r="969" ht="15.75" customHeight="1" s="42"/>
    <row r="970" ht="15.75" customHeight="1" s="42"/>
    <row r="971" ht="15.75" customHeight="1" s="42"/>
    <row r="972" ht="15.75" customHeight="1" s="42"/>
    <row r="973" ht="15.75" customHeight="1" s="42"/>
    <row r="974" ht="15.75" customHeight="1" s="42"/>
    <row r="975" ht="15.75" customHeight="1" s="42"/>
    <row r="976" ht="15.75" customHeight="1" s="42"/>
    <row r="977" ht="15.75" customHeight="1" s="42"/>
    <row r="978" ht="15.75" customHeight="1" s="42"/>
    <row r="979" ht="15.75" customHeight="1" s="42"/>
    <row r="980" ht="15.75" customHeight="1" s="42"/>
    <row r="981" ht="15.75" customHeight="1" s="42"/>
    <row r="982" ht="15.75" customHeight="1" s="42"/>
    <row r="983" ht="15.75" customHeight="1" s="42"/>
    <row r="984" ht="15.75" customHeight="1" s="42"/>
    <row r="985" ht="15.75" customHeight="1" s="42"/>
    <row r="986" ht="15.75" customHeight="1" s="42"/>
    <row r="987" ht="15.75" customHeight="1" s="42"/>
    <row r="988" ht="15.75" customHeight="1" s="42"/>
    <row r="989" ht="15.75" customHeight="1" s="42"/>
    <row r="990" ht="15.75" customHeight="1" s="42"/>
    <row r="991" ht="15.75" customHeight="1" s="42"/>
    <row r="992" ht="15.75" customHeight="1" s="42"/>
    <row r="993" ht="15.75" customHeight="1" s="42"/>
    <row r="994" ht="15.75" customHeight="1" s="42"/>
    <row r="995" ht="15.75" customHeight="1" s="42"/>
    <row r="996" ht="15.75" customHeight="1" s="42"/>
    <row r="997" ht="15.75" customHeight="1" s="42"/>
    <row r="998" ht="15.75" customHeight="1" s="42"/>
    <row r="999" ht="15.75" customHeight="1" s="42"/>
    <row r="1000" ht="15.75" customHeight="1" s="42"/>
  </sheetData>
  <sheetProtection selectLockedCells="1" selectUnlockedCells="1" sheet="1" objects="0" insertRows="0" insertHyperlinks="1" autoFilter="1" scenarios="0" formatColumns="0" deleteColumns="0" insertColumns="0" pivotTables="1" deleteRows="0" formatCells="0" formatRows="0" sort="1"/>
  <conditionalFormatting sqref="E2:E47">
    <cfRule type="colorScale" priority="2">
      <colorScale>
        <cfvo type="formula" val="29"/>
        <cfvo type="formula" val="30"/>
        <cfvo type="formula" val="31"/>
        <color rgb="FFEFEFEF"/>
        <color rgb="FFFF0000"/>
        <color rgb="FFFF0000"/>
      </colorScale>
    </cfRule>
  </conditionalFormatting>
  <printOptions horizontalCentered="0" verticalCentered="0" headings="0" gridLines="0" gridLinesSet="1"/>
  <pageMargins left="0.75" right="0.75" top="1" bottom="1" header="0.511811023622047" footer="0.511811023622047"/>
  <pageSetup orientation="landscape" paperSize="1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F100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B3" activeCellId="0" sqref="B3"/>
    </sheetView>
  </sheetViews>
  <sheetFormatPr baseColWidth="8" defaultColWidth="12.6328125" defaultRowHeight="15" customHeight="1" zeroHeight="0" outlineLevelRow="0"/>
  <cols>
    <col width="10.5" customWidth="1" style="41" min="1" max="1"/>
    <col width="12.25" customWidth="1" style="41" min="2" max="2"/>
    <col width="11.38" customWidth="1" style="41" min="3" max="3"/>
    <col width="10.5" customWidth="1" style="41" min="4" max="4"/>
    <col width="12.25" customWidth="1" style="41" min="5" max="5"/>
    <col width="14" customWidth="1" style="41" min="6" max="6"/>
  </cols>
  <sheetData>
    <row r="1" ht="27.75" customHeight="1" s="42">
      <c r="A1" s="104" t="inlineStr">
        <is>
          <t>Shed No.</t>
        </is>
      </c>
      <c r="B1" s="104" t="inlineStr">
        <is>
          <t>Total Stacks</t>
        </is>
      </c>
      <c r="C1" s="104" t="inlineStr">
        <is>
          <t>Occupied</t>
        </is>
      </c>
      <c r="D1" s="104" t="inlineStr">
        <is>
          <t>Empty</t>
        </is>
      </c>
      <c r="E1" s="104" t="inlineStr">
        <is>
          <t>Total Bags</t>
        </is>
      </c>
      <c r="F1" s="104" t="inlineStr">
        <is>
          <t>Total Qty (MT)</t>
        </is>
      </c>
    </row>
    <row r="2" ht="15" customHeight="1" s="42">
      <c r="A2" s="87" t="n">
        <v>9</v>
      </c>
      <c r="B2" s="72">
        <f>COUNTIF('Master Stock'!C:C,A2)</f>
        <v/>
      </c>
      <c r="C2" s="72">
        <f>COUNTIFS('Master Stock'!C:C,A2,'Master Stock'!H:H,"OCCUPIED")</f>
        <v/>
      </c>
      <c r="D2" s="72">
        <f>COUNTIFS('Master Stock'!C:C,A2,'Master Stock'!H:H,"EMPTY")</f>
        <v/>
      </c>
      <c r="E2" s="72">
        <f>SUMIF('Master Stock'!C:C,A2,'Master Stock'!E:E)</f>
        <v/>
      </c>
      <c r="F2" s="73">
        <f>SUMIF('Master Stock'!C:C,A2,'Master Stock'!F:F)</f>
        <v/>
      </c>
    </row>
    <row r="3" ht="15" customHeight="1" s="42">
      <c r="A3" s="87" t="n">
        <v>14</v>
      </c>
      <c r="B3" s="72">
        <f>COUNTIF('Master Stock'!C:C,A3)</f>
        <v/>
      </c>
      <c r="C3" s="72">
        <f>COUNTIFS('Master Stock'!C:C,A3,'Master Stock'!H:H,"OCCUPIED")</f>
        <v/>
      </c>
      <c r="D3" s="72">
        <f>COUNTIFS('Master Stock'!C:C,A3,'Master Stock'!H:H,"EMPTY")</f>
        <v/>
      </c>
      <c r="E3" s="72">
        <f>SUMIF('Master Stock'!C:C,A3,'Master Stock'!E:E)</f>
        <v/>
      </c>
      <c r="F3" s="73">
        <f>SUMIF('Master Stock'!C:C,A3,'Master Stock'!F:F)</f>
        <v/>
      </c>
    </row>
    <row r="4" ht="15" customHeight="1" s="42">
      <c r="A4" s="87" t="n">
        <v>18</v>
      </c>
      <c r="B4" s="72">
        <f>COUNTIF('Master Stock'!C:C,A4)</f>
        <v/>
      </c>
      <c r="C4" s="72">
        <f>COUNTIFS('Master Stock'!C:C,A4,'Master Stock'!H:H,"OCCUPIED")</f>
        <v/>
      </c>
      <c r="D4" s="72">
        <f>COUNTIFS('Master Stock'!C:C,A4,'Master Stock'!H:H,"EMPTY")</f>
        <v/>
      </c>
      <c r="E4" s="72">
        <f>SUMIF('Master Stock'!C:C,A4,'Master Stock'!E:E)</f>
        <v/>
      </c>
      <c r="F4" s="73">
        <f>SUMIF('Master Stock'!C:C,A4,'Master Stock'!F:F)</f>
        <v/>
      </c>
    </row>
    <row r="5" ht="15" customHeight="1" s="42">
      <c r="A5" s="87" t="n">
        <v>20</v>
      </c>
      <c r="B5" s="72">
        <f>COUNTIF('Master Stock'!C:C,A5)</f>
        <v/>
      </c>
      <c r="C5" s="72">
        <f>COUNTIFS('Master Stock'!C:C,A5,'Master Stock'!H:H,"OCCUPIED")</f>
        <v/>
      </c>
      <c r="D5" s="72">
        <f>COUNTIFS('Master Stock'!C:C,A5,'Master Stock'!H:H,"EMPTY")</f>
        <v/>
      </c>
      <c r="E5" s="72">
        <f>SUMIF('Master Stock'!C:C,A5,'Master Stock'!E:E)</f>
        <v/>
      </c>
      <c r="F5" s="73">
        <f>SUMIF('Master Stock'!C:C,A5,'Master Stock'!F:F)</f>
        <v/>
      </c>
    </row>
    <row r="6" ht="27.75" customHeight="1" s="42">
      <c r="A6" s="87" t="inlineStr">
        <is>
          <t>GRAND TOTAL</t>
        </is>
      </c>
      <c r="B6" s="72">
        <f>SUM(B2:B5)</f>
        <v/>
      </c>
      <c r="C6" s="72">
        <f>SUM(C2:C5)</f>
        <v/>
      </c>
      <c r="D6" s="72">
        <f>SUM(D2:D5)</f>
        <v/>
      </c>
      <c r="E6" s="72">
        <f>SUM(E2:E5)</f>
        <v/>
      </c>
      <c r="F6" s="73">
        <f>SUM(F2:F5)</f>
        <v/>
      </c>
    </row>
    <row r="7" ht="15" customHeight="1" s="42">
      <c r="A7" s="83" t="n"/>
      <c r="B7" s="83" t="n"/>
      <c r="C7" s="83" t="n"/>
      <c r="D7" s="83" t="n"/>
      <c r="E7" s="83" t="n"/>
      <c r="F7" s="83" t="n"/>
    </row>
    <row r="8" ht="15" customHeight="1" s="42">
      <c r="A8" s="83" t="n"/>
      <c r="B8" s="83" t="n"/>
      <c r="C8" s="83" t="n"/>
      <c r="D8" s="83" t="n"/>
      <c r="E8" s="83" t="n"/>
      <c r="F8" s="83" t="n"/>
    </row>
    <row r="9" ht="15" customHeight="1" s="42">
      <c r="A9" s="83" t="n"/>
      <c r="B9" s="83" t="n"/>
      <c r="C9" s="83" t="n"/>
      <c r="D9" s="83" t="n"/>
      <c r="E9" s="83" t="n"/>
      <c r="F9" s="83" t="n"/>
    </row>
    <row r="10" ht="15" customHeight="1" s="42">
      <c r="A10" s="83" t="n"/>
      <c r="B10" s="83" t="n"/>
      <c r="C10" s="83" t="n"/>
      <c r="D10" s="83" t="n"/>
      <c r="E10" s="83" t="n"/>
      <c r="F10" s="83" t="n"/>
    </row>
    <row r="11" ht="15" customHeight="1" s="42">
      <c r="A11" s="83" t="n"/>
      <c r="B11" s="83" t="n"/>
      <c r="C11" s="83" t="n"/>
      <c r="D11" s="83" t="n"/>
      <c r="E11" s="83" t="n"/>
      <c r="F11" s="83" t="n"/>
    </row>
    <row r="12" ht="15" customHeight="1" s="42">
      <c r="A12" s="83" t="n"/>
      <c r="B12" s="83" t="n"/>
      <c r="C12" s="83" t="n"/>
      <c r="D12" s="83" t="n"/>
      <c r="E12" s="83" t="n"/>
      <c r="F12" s="83" t="n"/>
    </row>
    <row r="13" ht="15" customHeight="1" s="42">
      <c r="A13" s="83" t="n"/>
      <c r="B13" s="83" t="n"/>
      <c r="C13" s="83" t="n"/>
      <c r="D13" s="83" t="n"/>
      <c r="E13" s="83" t="n"/>
      <c r="F13" s="83" t="n"/>
    </row>
    <row r="14" ht="15" customHeight="1" s="42">
      <c r="A14" s="83" t="n"/>
      <c r="B14" s="83" t="n"/>
      <c r="C14" s="83" t="n"/>
      <c r="D14" s="83" t="n"/>
      <c r="E14" s="83" t="n"/>
      <c r="F14" s="83" t="n"/>
    </row>
    <row r="15" ht="15" customHeight="1" s="42">
      <c r="A15" s="83" t="n"/>
      <c r="B15" s="83" t="n"/>
      <c r="C15" s="83" t="n"/>
      <c r="D15" s="83" t="n"/>
      <c r="E15" s="83" t="n"/>
      <c r="F15" s="83" t="n"/>
    </row>
    <row r="16" ht="15" customHeight="1" s="42">
      <c r="A16" s="83" t="n"/>
      <c r="B16" s="83" t="n"/>
      <c r="C16" s="83" t="n"/>
      <c r="D16" s="83" t="n"/>
      <c r="E16" s="83" t="n"/>
      <c r="F16" s="83" t="n"/>
    </row>
    <row r="17" ht="15" customHeight="1" s="42">
      <c r="A17" s="83" t="n"/>
      <c r="B17" s="83" t="n"/>
      <c r="C17" s="83" t="n"/>
      <c r="D17" s="83" t="n"/>
      <c r="E17" s="83" t="n"/>
      <c r="F17" s="83" t="n"/>
    </row>
    <row r="18" ht="15" customHeight="1" s="42">
      <c r="A18" s="83" t="n"/>
      <c r="B18" s="83" t="n"/>
      <c r="C18" s="83" t="n"/>
      <c r="D18" s="83" t="n"/>
      <c r="E18" s="83" t="n"/>
      <c r="F18" s="83" t="n"/>
    </row>
    <row r="19" ht="15" customHeight="1" s="42">
      <c r="A19" s="83" t="n"/>
      <c r="B19" s="83" t="n"/>
      <c r="C19" s="83" t="n"/>
      <c r="D19" s="83" t="n"/>
      <c r="E19" s="83" t="n"/>
      <c r="F19" s="83" t="n"/>
    </row>
    <row r="20" ht="15" customHeight="1" s="42">
      <c r="A20" s="83" t="n"/>
      <c r="B20" s="83" t="n"/>
      <c r="C20" s="83" t="n"/>
      <c r="D20" s="83" t="n"/>
      <c r="E20" s="83" t="n"/>
      <c r="F20" s="83" t="n"/>
    </row>
    <row r="21" ht="15.75" customHeight="1" s="42">
      <c r="A21" s="83" t="n"/>
      <c r="B21" s="83" t="n"/>
      <c r="C21" s="83" t="n"/>
      <c r="D21" s="83" t="n"/>
      <c r="E21" s="83" t="n"/>
      <c r="F21" s="83" t="n"/>
    </row>
    <row r="22" ht="15.75" customHeight="1" s="42">
      <c r="A22" s="83" t="n"/>
      <c r="B22" s="83" t="n"/>
      <c r="C22" s="83" t="n"/>
      <c r="D22" s="83" t="n"/>
      <c r="E22" s="83" t="n"/>
      <c r="F22" s="83" t="n"/>
    </row>
    <row r="23" ht="15.75" customHeight="1" s="42">
      <c r="A23" s="83" t="n"/>
      <c r="B23" s="83" t="n"/>
      <c r="C23" s="83" t="n"/>
      <c r="D23" s="83" t="n"/>
      <c r="E23" s="83" t="n"/>
      <c r="F23" s="83" t="n"/>
    </row>
    <row r="24" ht="15.75" customHeight="1" s="42">
      <c r="A24" s="83" t="n"/>
      <c r="B24" s="83" t="n"/>
      <c r="C24" s="83" t="n"/>
      <c r="D24" s="83" t="n"/>
      <c r="E24" s="83" t="n"/>
      <c r="F24" s="83" t="n"/>
    </row>
    <row r="25" ht="15.75" customHeight="1" s="42">
      <c r="A25" s="83" t="n"/>
      <c r="B25" s="83" t="n"/>
      <c r="C25" s="83" t="n"/>
      <c r="D25" s="83" t="n"/>
      <c r="E25" s="83" t="n"/>
      <c r="F25" s="83" t="n"/>
    </row>
    <row r="26" ht="15.75" customHeight="1" s="42">
      <c r="A26" s="83" t="n"/>
      <c r="B26" s="83" t="n"/>
      <c r="C26" s="83" t="n"/>
      <c r="D26" s="83" t="n"/>
      <c r="E26" s="83" t="n"/>
      <c r="F26" s="83" t="n"/>
    </row>
    <row r="27" ht="15.75" customHeight="1" s="42">
      <c r="A27" s="83" t="n"/>
      <c r="B27" s="83" t="n"/>
      <c r="C27" s="83" t="n"/>
      <c r="D27" s="83" t="n"/>
      <c r="E27" s="83" t="n"/>
      <c r="F27" s="83" t="n"/>
    </row>
    <row r="28" ht="15.75" customHeight="1" s="42">
      <c r="A28" s="83" t="n"/>
      <c r="B28" s="83" t="n"/>
      <c r="C28" s="83" t="n"/>
      <c r="D28" s="83" t="n"/>
      <c r="E28" s="83" t="n"/>
      <c r="F28" s="83" t="n"/>
    </row>
    <row r="29" ht="15.75" customHeight="1" s="42">
      <c r="A29" s="83" t="n"/>
      <c r="B29" s="83" t="n"/>
      <c r="C29" s="83" t="n"/>
      <c r="D29" s="83" t="n"/>
      <c r="E29" s="83" t="n"/>
      <c r="F29" s="83" t="n"/>
    </row>
    <row r="30" ht="15.75" customHeight="1" s="42">
      <c r="A30" s="83" t="n"/>
      <c r="B30" s="83" t="n"/>
      <c r="C30" s="83" t="n"/>
      <c r="D30" s="83" t="n"/>
      <c r="E30" s="83" t="n"/>
      <c r="F30" s="83" t="n"/>
    </row>
    <row r="31" ht="15.75" customHeight="1" s="42">
      <c r="A31" s="83" t="n"/>
      <c r="B31" s="83" t="n"/>
      <c r="C31" s="83" t="n"/>
      <c r="D31" s="83" t="n"/>
      <c r="E31" s="83" t="n"/>
      <c r="F31" s="83" t="n"/>
    </row>
    <row r="32" ht="15.75" customHeight="1" s="42">
      <c r="A32" s="83" t="n"/>
      <c r="B32" s="83" t="n"/>
      <c r="C32" s="83" t="n"/>
      <c r="D32" s="83" t="n"/>
      <c r="E32" s="83" t="n"/>
      <c r="F32" s="83" t="n"/>
    </row>
    <row r="33" ht="15.75" customHeight="1" s="42">
      <c r="A33" s="83" t="n"/>
      <c r="B33" s="83" t="n"/>
      <c r="C33" s="83" t="n"/>
      <c r="D33" s="83" t="n"/>
      <c r="E33" s="83" t="n"/>
      <c r="F33" s="83" t="n"/>
    </row>
    <row r="34" ht="15.75" customHeight="1" s="42">
      <c r="A34" s="83" t="n"/>
      <c r="B34" s="83" t="n"/>
      <c r="C34" s="83" t="n"/>
      <c r="D34" s="83" t="n"/>
      <c r="E34" s="83" t="n"/>
      <c r="F34" s="83" t="n"/>
    </row>
    <row r="35" ht="15.75" customHeight="1" s="42">
      <c r="A35" s="83" t="n"/>
      <c r="B35" s="83" t="n"/>
      <c r="C35" s="83" t="n"/>
      <c r="D35" s="83" t="n"/>
      <c r="E35" s="83" t="n"/>
      <c r="F35" s="83" t="n"/>
    </row>
    <row r="36" ht="15.75" customHeight="1" s="42">
      <c r="A36" s="83" t="n"/>
      <c r="B36" s="83" t="n"/>
      <c r="C36" s="83" t="n"/>
      <c r="D36" s="83" t="n"/>
      <c r="E36" s="83" t="n"/>
      <c r="F36" s="83" t="n"/>
    </row>
    <row r="37" ht="15.75" customHeight="1" s="42">
      <c r="A37" s="83" t="n"/>
      <c r="B37" s="83" t="n"/>
      <c r="C37" s="83" t="n"/>
      <c r="D37" s="83" t="n"/>
      <c r="E37" s="83" t="n"/>
      <c r="F37" s="83" t="n"/>
    </row>
    <row r="38" ht="15.75" customHeight="1" s="42">
      <c r="A38" s="83" t="n"/>
      <c r="B38" s="83" t="n"/>
      <c r="C38" s="83" t="n"/>
      <c r="D38" s="83" t="n"/>
      <c r="E38" s="83" t="n"/>
      <c r="F38" s="83" t="n"/>
    </row>
    <row r="39" ht="15.75" customHeight="1" s="42">
      <c r="A39" s="83" t="n"/>
      <c r="B39" s="83" t="n"/>
      <c r="C39" s="83" t="n"/>
      <c r="D39" s="83" t="n"/>
      <c r="E39" s="83" t="n"/>
      <c r="F39" s="83" t="n"/>
    </row>
    <row r="40" ht="15.75" customHeight="1" s="42">
      <c r="A40" s="83" t="n"/>
      <c r="B40" s="83" t="n"/>
      <c r="C40" s="83" t="n"/>
      <c r="D40" s="83" t="n"/>
      <c r="E40" s="83" t="n"/>
      <c r="F40" s="83" t="n"/>
    </row>
    <row r="41" ht="15.75" customHeight="1" s="42">
      <c r="A41" s="83" t="n"/>
      <c r="B41" s="83" t="n"/>
      <c r="C41" s="83" t="n"/>
      <c r="D41" s="83" t="n"/>
      <c r="E41" s="83" t="n"/>
      <c r="F41" s="83" t="n"/>
    </row>
    <row r="42" ht="15.75" customHeight="1" s="42">
      <c r="A42" s="83" t="n"/>
      <c r="B42" s="83" t="n"/>
      <c r="C42" s="83" t="n"/>
      <c r="D42" s="83" t="n"/>
      <c r="E42" s="83" t="n"/>
      <c r="F42" s="83" t="n"/>
    </row>
    <row r="43" ht="15.75" customHeight="1" s="42">
      <c r="A43" s="83" t="n"/>
      <c r="B43" s="83" t="n"/>
      <c r="C43" s="83" t="n"/>
      <c r="D43" s="83" t="n"/>
      <c r="E43" s="83" t="n"/>
      <c r="F43" s="83" t="n"/>
    </row>
    <row r="44" ht="15.75" customHeight="1" s="42">
      <c r="A44" s="83" t="n"/>
      <c r="B44" s="83" t="n"/>
      <c r="C44" s="83" t="n"/>
      <c r="D44" s="83" t="n"/>
      <c r="E44" s="83" t="n"/>
      <c r="F44" s="83" t="n"/>
    </row>
    <row r="45" ht="15.75" customHeight="1" s="42">
      <c r="A45" s="83" t="n"/>
      <c r="B45" s="83" t="n"/>
      <c r="C45" s="83" t="n"/>
      <c r="D45" s="83" t="n"/>
      <c r="E45" s="83" t="n"/>
      <c r="F45" s="83" t="n"/>
    </row>
    <row r="46" ht="15.75" customHeight="1" s="42">
      <c r="A46" s="83" t="n"/>
      <c r="B46" s="83" t="n"/>
      <c r="C46" s="83" t="n"/>
      <c r="D46" s="83" t="n"/>
      <c r="E46" s="83" t="n"/>
      <c r="F46" s="83" t="n"/>
    </row>
    <row r="47" ht="15.75" customHeight="1" s="42">
      <c r="A47" s="83" t="n"/>
      <c r="B47" s="83" t="n"/>
      <c r="C47" s="83" t="n"/>
      <c r="D47" s="83" t="n"/>
      <c r="E47" s="83" t="n"/>
      <c r="F47" s="83" t="n"/>
    </row>
    <row r="48" ht="15.75" customHeight="1" s="42">
      <c r="A48" s="83" t="n"/>
      <c r="B48" s="83" t="n"/>
      <c r="C48" s="83" t="n"/>
      <c r="D48" s="83" t="n"/>
      <c r="E48" s="83" t="n"/>
      <c r="F48" s="83" t="n"/>
    </row>
    <row r="49" ht="15.75" customHeight="1" s="42">
      <c r="A49" s="83" t="n"/>
      <c r="B49" s="83" t="n"/>
      <c r="C49" s="83" t="n"/>
      <c r="D49" s="83" t="n"/>
      <c r="E49" s="83" t="n"/>
      <c r="F49" s="83" t="n"/>
    </row>
    <row r="50" ht="15.75" customHeight="1" s="42">
      <c r="A50" s="83" t="n"/>
      <c r="B50" s="83" t="n"/>
      <c r="C50" s="83" t="n"/>
      <c r="D50" s="83" t="n"/>
      <c r="E50" s="83" t="n"/>
      <c r="F50" s="83" t="n"/>
    </row>
    <row r="51" ht="15.75" customHeight="1" s="42">
      <c r="A51" s="83" t="n"/>
      <c r="B51" s="83" t="n"/>
      <c r="C51" s="83" t="n"/>
      <c r="D51" s="83" t="n"/>
      <c r="E51" s="83" t="n"/>
      <c r="F51" s="83" t="n"/>
    </row>
    <row r="52" ht="15.75" customHeight="1" s="42">
      <c r="A52" s="83" t="n"/>
      <c r="B52" s="83" t="n"/>
      <c r="C52" s="83" t="n"/>
      <c r="D52" s="83" t="n"/>
      <c r="E52" s="83" t="n"/>
      <c r="F52" s="83" t="n"/>
    </row>
    <row r="53" ht="15.75" customHeight="1" s="42">
      <c r="A53" s="83" t="n"/>
      <c r="B53" s="83" t="n"/>
      <c r="C53" s="83" t="n"/>
      <c r="D53" s="83" t="n"/>
      <c r="E53" s="83" t="n"/>
      <c r="F53" s="83" t="n"/>
    </row>
    <row r="54" ht="15.75" customHeight="1" s="42">
      <c r="A54" s="83" t="n"/>
      <c r="B54" s="83" t="n"/>
      <c r="C54" s="83" t="n"/>
      <c r="D54" s="83" t="n"/>
      <c r="E54" s="83" t="n"/>
      <c r="F54" s="83" t="n"/>
    </row>
    <row r="55" ht="15.75" customHeight="1" s="42">
      <c r="A55" s="83" t="n"/>
      <c r="B55" s="83" t="n"/>
      <c r="C55" s="83" t="n"/>
      <c r="D55" s="83" t="n"/>
      <c r="E55" s="83" t="n"/>
      <c r="F55" s="83" t="n"/>
    </row>
    <row r="56" ht="15.75" customHeight="1" s="42">
      <c r="A56" s="83" t="n"/>
      <c r="B56" s="83" t="n"/>
      <c r="C56" s="83" t="n"/>
      <c r="D56" s="83" t="n"/>
      <c r="E56" s="83" t="n"/>
      <c r="F56" s="83" t="n"/>
    </row>
    <row r="57" ht="15.75" customHeight="1" s="42">
      <c r="A57" s="83" t="n"/>
      <c r="B57" s="83" t="n"/>
      <c r="C57" s="83" t="n"/>
      <c r="D57" s="83" t="n"/>
      <c r="E57" s="83" t="n"/>
      <c r="F57" s="83" t="n"/>
    </row>
    <row r="58" ht="15.75" customHeight="1" s="42">
      <c r="A58" s="83" t="n"/>
      <c r="B58" s="83" t="n"/>
      <c r="C58" s="83" t="n"/>
      <c r="D58" s="83" t="n"/>
      <c r="E58" s="83" t="n"/>
      <c r="F58" s="83" t="n"/>
    </row>
    <row r="59" ht="15.75" customHeight="1" s="42">
      <c r="A59" s="83" t="n"/>
      <c r="B59" s="83" t="n"/>
      <c r="C59" s="83" t="n"/>
      <c r="D59" s="83" t="n"/>
      <c r="E59" s="83" t="n"/>
      <c r="F59" s="83" t="n"/>
    </row>
    <row r="60" ht="15.75" customHeight="1" s="42">
      <c r="A60" s="83" t="n"/>
      <c r="B60" s="83" t="n"/>
      <c r="C60" s="83" t="n"/>
      <c r="D60" s="83" t="n"/>
      <c r="E60" s="83" t="n"/>
      <c r="F60" s="83" t="n"/>
    </row>
    <row r="61" ht="15.75" customHeight="1" s="42">
      <c r="A61" s="83" t="n"/>
      <c r="B61" s="83" t="n"/>
      <c r="C61" s="83" t="n"/>
      <c r="D61" s="83" t="n"/>
      <c r="E61" s="83" t="n"/>
      <c r="F61" s="83" t="n"/>
    </row>
    <row r="62" ht="15.75" customHeight="1" s="42">
      <c r="A62" s="83" t="n"/>
      <c r="B62" s="83" t="n"/>
      <c r="C62" s="83" t="n"/>
      <c r="D62" s="83" t="n"/>
      <c r="E62" s="83" t="n"/>
      <c r="F62" s="83" t="n"/>
    </row>
    <row r="63" ht="15.75" customHeight="1" s="42">
      <c r="A63" s="83" t="n"/>
      <c r="B63" s="83" t="n"/>
      <c r="C63" s="83" t="n"/>
      <c r="D63" s="83" t="n"/>
      <c r="E63" s="83" t="n"/>
      <c r="F63" s="83" t="n"/>
    </row>
    <row r="64" ht="15.75" customHeight="1" s="42">
      <c r="A64" s="83" t="n"/>
      <c r="B64" s="83" t="n"/>
      <c r="C64" s="83" t="n"/>
      <c r="D64" s="83" t="n"/>
      <c r="E64" s="83" t="n"/>
      <c r="F64" s="83" t="n"/>
    </row>
    <row r="65" ht="15.75" customHeight="1" s="42">
      <c r="A65" s="83" t="n"/>
      <c r="B65" s="83" t="n"/>
      <c r="C65" s="83" t="n"/>
      <c r="D65" s="83" t="n"/>
      <c r="E65" s="83" t="n"/>
      <c r="F65" s="83" t="n"/>
    </row>
    <row r="66" ht="15.75" customHeight="1" s="42">
      <c r="A66" s="83" t="n"/>
      <c r="B66" s="83" t="n"/>
      <c r="C66" s="83" t="n"/>
      <c r="D66" s="83" t="n"/>
      <c r="E66" s="83" t="n"/>
      <c r="F66" s="83" t="n"/>
    </row>
    <row r="67" ht="15.75" customHeight="1" s="42">
      <c r="A67" s="83" t="n"/>
      <c r="B67" s="83" t="n"/>
      <c r="C67" s="83" t="n"/>
      <c r="D67" s="83" t="n"/>
      <c r="E67" s="83" t="n"/>
      <c r="F67" s="83" t="n"/>
    </row>
    <row r="68" ht="15.75" customHeight="1" s="42">
      <c r="A68" s="83" t="n"/>
      <c r="B68" s="83" t="n"/>
      <c r="C68" s="83" t="n"/>
      <c r="D68" s="83" t="n"/>
      <c r="E68" s="83" t="n"/>
      <c r="F68" s="83" t="n"/>
    </row>
    <row r="69" ht="15.75" customHeight="1" s="42">
      <c r="A69" s="83" t="n"/>
      <c r="B69" s="83" t="n"/>
      <c r="C69" s="83" t="n"/>
      <c r="D69" s="83" t="n"/>
      <c r="E69" s="83" t="n"/>
      <c r="F69" s="83" t="n"/>
    </row>
    <row r="70" ht="15.75" customHeight="1" s="42">
      <c r="A70" s="83" t="n"/>
      <c r="B70" s="83" t="n"/>
      <c r="C70" s="83" t="n"/>
      <c r="D70" s="83" t="n"/>
      <c r="E70" s="83" t="n"/>
      <c r="F70" s="83" t="n"/>
    </row>
    <row r="71" ht="15.75" customHeight="1" s="42">
      <c r="A71" s="83" t="n"/>
      <c r="B71" s="83" t="n"/>
      <c r="C71" s="83" t="n"/>
      <c r="D71" s="83" t="n"/>
      <c r="E71" s="83" t="n"/>
      <c r="F71" s="83" t="n"/>
    </row>
    <row r="72" ht="15.75" customHeight="1" s="42">
      <c r="A72" s="83" t="n"/>
      <c r="B72" s="83" t="n"/>
      <c r="C72" s="83" t="n"/>
      <c r="D72" s="83" t="n"/>
      <c r="E72" s="83" t="n"/>
      <c r="F72" s="83" t="n"/>
    </row>
    <row r="73" ht="15.75" customHeight="1" s="42">
      <c r="A73" s="83" t="n"/>
      <c r="B73" s="83" t="n"/>
      <c r="C73" s="83" t="n"/>
      <c r="D73" s="83" t="n"/>
      <c r="E73" s="83" t="n"/>
      <c r="F73" s="83" t="n"/>
    </row>
    <row r="74" ht="15.75" customHeight="1" s="42">
      <c r="A74" s="83" t="n"/>
      <c r="B74" s="83" t="n"/>
      <c r="C74" s="83" t="n"/>
      <c r="D74" s="83" t="n"/>
      <c r="E74" s="83" t="n"/>
      <c r="F74" s="83" t="n"/>
    </row>
    <row r="75" ht="15.75" customHeight="1" s="42">
      <c r="A75" s="83" t="n"/>
      <c r="B75" s="83" t="n"/>
      <c r="C75" s="83" t="n"/>
      <c r="D75" s="83" t="n"/>
      <c r="E75" s="83" t="n"/>
      <c r="F75" s="83" t="n"/>
    </row>
    <row r="76" ht="15.75" customHeight="1" s="42">
      <c r="A76" s="83" t="n"/>
      <c r="B76" s="83" t="n"/>
      <c r="C76" s="83" t="n"/>
      <c r="D76" s="83" t="n"/>
      <c r="E76" s="83" t="n"/>
      <c r="F76" s="83" t="n"/>
    </row>
    <row r="77" ht="15.75" customHeight="1" s="42">
      <c r="A77" s="83" t="n"/>
      <c r="B77" s="83" t="n"/>
      <c r="C77" s="83" t="n"/>
      <c r="D77" s="83" t="n"/>
      <c r="E77" s="83" t="n"/>
      <c r="F77" s="83" t="n"/>
    </row>
    <row r="78" ht="15.75" customHeight="1" s="42">
      <c r="A78" s="83" t="n"/>
      <c r="B78" s="83" t="n"/>
      <c r="C78" s="83" t="n"/>
      <c r="D78" s="83" t="n"/>
      <c r="E78" s="83" t="n"/>
      <c r="F78" s="83" t="n"/>
    </row>
    <row r="79" ht="15.75" customHeight="1" s="42">
      <c r="A79" s="83" t="n"/>
      <c r="B79" s="83" t="n"/>
      <c r="C79" s="83" t="n"/>
      <c r="D79" s="83" t="n"/>
      <c r="E79" s="83" t="n"/>
      <c r="F79" s="83" t="n"/>
    </row>
    <row r="80" ht="15.75" customHeight="1" s="42">
      <c r="A80" s="83" t="n"/>
      <c r="B80" s="83" t="n"/>
      <c r="C80" s="83" t="n"/>
      <c r="D80" s="83" t="n"/>
      <c r="E80" s="83" t="n"/>
      <c r="F80" s="83" t="n"/>
    </row>
    <row r="81" ht="15.75" customHeight="1" s="42">
      <c r="A81" s="83" t="n"/>
      <c r="B81" s="83" t="n"/>
      <c r="C81" s="83" t="n"/>
      <c r="D81" s="83" t="n"/>
      <c r="E81" s="83" t="n"/>
      <c r="F81" s="83" t="n"/>
    </row>
    <row r="82" ht="15.75" customHeight="1" s="42">
      <c r="A82" s="83" t="n"/>
      <c r="B82" s="83" t="n"/>
      <c r="C82" s="83" t="n"/>
      <c r="D82" s="83" t="n"/>
      <c r="E82" s="83" t="n"/>
      <c r="F82" s="83" t="n"/>
    </row>
    <row r="83" ht="15.75" customHeight="1" s="42">
      <c r="A83" s="83" t="n"/>
      <c r="B83" s="83" t="n"/>
      <c r="C83" s="83" t="n"/>
      <c r="D83" s="83" t="n"/>
      <c r="E83" s="83" t="n"/>
      <c r="F83" s="83" t="n"/>
    </row>
    <row r="84" ht="15.75" customHeight="1" s="42">
      <c r="A84" s="83" t="n"/>
      <c r="B84" s="83" t="n"/>
      <c r="C84" s="83" t="n"/>
      <c r="D84" s="83" t="n"/>
      <c r="E84" s="83" t="n"/>
      <c r="F84" s="83" t="n"/>
    </row>
    <row r="85" ht="15.75" customHeight="1" s="42">
      <c r="A85" s="83" t="n"/>
      <c r="B85" s="83" t="n"/>
      <c r="C85" s="83" t="n"/>
      <c r="D85" s="83" t="n"/>
      <c r="E85" s="83" t="n"/>
      <c r="F85" s="83" t="n"/>
    </row>
    <row r="86" ht="15.75" customHeight="1" s="42">
      <c r="A86" s="83" t="n"/>
      <c r="B86" s="83" t="n"/>
      <c r="C86" s="83" t="n"/>
      <c r="D86" s="83" t="n"/>
      <c r="E86" s="83" t="n"/>
      <c r="F86" s="83" t="n"/>
    </row>
    <row r="87" ht="15.75" customHeight="1" s="42">
      <c r="A87" s="83" t="n"/>
      <c r="B87" s="83" t="n"/>
      <c r="C87" s="83" t="n"/>
      <c r="D87" s="83" t="n"/>
      <c r="E87" s="83" t="n"/>
      <c r="F87" s="83" t="n"/>
    </row>
    <row r="88" ht="15.75" customHeight="1" s="42">
      <c r="A88" s="83" t="n"/>
      <c r="B88" s="83" t="n"/>
      <c r="C88" s="83" t="n"/>
      <c r="D88" s="83" t="n"/>
      <c r="E88" s="83" t="n"/>
      <c r="F88" s="83" t="n"/>
    </row>
    <row r="89" ht="15.75" customHeight="1" s="42">
      <c r="A89" s="83" t="n"/>
      <c r="B89" s="83" t="n"/>
      <c r="C89" s="83" t="n"/>
      <c r="D89" s="83" t="n"/>
      <c r="E89" s="83" t="n"/>
      <c r="F89" s="83" t="n"/>
    </row>
    <row r="90" ht="15.75" customHeight="1" s="42">
      <c r="A90" s="83" t="n"/>
      <c r="B90" s="83" t="n"/>
      <c r="C90" s="83" t="n"/>
      <c r="D90" s="83" t="n"/>
      <c r="E90" s="83" t="n"/>
      <c r="F90" s="83" t="n"/>
    </row>
    <row r="91" ht="15.75" customHeight="1" s="42">
      <c r="A91" s="83" t="n"/>
      <c r="B91" s="83" t="n"/>
      <c r="C91" s="83" t="n"/>
      <c r="D91" s="83" t="n"/>
      <c r="E91" s="83" t="n"/>
      <c r="F91" s="83" t="n"/>
    </row>
    <row r="92" ht="15.75" customHeight="1" s="42">
      <c r="A92" s="83" t="n"/>
      <c r="B92" s="83" t="n"/>
      <c r="C92" s="83" t="n"/>
      <c r="D92" s="83" t="n"/>
      <c r="E92" s="83" t="n"/>
      <c r="F92" s="83" t="n"/>
    </row>
    <row r="93" ht="15.75" customHeight="1" s="42">
      <c r="A93" s="83" t="n"/>
      <c r="B93" s="83" t="n"/>
      <c r="C93" s="83" t="n"/>
      <c r="D93" s="83" t="n"/>
      <c r="E93" s="83" t="n"/>
      <c r="F93" s="83" t="n"/>
    </row>
    <row r="94" ht="15.75" customHeight="1" s="42">
      <c r="A94" s="83" t="n"/>
      <c r="B94" s="83" t="n"/>
      <c r="C94" s="83" t="n"/>
      <c r="D94" s="83" t="n"/>
      <c r="E94" s="83" t="n"/>
      <c r="F94" s="83" t="n"/>
    </row>
    <row r="95" ht="15.75" customHeight="1" s="42">
      <c r="A95" s="83" t="n"/>
      <c r="B95" s="83" t="n"/>
      <c r="C95" s="83" t="n"/>
      <c r="D95" s="83" t="n"/>
      <c r="E95" s="83" t="n"/>
      <c r="F95" s="83" t="n"/>
    </row>
    <row r="96" ht="15.75" customHeight="1" s="42">
      <c r="A96" s="83" t="n"/>
      <c r="B96" s="83" t="n"/>
      <c r="C96" s="83" t="n"/>
      <c r="D96" s="83" t="n"/>
      <c r="E96" s="83" t="n"/>
      <c r="F96" s="83" t="n"/>
    </row>
    <row r="97" ht="15.75" customHeight="1" s="42">
      <c r="A97" s="83" t="n"/>
      <c r="B97" s="83" t="n"/>
      <c r="C97" s="83" t="n"/>
      <c r="D97" s="83" t="n"/>
      <c r="E97" s="83" t="n"/>
      <c r="F97" s="83" t="n"/>
    </row>
    <row r="98" ht="15.75" customHeight="1" s="42">
      <c r="A98" s="83" t="n"/>
      <c r="B98" s="83" t="n"/>
      <c r="C98" s="83" t="n"/>
      <c r="D98" s="83" t="n"/>
      <c r="E98" s="83" t="n"/>
      <c r="F98" s="83" t="n"/>
    </row>
    <row r="99" ht="15.75" customHeight="1" s="42">
      <c r="A99" s="83" t="n"/>
      <c r="B99" s="83" t="n"/>
      <c r="C99" s="83" t="n"/>
      <c r="D99" s="83" t="n"/>
      <c r="E99" s="83" t="n"/>
      <c r="F99" s="83" t="n"/>
    </row>
    <row r="100" ht="15.75" customHeight="1" s="42">
      <c r="A100" s="83" t="n"/>
      <c r="B100" s="83" t="n"/>
      <c r="C100" s="83" t="n"/>
      <c r="D100" s="83" t="n"/>
      <c r="E100" s="83" t="n"/>
      <c r="F100" s="83" t="n"/>
    </row>
    <row r="101" ht="15.75" customHeight="1" s="42"/>
    <row r="102" ht="15.75" customHeight="1" s="42"/>
    <row r="103" ht="15.75" customHeight="1" s="42"/>
    <row r="104" ht="15.75" customHeight="1" s="42"/>
    <row r="105" ht="15.75" customHeight="1" s="42"/>
    <row r="106" ht="15.75" customHeight="1" s="42"/>
    <row r="107" ht="15.75" customHeight="1" s="42"/>
    <row r="108" ht="15.75" customHeight="1" s="42"/>
    <row r="109" ht="15.75" customHeight="1" s="42"/>
    <row r="110" ht="15.75" customHeight="1" s="42"/>
    <row r="111" ht="15.75" customHeight="1" s="42"/>
    <row r="112" ht="15.75" customHeight="1" s="42"/>
    <row r="113" ht="15.75" customHeight="1" s="42"/>
    <row r="114" ht="15.75" customHeight="1" s="42"/>
    <row r="115" ht="15.75" customHeight="1" s="42"/>
    <row r="116" ht="15.75" customHeight="1" s="42"/>
    <row r="117" ht="15.75" customHeight="1" s="42"/>
    <row r="118" ht="15.75" customHeight="1" s="42"/>
    <row r="119" ht="15.75" customHeight="1" s="42"/>
    <row r="120" ht="15.75" customHeight="1" s="42"/>
    <row r="121" ht="15.75" customHeight="1" s="42"/>
    <row r="122" ht="15.75" customHeight="1" s="42"/>
    <row r="123" ht="15.75" customHeight="1" s="42"/>
    <row r="124" ht="15.75" customHeight="1" s="42"/>
    <row r="125" ht="15.75" customHeight="1" s="42"/>
    <row r="126" ht="15.75" customHeight="1" s="42"/>
    <row r="127" ht="15.75" customHeight="1" s="42"/>
    <row r="128" ht="15.75" customHeight="1" s="42"/>
    <row r="129" ht="15.75" customHeight="1" s="42"/>
    <row r="130" ht="15.75" customHeight="1" s="42"/>
    <row r="131" ht="15.75" customHeight="1" s="42"/>
    <row r="132" ht="15.75" customHeight="1" s="42"/>
    <row r="133" ht="15.75" customHeight="1" s="42"/>
    <row r="134" ht="15.75" customHeight="1" s="42"/>
    <row r="135" ht="15.75" customHeight="1" s="42"/>
    <row r="136" ht="15.75" customHeight="1" s="42"/>
    <row r="137" ht="15.75" customHeight="1" s="42"/>
    <row r="138" ht="15.75" customHeight="1" s="42"/>
    <row r="139" ht="15.75" customHeight="1" s="42"/>
    <row r="140" ht="15.75" customHeight="1" s="42"/>
    <row r="141" ht="15.75" customHeight="1" s="42"/>
    <row r="142" ht="15.75" customHeight="1" s="42"/>
    <row r="143" ht="15.75" customHeight="1" s="42"/>
    <row r="144" ht="15.75" customHeight="1" s="42"/>
    <row r="145" ht="15.75" customHeight="1" s="42"/>
    <row r="146" ht="15.75" customHeight="1" s="42"/>
    <row r="147" ht="15.75" customHeight="1" s="42"/>
    <row r="148" ht="15.75" customHeight="1" s="42"/>
    <row r="149" ht="15.75" customHeight="1" s="42"/>
    <row r="150" ht="15.75" customHeight="1" s="42"/>
    <row r="151" ht="15.75" customHeight="1" s="42"/>
    <row r="152" ht="15.75" customHeight="1" s="42"/>
    <row r="153" ht="15.75" customHeight="1" s="42"/>
    <row r="154" ht="15.75" customHeight="1" s="42"/>
    <row r="155" ht="15.75" customHeight="1" s="42"/>
    <row r="156" ht="15.75" customHeight="1" s="42"/>
    <row r="157" ht="15.75" customHeight="1" s="42"/>
    <row r="158" ht="15.75" customHeight="1" s="42"/>
    <row r="159" ht="15.75" customHeight="1" s="42"/>
    <row r="160" ht="15.75" customHeight="1" s="42"/>
    <row r="161" ht="15.75" customHeight="1" s="42"/>
    <row r="162" ht="15.75" customHeight="1" s="42"/>
    <row r="163" ht="15.75" customHeight="1" s="42"/>
    <row r="164" ht="15.75" customHeight="1" s="42"/>
    <row r="165" ht="15.75" customHeight="1" s="42"/>
    <row r="166" ht="15.75" customHeight="1" s="42"/>
    <row r="167" ht="15.75" customHeight="1" s="42"/>
    <row r="168" ht="15.75" customHeight="1" s="42"/>
    <row r="169" ht="15.75" customHeight="1" s="42"/>
    <row r="170" ht="15.75" customHeight="1" s="42"/>
    <row r="171" ht="15.75" customHeight="1" s="42"/>
    <row r="172" ht="15.75" customHeight="1" s="42"/>
    <row r="173" ht="15.75" customHeight="1" s="42"/>
    <row r="174" ht="15.75" customHeight="1" s="42"/>
    <row r="175" ht="15.75" customHeight="1" s="42"/>
    <row r="176" ht="15.75" customHeight="1" s="42"/>
    <row r="177" ht="15.75" customHeight="1" s="42"/>
    <row r="178" ht="15.75" customHeight="1" s="42"/>
    <row r="179" ht="15.75" customHeight="1" s="42"/>
    <row r="180" ht="15.75" customHeight="1" s="42"/>
    <row r="181" ht="15.75" customHeight="1" s="42"/>
    <row r="182" ht="15.75" customHeight="1" s="42"/>
    <row r="183" ht="15.75" customHeight="1" s="42"/>
    <row r="184" ht="15.75" customHeight="1" s="42"/>
    <row r="185" ht="15.75" customHeight="1" s="42"/>
    <row r="186" ht="15.75" customHeight="1" s="42"/>
    <row r="187" ht="15.75" customHeight="1" s="42"/>
    <row r="188" ht="15.75" customHeight="1" s="42"/>
    <row r="189" ht="15.75" customHeight="1" s="42"/>
    <row r="190" ht="15.75" customHeight="1" s="42"/>
    <row r="191" ht="15.75" customHeight="1" s="42"/>
    <row r="192" ht="15.75" customHeight="1" s="42"/>
    <row r="193" ht="15.75" customHeight="1" s="42"/>
    <row r="194" ht="15.75" customHeight="1" s="42"/>
    <row r="195" ht="15.75" customHeight="1" s="42"/>
    <row r="196" ht="15.75" customHeight="1" s="42"/>
    <row r="197" ht="15.75" customHeight="1" s="42"/>
    <row r="198" ht="15.75" customHeight="1" s="42"/>
    <row r="199" ht="15.75" customHeight="1" s="42"/>
    <row r="200" ht="15.75" customHeight="1" s="42"/>
    <row r="201" ht="15.75" customHeight="1" s="42"/>
    <row r="202" ht="15.75" customHeight="1" s="42"/>
    <row r="203" ht="15.75" customHeight="1" s="42"/>
    <row r="204" ht="15.75" customHeight="1" s="42"/>
    <row r="205" ht="15.75" customHeight="1" s="42"/>
    <row r="206" ht="15.75" customHeight="1" s="42"/>
    <row r="207" ht="15.75" customHeight="1" s="42"/>
    <row r="208" ht="15.75" customHeight="1" s="42"/>
    <row r="209" ht="15.75" customHeight="1" s="42"/>
    <row r="210" ht="15.75" customHeight="1" s="42"/>
    <row r="211" ht="15.75" customHeight="1" s="42"/>
    <row r="212" ht="15.75" customHeight="1" s="42"/>
    <row r="213" ht="15.75" customHeight="1" s="42"/>
    <row r="214" ht="15.75" customHeight="1" s="42"/>
    <row r="215" ht="15.75" customHeight="1" s="42"/>
    <row r="216" ht="15.75" customHeight="1" s="42"/>
    <row r="217" ht="15.75" customHeight="1" s="42"/>
    <row r="218" ht="15.75" customHeight="1" s="42"/>
    <row r="219" ht="15.75" customHeight="1" s="42"/>
    <row r="220" ht="15.75" customHeight="1" s="42"/>
    <row r="221" ht="15.75" customHeight="1" s="42"/>
    <row r="222" ht="15.75" customHeight="1" s="42"/>
    <row r="223" ht="15.75" customHeight="1" s="42"/>
    <row r="224" ht="15.75" customHeight="1" s="42"/>
    <row r="225" ht="15.75" customHeight="1" s="42"/>
    <row r="226" ht="15.75" customHeight="1" s="42"/>
    <row r="227" ht="15.75" customHeight="1" s="42"/>
    <row r="228" ht="15.75" customHeight="1" s="42"/>
    <row r="229" ht="15.75" customHeight="1" s="42"/>
    <row r="230" ht="15.75" customHeight="1" s="42"/>
    <row r="231" ht="15.75" customHeight="1" s="42"/>
    <row r="232" ht="15.75" customHeight="1" s="42"/>
    <row r="233" ht="15.75" customHeight="1" s="42"/>
    <row r="234" ht="15.75" customHeight="1" s="42"/>
    <row r="235" ht="15.75" customHeight="1" s="42"/>
    <row r="236" ht="15.75" customHeight="1" s="42"/>
    <row r="237" ht="15.75" customHeight="1" s="42"/>
    <row r="238" ht="15.75" customHeight="1" s="42"/>
    <row r="239" ht="15.75" customHeight="1" s="42"/>
    <row r="240" ht="15.75" customHeight="1" s="42"/>
    <row r="241" ht="15.75" customHeight="1" s="42"/>
    <row r="242" ht="15.75" customHeight="1" s="42"/>
    <row r="243" ht="15.75" customHeight="1" s="42"/>
    <row r="244" ht="15.75" customHeight="1" s="42"/>
    <row r="245" ht="15.75" customHeight="1" s="42"/>
    <row r="246" ht="15.75" customHeight="1" s="42"/>
    <row r="247" ht="15.75" customHeight="1" s="42"/>
    <row r="248" ht="15.75" customHeight="1" s="42"/>
    <row r="249" ht="15.75" customHeight="1" s="42"/>
    <row r="250" ht="15.75" customHeight="1" s="42"/>
    <row r="251" ht="15.75" customHeight="1" s="42"/>
    <row r="252" ht="15.75" customHeight="1" s="42"/>
    <row r="253" ht="15.75" customHeight="1" s="42"/>
    <row r="254" ht="15.75" customHeight="1" s="42"/>
    <row r="255" ht="15.75" customHeight="1" s="42"/>
    <row r="256" ht="15.75" customHeight="1" s="42"/>
    <row r="257" ht="15.75" customHeight="1" s="42"/>
    <row r="258" ht="15.75" customHeight="1" s="42"/>
    <row r="259" ht="15.75" customHeight="1" s="42"/>
    <row r="260" ht="15.75" customHeight="1" s="42"/>
    <row r="261" ht="15.75" customHeight="1" s="42"/>
    <row r="262" ht="15.75" customHeight="1" s="42"/>
    <row r="263" ht="15.75" customHeight="1" s="42"/>
    <row r="264" ht="15.75" customHeight="1" s="42"/>
    <row r="265" ht="15.75" customHeight="1" s="42"/>
    <row r="266" ht="15.75" customHeight="1" s="42"/>
    <row r="267" ht="15.75" customHeight="1" s="42"/>
    <row r="268" ht="15.75" customHeight="1" s="42"/>
    <row r="269" ht="15.75" customHeight="1" s="42"/>
    <row r="270" ht="15.75" customHeight="1" s="42"/>
    <row r="271" ht="15.75" customHeight="1" s="42"/>
    <row r="272" ht="15.75" customHeight="1" s="42"/>
    <row r="273" ht="15.75" customHeight="1" s="42"/>
    <row r="274" ht="15.75" customHeight="1" s="42"/>
    <row r="275" ht="15.75" customHeight="1" s="42"/>
    <row r="276" ht="15.75" customHeight="1" s="42"/>
    <row r="277" ht="15.75" customHeight="1" s="42"/>
    <row r="278" ht="15.75" customHeight="1" s="42"/>
    <row r="279" ht="15.75" customHeight="1" s="42"/>
    <row r="280" ht="15.75" customHeight="1" s="42"/>
    <row r="281" ht="15.75" customHeight="1" s="42"/>
    <row r="282" ht="15.75" customHeight="1" s="42"/>
    <row r="283" ht="15.75" customHeight="1" s="42"/>
    <row r="284" ht="15.75" customHeight="1" s="42"/>
    <row r="285" ht="15.75" customHeight="1" s="42"/>
    <row r="286" ht="15.75" customHeight="1" s="42"/>
    <row r="287" ht="15.75" customHeight="1" s="42"/>
    <row r="288" ht="15.75" customHeight="1" s="42"/>
    <row r="289" ht="15.75" customHeight="1" s="42"/>
    <row r="290" ht="15.75" customHeight="1" s="42"/>
    <row r="291" ht="15.75" customHeight="1" s="42"/>
    <row r="292" ht="15.75" customHeight="1" s="42"/>
    <row r="293" ht="15.75" customHeight="1" s="42"/>
    <row r="294" ht="15.75" customHeight="1" s="42"/>
    <row r="295" ht="15.75" customHeight="1" s="42"/>
    <row r="296" ht="15.75" customHeight="1" s="42"/>
    <row r="297" ht="15.75" customHeight="1" s="42"/>
    <row r="298" ht="15.75" customHeight="1" s="42"/>
    <row r="299" ht="15.75" customHeight="1" s="42"/>
    <row r="300" ht="15.75" customHeight="1" s="42"/>
    <row r="301" ht="15.75" customHeight="1" s="42"/>
    <row r="302" ht="15.75" customHeight="1" s="42"/>
    <row r="303" ht="15.75" customHeight="1" s="42"/>
    <row r="304" ht="15.75" customHeight="1" s="42"/>
    <row r="305" ht="15.75" customHeight="1" s="42"/>
    <row r="306" ht="15.75" customHeight="1" s="42"/>
    <row r="307" ht="15.75" customHeight="1" s="42"/>
    <row r="308" ht="15.75" customHeight="1" s="42"/>
    <row r="309" ht="15.75" customHeight="1" s="42"/>
    <row r="310" ht="15.75" customHeight="1" s="42"/>
    <row r="311" ht="15.75" customHeight="1" s="42"/>
    <row r="312" ht="15.75" customHeight="1" s="42"/>
    <row r="313" ht="15.75" customHeight="1" s="42"/>
    <row r="314" ht="15.75" customHeight="1" s="42"/>
    <row r="315" ht="15.75" customHeight="1" s="42"/>
    <row r="316" ht="15.75" customHeight="1" s="42"/>
    <row r="317" ht="15.75" customHeight="1" s="42"/>
    <row r="318" ht="15.75" customHeight="1" s="42"/>
    <row r="319" ht="15.75" customHeight="1" s="42"/>
    <row r="320" ht="15.75" customHeight="1" s="42"/>
    <row r="321" ht="15.75" customHeight="1" s="42"/>
    <row r="322" ht="15.75" customHeight="1" s="42"/>
    <row r="323" ht="15.75" customHeight="1" s="42"/>
    <row r="324" ht="15.75" customHeight="1" s="42"/>
    <row r="325" ht="15.75" customHeight="1" s="42"/>
    <row r="326" ht="15.75" customHeight="1" s="42"/>
    <row r="327" ht="15.75" customHeight="1" s="42"/>
    <row r="328" ht="15.75" customHeight="1" s="42"/>
    <row r="329" ht="15.75" customHeight="1" s="42"/>
    <row r="330" ht="15.75" customHeight="1" s="42"/>
    <row r="331" ht="15.75" customHeight="1" s="42"/>
    <row r="332" ht="15.75" customHeight="1" s="42"/>
    <row r="333" ht="15.75" customHeight="1" s="42"/>
    <row r="334" ht="15.75" customHeight="1" s="42"/>
    <row r="335" ht="15.75" customHeight="1" s="42"/>
    <row r="336" ht="15.75" customHeight="1" s="42"/>
    <row r="337" ht="15.75" customHeight="1" s="42"/>
    <row r="338" ht="15.75" customHeight="1" s="42"/>
    <row r="339" ht="15.75" customHeight="1" s="42"/>
    <row r="340" ht="15.75" customHeight="1" s="42"/>
    <row r="341" ht="15.75" customHeight="1" s="42"/>
    <row r="342" ht="15.75" customHeight="1" s="42"/>
    <row r="343" ht="15.75" customHeight="1" s="42"/>
    <row r="344" ht="15.75" customHeight="1" s="42"/>
    <row r="345" ht="15.75" customHeight="1" s="42"/>
    <row r="346" ht="15.75" customHeight="1" s="42"/>
    <row r="347" ht="15.75" customHeight="1" s="42"/>
    <row r="348" ht="15.75" customHeight="1" s="42"/>
    <row r="349" ht="15.75" customHeight="1" s="42"/>
    <row r="350" ht="15.75" customHeight="1" s="42"/>
    <row r="351" ht="15.75" customHeight="1" s="42"/>
    <row r="352" ht="15.75" customHeight="1" s="42"/>
    <row r="353" ht="15.75" customHeight="1" s="42"/>
    <row r="354" ht="15.75" customHeight="1" s="42"/>
    <row r="355" ht="15.75" customHeight="1" s="42"/>
    <row r="356" ht="15.75" customHeight="1" s="42"/>
    <row r="357" ht="15.75" customHeight="1" s="42"/>
    <row r="358" ht="15.75" customHeight="1" s="42"/>
    <row r="359" ht="15.75" customHeight="1" s="42"/>
    <row r="360" ht="15.75" customHeight="1" s="42"/>
    <row r="361" ht="15.75" customHeight="1" s="42"/>
    <row r="362" ht="15.75" customHeight="1" s="42"/>
    <row r="363" ht="15.75" customHeight="1" s="42"/>
    <row r="364" ht="15.75" customHeight="1" s="42"/>
    <row r="365" ht="15.75" customHeight="1" s="42"/>
    <row r="366" ht="15.75" customHeight="1" s="42"/>
    <row r="367" ht="15.75" customHeight="1" s="42"/>
    <row r="368" ht="15.75" customHeight="1" s="42"/>
    <row r="369" ht="15.75" customHeight="1" s="42"/>
    <row r="370" ht="15.75" customHeight="1" s="42"/>
    <row r="371" ht="15.75" customHeight="1" s="42"/>
    <row r="372" ht="15.75" customHeight="1" s="42"/>
    <row r="373" ht="15.75" customHeight="1" s="42"/>
    <row r="374" ht="15.75" customHeight="1" s="42"/>
    <row r="375" ht="15.75" customHeight="1" s="42"/>
    <row r="376" ht="15.75" customHeight="1" s="42"/>
    <row r="377" ht="15.75" customHeight="1" s="42"/>
    <row r="378" ht="15.75" customHeight="1" s="42"/>
    <row r="379" ht="15.75" customHeight="1" s="42"/>
    <row r="380" ht="15.75" customHeight="1" s="42"/>
    <row r="381" ht="15.75" customHeight="1" s="42"/>
    <row r="382" ht="15.75" customHeight="1" s="42"/>
    <row r="383" ht="15.75" customHeight="1" s="42"/>
    <row r="384" ht="15.75" customHeight="1" s="42"/>
    <row r="385" ht="15.75" customHeight="1" s="42"/>
    <row r="386" ht="15.75" customHeight="1" s="42"/>
    <row r="387" ht="15.75" customHeight="1" s="42"/>
    <row r="388" ht="15.75" customHeight="1" s="42"/>
    <row r="389" ht="15.75" customHeight="1" s="42"/>
    <row r="390" ht="15.75" customHeight="1" s="42"/>
    <row r="391" ht="15.75" customHeight="1" s="42"/>
    <row r="392" ht="15.75" customHeight="1" s="42"/>
    <row r="393" ht="15.75" customHeight="1" s="42"/>
    <row r="394" ht="15.75" customHeight="1" s="42"/>
    <row r="395" ht="15.75" customHeight="1" s="42"/>
    <row r="396" ht="15.75" customHeight="1" s="42"/>
    <row r="397" ht="15.75" customHeight="1" s="42"/>
    <row r="398" ht="15.75" customHeight="1" s="42"/>
    <row r="399" ht="15.75" customHeight="1" s="42"/>
    <row r="400" ht="15.75" customHeight="1" s="42"/>
    <row r="401" ht="15.75" customHeight="1" s="42"/>
    <row r="402" ht="15.75" customHeight="1" s="42"/>
    <row r="403" ht="15.75" customHeight="1" s="42"/>
    <row r="404" ht="15.75" customHeight="1" s="42"/>
    <row r="405" ht="15.75" customHeight="1" s="42"/>
    <row r="406" ht="15.75" customHeight="1" s="42"/>
    <row r="407" ht="15.75" customHeight="1" s="42"/>
    <row r="408" ht="15.75" customHeight="1" s="42"/>
    <row r="409" ht="15.75" customHeight="1" s="42"/>
    <row r="410" ht="15.75" customHeight="1" s="42"/>
    <row r="411" ht="15.75" customHeight="1" s="42"/>
    <row r="412" ht="15.75" customHeight="1" s="42"/>
    <row r="413" ht="15.75" customHeight="1" s="42"/>
    <row r="414" ht="15.75" customHeight="1" s="42"/>
    <row r="415" ht="15.75" customHeight="1" s="42"/>
    <row r="416" ht="15.75" customHeight="1" s="42"/>
    <row r="417" ht="15.75" customHeight="1" s="42"/>
    <row r="418" ht="15.75" customHeight="1" s="42"/>
    <row r="419" ht="15.75" customHeight="1" s="42"/>
    <row r="420" ht="15.75" customHeight="1" s="42"/>
    <row r="421" ht="15.75" customHeight="1" s="42"/>
    <row r="422" ht="15.75" customHeight="1" s="42"/>
    <row r="423" ht="15.75" customHeight="1" s="42"/>
    <row r="424" ht="15.75" customHeight="1" s="42"/>
    <row r="425" ht="15.75" customHeight="1" s="42"/>
    <row r="426" ht="15.75" customHeight="1" s="42"/>
    <row r="427" ht="15.75" customHeight="1" s="42"/>
    <row r="428" ht="15.75" customHeight="1" s="42"/>
    <row r="429" ht="15.75" customHeight="1" s="42"/>
    <row r="430" ht="15.75" customHeight="1" s="42"/>
    <row r="431" ht="15.75" customHeight="1" s="42"/>
    <row r="432" ht="15.75" customHeight="1" s="42"/>
    <row r="433" ht="15.75" customHeight="1" s="42"/>
    <row r="434" ht="15.75" customHeight="1" s="42"/>
    <row r="435" ht="15.75" customHeight="1" s="42"/>
    <row r="436" ht="15.75" customHeight="1" s="42"/>
    <row r="437" ht="15.75" customHeight="1" s="42"/>
    <row r="438" ht="15.75" customHeight="1" s="42"/>
    <row r="439" ht="15.75" customHeight="1" s="42"/>
    <row r="440" ht="15.75" customHeight="1" s="42"/>
    <row r="441" ht="15.75" customHeight="1" s="42"/>
    <row r="442" ht="15.75" customHeight="1" s="42"/>
    <row r="443" ht="15.75" customHeight="1" s="42"/>
    <row r="444" ht="15.75" customHeight="1" s="42"/>
    <row r="445" ht="15.75" customHeight="1" s="42"/>
    <row r="446" ht="15.75" customHeight="1" s="42"/>
    <row r="447" ht="15.75" customHeight="1" s="42"/>
    <row r="448" ht="15.75" customHeight="1" s="42"/>
    <row r="449" ht="15.75" customHeight="1" s="42"/>
    <row r="450" ht="15.75" customHeight="1" s="42"/>
    <row r="451" ht="15.75" customHeight="1" s="42"/>
    <row r="452" ht="15.75" customHeight="1" s="42"/>
    <row r="453" ht="15.75" customHeight="1" s="42"/>
    <row r="454" ht="15.75" customHeight="1" s="42"/>
    <row r="455" ht="15.75" customHeight="1" s="42"/>
    <row r="456" ht="15.75" customHeight="1" s="42"/>
    <row r="457" ht="15.75" customHeight="1" s="42"/>
    <row r="458" ht="15.75" customHeight="1" s="42"/>
    <row r="459" ht="15.75" customHeight="1" s="42"/>
    <row r="460" ht="15.75" customHeight="1" s="42"/>
    <row r="461" ht="15.75" customHeight="1" s="42"/>
    <row r="462" ht="15.75" customHeight="1" s="42"/>
    <row r="463" ht="15.75" customHeight="1" s="42"/>
    <row r="464" ht="15.75" customHeight="1" s="42"/>
    <row r="465" ht="15.75" customHeight="1" s="42"/>
    <row r="466" ht="15.75" customHeight="1" s="42"/>
    <row r="467" ht="15.75" customHeight="1" s="42"/>
    <row r="468" ht="15.75" customHeight="1" s="42"/>
    <row r="469" ht="15.75" customHeight="1" s="42"/>
    <row r="470" ht="15.75" customHeight="1" s="42"/>
    <row r="471" ht="15.75" customHeight="1" s="42"/>
    <row r="472" ht="15.75" customHeight="1" s="42"/>
    <row r="473" ht="15.75" customHeight="1" s="42"/>
    <row r="474" ht="15.75" customHeight="1" s="42"/>
    <row r="475" ht="15.75" customHeight="1" s="42"/>
    <row r="476" ht="15.75" customHeight="1" s="42"/>
    <row r="477" ht="15.75" customHeight="1" s="42"/>
    <row r="478" ht="15.75" customHeight="1" s="42"/>
    <row r="479" ht="15.75" customHeight="1" s="42"/>
    <row r="480" ht="15.75" customHeight="1" s="42"/>
    <row r="481" ht="15.75" customHeight="1" s="42"/>
    <row r="482" ht="15.75" customHeight="1" s="42"/>
    <row r="483" ht="15.75" customHeight="1" s="42"/>
    <row r="484" ht="15.75" customHeight="1" s="42"/>
    <row r="485" ht="15.75" customHeight="1" s="42"/>
    <row r="486" ht="15.75" customHeight="1" s="42"/>
    <row r="487" ht="15.75" customHeight="1" s="42"/>
    <row r="488" ht="15.75" customHeight="1" s="42"/>
    <row r="489" ht="15.75" customHeight="1" s="42"/>
    <row r="490" ht="15.75" customHeight="1" s="42"/>
    <row r="491" ht="15.75" customHeight="1" s="42"/>
    <row r="492" ht="15.75" customHeight="1" s="42"/>
    <row r="493" ht="15.75" customHeight="1" s="42"/>
    <row r="494" ht="15.75" customHeight="1" s="42"/>
    <row r="495" ht="15.75" customHeight="1" s="42"/>
    <row r="496" ht="15.75" customHeight="1" s="42"/>
    <row r="497" ht="15.75" customHeight="1" s="42"/>
    <row r="498" ht="15.75" customHeight="1" s="42"/>
    <row r="499" ht="15.75" customHeight="1" s="42"/>
    <row r="500" ht="15.75" customHeight="1" s="42"/>
    <row r="501" ht="15.75" customHeight="1" s="42"/>
    <row r="502" ht="15.75" customHeight="1" s="42"/>
    <row r="503" ht="15.75" customHeight="1" s="42"/>
    <row r="504" ht="15.75" customHeight="1" s="42"/>
    <row r="505" ht="15.75" customHeight="1" s="42"/>
    <row r="506" ht="15.75" customHeight="1" s="42"/>
    <row r="507" ht="15.75" customHeight="1" s="42"/>
    <row r="508" ht="15.75" customHeight="1" s="42"/>
    <row r="509" ht="15.75" customHeight="1" s="42"/>
    <row r="510" ht="15.75" customHeight="1" s="42"/>
    <row r="511" ht="15.75" customHeight="1" s="42"/>
    <row r="512" ht="15.75" customHeight="1" s="42"/>
    <row r="513" ht="15.75" customHeight="1" s="42"/>
    <row r="514" ht="15.75" customHeight="1" s="42"/>
    <row r="515" ht="15.75" customHeight="1" s="42"/>
    <row r="516" ht="15.75" customHeight="1" s="42"/>
    <row r="517" ht="15.75" customHeight="1" s="42"/>
    <row r="518" ht="15.75" customHeight="1" s="42"/>
    <row r="519" ht="15.75" customHeight="1" s="42"/>
    <row r="520" ht="15.75" customHeight="1" s="42"/>
    <row r="521" ht="15.75" customHeight="1" s="42"/>
    <row r="522" ht="15.75" customHeight="1" s="42"/>
    <row r="523" ht="15.75" customHeight="1" s="42"/>
    <row r="524" ht="15.75" customHeight="1" s="42"/>
    <row r="525" ht="15.75" customHeight="1" s="42"/>
    <row r="526" ht="15.75" customHeight="1" s="42"/>
    <row r="527" ht="15.75" customHeight="1" s="42"/>
    <row r="528" ht="15.75" customHeight="1" s="42"/>
    <row r="529" ht="15.75" customHeight="1" s="42"/>
    <row r="530" ht="15.75" customHeight="1" s="42"/>
    <row r="531" ht="15.75" customHeight="1" s="42"/>
    <row r="532" ht="15.75" customHeight="1" s="42"/>
    <row r="533" ht="15.75" customHeight="1" s="42"/>
    <row r="534" ht="15.75" customHeight="1" s="42"/>
    <row r="535" ht="15.75" customHeight="1" s="42"/>
    <row r="536" ht="15.75" customHeight="1" s="42"/>
    <row r="537" ht="15.75" customHeight="1" s="42"/>
    <row r="538" ht="15.75" customHeight="1" s="42"/>
    <row r="539" ht="15.75" customHeight="1" s="42"/>
    <row r="540" ht="15.75" customHeight="1" s="42"/>
    <row r="541" ht="15.75" customHeight="1" s="42"/>
    <row r="542" ht="15.75" customHeight="1" s="42"/>
    <row r="543" ht="15.75" customHeight="1" s="42"/>
    <row r="544" ht="15.75" customHeight="1" s="42"/>
    <row r="545" ht="15.75" customHeight="1" s="42"/>
    <row r="546" ht="15.75" customHeight="1" s="42"/>
    <row r="547" ht="15.75" customHeight="1" s="42"/>
    <row r="548" ht="15.75" customHeight="1" s="42"/>
    <row r="549" ht="15.75" customHeight="1" s="42"/>
    <row r="550" ht="15.75" customHeight="1" s="42"/>
    <row r="551" ht="15.75" customHeight="1" s="42"/>
    <row r="552" ht="15.75" customHeight="1" s="42"/>
    <row r="553" ht="15.75" customHeight="1" s="42"/>
    <row r="554" ht="15.75" customHeight="1" s="42"/>
    <row r="555" ht="15.75" customHeight="1" s="42"/>
    <row r="556" ht="15.75" customHeight="1" s="42"/>
    <row r="557" ht="15.75" customHeight="1" s="42"/>
    <row r="558" ht="15.75" customHeight="1" s="42"/>
    <row r="559" ht="15.75" customHeight="1" s="42"/>
    <row r="560" ht="15.75" customHeight="1" s="42"/>
    <row r="561" ht="15.75" customHeight="1" s="42"/>
    <row r="562" ht="15.75" customHeight="1" s="42"/>
    <row r="563" ht="15.75" customHeight="1" s="42"/>
    <row r="564" ht="15.75" customHeight="1" s="42"/>
    <row r="565" ht="15.75" customHeight="1" s="42"/>
    <row r="566" ht="15.75" customHeight="1" s="42"/>
    <row r="567" ht="15.75" customHeight="1" s="42"/>
    <row r="568" ht="15.75" customHeight="1" s="42"/>
    <row r="569" ht="15.75" customHeight="1" s="42"/>
    <row r="570" ht="15.75" customHeight="1" s="42"/>
    <row r="571" ht="15.75" customHeight="1" s="42"/>
    <row r="572" ht="15.75" customHeight="1" s="42"/>
    <row r="573" ht="15.75" customHeight="1" s="42"/>
    <row r="574" ht="15.75" customHeight="1" s="42"/>
    <row r="575" ht="15.75" customHeight="1" s="42"/>
    <row r="576" ht="15.75" customHeight="1" s="42"/>
    <row r="577" ht="15.75" customHeight="1" s="42"/>
    <row r="578" ht="15.75" customHeight="1" s="42"/>
    <row r="579" ht="15.75" customHeight="1" s="42"/>
    <row r="580" ht="15.75" customHeight="1" s="42"/>
    <row r="581" ht="15.75" customHeight="1" s="42"/>
    <row r="582" ht="15.75" customHeight="1" s="42"/>
    <row r="583" ht="15.75" customHeight="1" s="42"/>
    <row r="584" ht="15.75" customHeight="1" s="42"/>
    <row r="585" ht="15.75" customHeight="1" s="42"/>
    <row r="586" ht="15.75" customHeight="1" s="42"/>
    <row r="587" ht="15.75" customHeight="1" s="42"/>
    <row r="588" ht="15.75" customHeight="1" s="42"/>
    <row r="589" ht="15.75" customHeight="1" s="42"/>
    <row r="590" ht="15.75" customHeight="1" s="42"/>
    <row r="591" ht="15.75" customHeight="1" s="42"/>
    <row r="592" ht="15.75" customHeight="1" s="42"/>
    <row r="593" ht="15.75" customHeight="1" s="42"/>
    <row r="594" ht="15.75" customHeight="1" s="42"/>
    <row r="595" ht="15.75" customHeight="1" s="42"/>
    <row r="596" ht="15.75" customHeight="1" s="42"/>
    <row r="597" ht="15.75" customHeight="1" s="42"/>
    <row r="598" ht="15.75" customHeight="1" s="42"/>
    <row r="599" ht="15.75" customHeight="1" s="42"/>
    <row r="600" ht="15.75" customHeight="1" s="42"/>
    <row r="601" ht="15.75" customHeight="1" s="42"/>
    <row r="602" ht="15.75" customHeight="1" s="42"/>
    <row r="603" ht="15.75" customHeight="1" s="42"/>
    <row r="604" ht="15.75" customHeight="1" s="42"/>
    <row r="605" ht="15.75" customHeight="1" s="42"/>
    <row r="606" ht="15.75" customHeight="1" s="42"/>
    <row r="607" ht="15.75" customHeight="1" s="42"/>
    <row r="608" ht="15.75" customHeight="1" s="42"/>
    <row r="609" ht="15.75" customHeight="1" s="42"/>
    <row r="610" ht="15.75" customHeight="1" s="42"/>
    <row r="611" ht="15.75" customHeight="1" s="42"/>
    <row r="612" ht="15.75" customHeight="1" s="42"/>
    <row r="613" ht="15.75" customHeight="1" s="42"/>
    <row r="614" ht="15.75" customHeight="1" s="42"/>
    <row r="615" ht="15.75" customHeight="1" s="42"/>
    <row r="616" ht="15.75" customHeight="1" s="42"/>
    <row r="617" ht="15.75" customHeight="1" s="42"/>
    <row r="618" ht="15.75" customHeight="1" s="42"/>
    <row r="619" ht="15.75" customHeight="1" s="42"/>
    <row r="620" ht="15.75" customHeight="1" s="42"/>
    <row r="621" ht="15.75" customHeight="1" s="42"/>
    <row r="622" ht="15.75" customHeight="1" s="42"/>
    <row r="623" ht="15.75" customHeight="1" s="42"/>
    <row r="624" ht="15.75" customHeight="1" s="42"/>
    <row r="625" ht="15.75" customHeight="1" s="42"/>
    <row r="626" ht="15.75" customHeight="1" s="42"/>
    <row r="627" ht="15.75" customHeight="1" s="42"/>
    <row r="628" ht="15.75" customHeight="1" s="42"/>
    <row r="629" ht="15.75" customHeight="1" s="42"/>
    <row r="630" ht="15.75" customHeight="1" s="42"/>
    <row r="631" ht="15.75" customHeight="1" s="42"/>
    <row r="632" ht="15.75" customHeight="1" s="42"/>
    <row r="633" ht="15.75" customHeight="1" s="42"/>
    <row r="634" ht="15.75" customHeight="1" s="42"/>
    <row r="635" ht="15.75" customHeight="1" s="42"/>
    <row r="636" ht="15.75" customHeight="1" s="42"/>
    <row r="637" ht="15.75" customHeight="1" s="42"/>
    <row r="638" ht="15.75" customHeight="1" s="42"/>
    <row r="639" ht="15.75" customHeight="1" s="42"/>
    <row r="640" ht="15.75" customHeight="1" s="42"/>
    <row r="641" ht="15.75" customHeight="1" s="42"/>
    <row r="642" ht="15.75" customHeight="1" s="42"/>
    <row r="643" ht="15.75" customHeight="1" s="42"/>
    <row r="644" ht="15.75" customHeight="1" s="42"/>
    <row r="645" ht="15.75" customHeight="1" s="42"/>
    <row r="646" ht="15.75" customHeight="1" s="42"/>
    <row r="647" ht="15.75" customHeight="1" s="42"/>
    <row r="648" ht="15.75" customHeight="1" s="42"/>
    <row r="649" ht="15.75" customHeight="1" s="42"/>
    <row r="650" ht="15.75" customHeight="1" s="42"/>
    <row r="651" ht="15.75" customHeight="1" s="42"/>
    <row r="652" ht="15.75" customHeight="1" s="42"/>
    <row r="653" ht="15.75" customHeight="1" s="42"/>
    <row r="654" ht="15.75" customHeight="1" s="42"/>
    <row r="655" ht="15.75" customHeight="1" s="42"/>
    <row r="656" ht="15.75" customHeight="1" s="42"/>
    <row r="657" ht="15.75" customHeight="1" s="42"/>
    <row r="658" ht="15.75" customHeight="1" s="42"/>
    <row r="659" ht="15.75" customHeight="1" s="42"/>
    <row r="660" ht="15.75" customHeight="1" s="42"/>
    <row r="661" ht="15.75" customHeight="1" s="42"/>
    <row r="662" ht="15.75" customHeight="1" s="42"/>
    <row r="663" ht="15.75" customHeight="1" s="42"/>
    <row r="664" ht="15.75" customHeight="1" s="42"/>
    <row r="665" ht="15.75" customHeight="1" s="42"/>
    <row r="666" ht="15.75" customHeight="1" s="42"/>
    <row r="667" ht="15.75" customHeight="1" s="42"/>
    <row r="668" ht="15.75" customHeight="1" s="42"/>
    <row r="669" ht="15.75" customHeight="1" s="42"/>
    <row r="670" ht="15.75" customHeight="1" s="42"/>
    <row r="671" ht="15.75" customHeight="1" s="42"/>
    <row r="672" ht="15.75" customHeight="1" s="42"/>
    <row r="673" ht="15.75" customHeight="1" s="42"/>
    <row r="674" ht="15.75" customHeight="1" s="42"/>
    <row r="675" ht="15.75" customHeight="1" s="42"/>
    <row r="676" ht="15.75" customHeight="1" s="42"/>
    <row r="677" ht="15.75" customHeight="1" s="42"/>
    <row r="678" ht="15.75" customHeight="1" s="42"/>
    <row r="679" ht="15.75" customHeight="1" s="42"/>
    <row r="680" ht="15.75" customHeight="1" s="42"/>
    <row r="681" ht="15.75" customHeight="1" s="42"/>
    <row r="682" ht="15.75" customHeight="1" s="42"/>
    <row r="683" ht="15.75" customHeight="1" s="42"/>
    <row r="684" ht="15.75" customHeight="1" s="42"/>
    <row r="685" ht="15.75" customHeight="1" s="42"/>
    <row r="686" ht="15.75" customHeight="1" s="42"/>
    <row r="687" ht="15.75" customHeight="1" s="42"/>
    <row r="688" ht="15.75" customHeight="1" s="42"/>
    <row r="689" ht="15.75" customHeight="1" s="42"/>
    <row r="690" ht="15.75" customHeight="1" s="42"/>
    <row r="691" ht="15.75" customHeight="1" s="42"/>
    <row r="692" ht="15.75" customHeight="1" s="42"/>
    <row r="693" ht="15.75" customHeight="1" s="42"/>
    <row r="694" ht="15.75" customHeight="1" s="42"/>
    <row r="695" ht="15.75" customHeight="1" s="42"/>
    <row r="696" ht="15.75" customHeight="1" s="42"/>
    <row r="697" ht="15.75" customHeight="1" s="42"/>
    <row r="698" ht="15.75" customHeight="1" s="42"/>
    <row r="699" ht="15.75" customHeight="1" s="42"/>
    <row r="700" ht="15.75" customHeight="1" s="42"/>
    <row r="701" ht="15.75" customHeight="1" s="42"/>
    <row r="702" ht="15.75" customHeight="1" s="42"/>
    <row r="703" ht="15.75" customHeight="1" s="42"/>
    <row r="704" ht="15.75" customHeight="1" s="42"/>
    <row r="705" ht="15.75" customHeight="1" s="42"/>
    <row r="706" ht="15.75" customHeight="1" s="42"/>
    <row r="707" ht="15.75" customHeight="1" s="42"/>
    <row r="708" ht="15.75" customHeight="1" s="42"/>
    <row r="709" ht="15.75" customHeight="1" s="42"/>
    <row r="710" ht="15.75" customHeight="1" s="42"/>
    <row r="711" ht="15.75" customHeight="1" s="42"/>
    <row r="712" ht="15.75" customHeight="1" s="42"/>
    <row r="713" ht="15.75" customHeight="1" s="42"/>
    <row r="714" ht="15.75" customHeight="1" s="42"/>
    <row r="715" ht="15.75" customHeight="1" s="42"/>
    <row r="716" ht="15.75" customHeight="1" s="42"/>
    <row r="717" ht="15.75" customHeight="1" s="42"/>
    <row r="718" ht="15.75" customHeight="1" s="42"/>
    <row r="719" ht="15.75" customHeight="1" s="42"/>
    <row r="720" ht="15.75" customHeight="1" s="42"/>
    <row r="721" ht="15.75" customHeight="1" s="42"/>
    <row r="722" ht="15.75" customHeight="1" s="42"/>
    <row r="723" ht="15.75" customHeight="1" s="42"/>
    <row r="724" ht="15.75" customHeight="1" s="42"/>
    <row r="725" ht="15.75" customHeight="1" s="42"/>
    <row r="726" ht="15.75" customHeight="1" s="42"/>
    <row r="727" ht="15.75" customHeight="1" s="42"/>
    <row r="728" ht="15.75" customHeight="1" s="42"/>
    <row r="729" ht="15.75" customHeight="1" s="42"/>
    <row r="730" ht="15.75" customHeight="1" s="42"/>
    <row r="731" ht="15.75" customHeight="1" s="42"/>
    <row r="732" ht="15.75" customHeight="1" s="42"/>
    <row r="733" ht="15.75" customHeight="1" s="42"/>
    <row r="734" ht="15.75" customHeight="1" s="42"/>
    <row r="735" ht="15.75" customHeight="1" s="42"/>
    <row r="736" ht="15.75" customHeight="1" s="42"/>
    <row r="737" ht="15.75" customHeight="1" s="42"/>
    <row r="738" ht="15.75" customHeight="1" s="42"/>
    <row r="739" ht="15.75" customHeight="1" s="42"/>
    <row r="740" ht="15.75" customHeight="1" s="42"/>
    <row r="741" ht="15.75" customHeight="1" s="42"/>
    <row r="742" ht="15.75" customHeight="1" s="42"/>
    <row r="743" ht="15.75" customHeight="1" s="42"/>
    <row r="744" ht="15.75" customHeight="1" s="42"/>
    <row r="745" ht="15.75" customHeight="1" s="42"/>
    <row r="746" ht="15.75" customHeight="1" s="42"/>
    <row r="747" ht="15.75" customHeight="1" s="42"/>
    <row r="748" ht="15.75" customHeight="1" s="42"/>
    <row r="749" ht="15.75" customHeight="1" s="42"/>
    <row r="750" ht="15.75" customHeight="1" s="42"/>
    <row r="751" ht="15.75" customHeight="1" s="42"/>
    <row r="752" ht="15.75" customHeight="1" s="42"/>
    <row r="753" ht="15.75" customHeight="1" s="42"/>
    <row r="754" ht="15.75" customHeight="1" s="42"/>
    <row r="755" ht="15.75" customHeight="1" s="42"/>
    <row r="756" ht="15.75" customHeight="1" s="42"/>
    <row r="757" ht="15.75" customHeight="1" s="42"/>
    <row r="758" ht="15.75" customHeight="1" s="42"/>
    <row r="759" ht="15.75" customHeight="1" s="42"/>
    <row r="760" ht="15.75" customHeight="1" s="42"/>
    <row r="761" ht="15.75" customHeight="1" s="42"/>
    <row r="762" ht="15.75" customHeight="1" s="42"/>
    <row r="763" ht="15.75" customHeight="1" s="42"/>
    <row r="764" ht="15.75" customHeight="1" s="42"/>
    <row r="765" ht="15.75" customHeight="1" s="42"/>
    <row r="766" ht="15.75" customHeight="1" s="42"/>
    <row r="767" ht="15.75" customHeight="1" s="42"/>
    <row r="768" ht="15.75" customHeight="1" s="42"/>
    <row r="769" ht="15.75" customHeight="1" s="42"/>
    <row r="770" ht="15.75" customHeight="1" s="42"/>
    <row r="771" ht="15.75" customHeight="1" s="42"/>
    <row r="772" ht="15.75" customHeight="1" s="42"/>
    <row r="773" ht="15.75" customHeight="1" s="42"/>
    <row r="774" ht="15.75" customHeight="1" s="42"/>
    <row r="775" ht="15.75" customHeight="1" s="42"/>
    <row r="776" ht="15.75" customHeight="1" s="42"/>
    <row r="777" ht="15.75" customHeight="1" s="42"/>
    <row r="778" ht="15.75" customHeight="1" s="42"/>
    <row r="779" ht="15.75" customHeight="1" s="42"/>
    <row r="780" ht="15.75" customHeight="1" s="42"/>
    <row r="781" ht="15.75" customHeight="1" s="42"/>
    <row r="782" ht="15.75" customHeight="1" s="42"/>
    <row r="783" ht="15.75" customHeight="1" s="42"/>
    <row r="784" ht="15.75" customHeight="1" s="42"/>
    <row r="785" ht="15.75" customHeight="1" s="42"/>
    <row r="786" ht="15.75" customHeight="1" s="42"/>
    <row r="787" ht="15.75" customHeight="1" s="42"/>
    <row r="788" ht="15.75" customHeight="1" s="42"/>
    <row r="789" ht="15.75" customHeight="1" s="42"/>
    <row r="790" ht="15.75" customHeight="1" s="42"/>
    <row r="791" ht="15.75" customHeight="1" s="42"/>
    <row r="792" ht="15.75" customHeight="1" s="42"/>
    <row r="793" ht="15.75" customHeight="1" s="42"/>
    <row r="794" ht="15.75" customHeight="1" s="42"/>
    <row r="795" ht="15.75" customHeight="1" s="42"/>
    <row r="796" ht="15.75" customHeight="1" s="42"/>
    <row r="797" ht="15.75" customHeight="1" s="42"/>
    <row r="798" ht="15.75" customHeight="1" s="42"/>
    <row r="799" ht="15.75" customHeight="1" s="42"/>
    <row r="800" ht="15.75" customHeight="1" s="42"/>
    <row r="801" ht="15.75" customHeight="1" s="42"/>
    <row r="802" ht="15.75" customHeight="1" s="42"/>
    <row r="803" ht="15.75" customHeight="1" s="42"/>
    <row r="804" ht="15.75" customHeight="1" s="42"/>
    <row r="805" ht="15.75" customHeight="1" s="42"/>
    <row r="806" ht="15.75" customHeight="1" s="42"/>
    <row r="807" ht="15.75" customHeight="1" s="42"/>
    <row r="808" ht="15.75" customHeight="1" s="42"/>
    <row r="809" ht="15.75" customHeight="1" s="42"/>
    <row r="810" ht="15.75" customHeight="1" s="42"/>
    <row r="811" ht="15.75" customHeight="1" s="42"/>
    <row r="812" ht="15.75" customHeight="1" s="42"/>
    <row r="813" ht="15.75" customHeight="1" s="42"/>
    <row r="814" ht="15.75" customHeight="1" s="42"/>
    <row r="815" ht="15.75" customHeight="1" s="42"/>
    <row r="816" ht="15.75" customHeight="1" s="42"/>
    <row r="817" ht="15.75" customHeight="1" s="42"/>
    <row r="818" ht="15.75" customHeight="1" s="42"/>
    <row r="819" ht="15.75" customHeight="1" s="42"/>
    <row r="820" ht="15.75" customHeight="1" s="42"/>
    <row r="821" ht="15.75" customHeight="1" s="42"/>
    <row r="822" ht="15.75" customHeight="1" s="42"/>
    <row r="823" ht="15.75" customHeight="1" s="42"/>
    <row r="824" ht="15.75" customHeight="1" s="42"/>
    <row r="825" ht="15.75" customHeight="1" s="42"/>
    <row r="826" ht="15.75" customHeight="1" s="42"/>
    <row r="827" ht="15.75" customHeight="1" s="42"/>
    <row r="828" ht="15.75" customHeight="1" s="42"/>
    <row r="829" ht="15.75" customHeight="1" s="42"/>
    <row r="830" ht="15.75" customHeight="1" s="42"/>
    <row r="831" ht="15.75" customHeight="1" s="42"/>
    <row r="832" ht="15.75" customHeight="1" s="42"/>
    <row r="833" ht="15.75" customHeight="1" s="42"/>
    <row r="834" ht="15.75" customHeight="1" s="42"/>
    <row r="835" ht="15.75" customHeight="1" s="42"/>
    <row r="836" ht="15.75" customHeight="1" s="42"/>
    <row r="837" ht="15.75" customHeight="1" s="42"/>
    <row r="838" ht="15.75" customHeight="1" s="42"/>
    <row r="839" ht="15.75" customHeight="1" s="42"/>
    <row r="840" ht="15.75" customHeight="1" s="42"/>
    <row r="841" ht="15.75" customHeight="1" s="42"/>
    <row r="842" ht="15.75" customHeight="1" s="42"/>
    <row r="843" ht="15.75" customHeight="1" s="42"/>
    <row r="844" ht="15.75" customHeight="1" s="42"/>
    <row r="845" ht="15.75" customHeight="1" s="42"/>
    <row r="846" ht="15.75" customHeight="1" s="42"/>
    <row r="847" ht="15.75" customHeight="1" s="42"/>
    <row r="848" ht="15.75" customHeight="1" s="42"/>
    <row r="849" ht="15.75" customHeight="1" s="42"/>
    <row r="850" ht="15.75" customHeight="1" s="42"/>
    <row r="851" ht="15.75" customHeight="1" s="42"/>
    <row r="852" ht="15.75" customHeight="1" s="42"/>
    <row r="853" ht="15.75" customHeight="1" s="42"/>
    <row r="854" ht="15.75" customHeight="1" s="42"/>
    <row r="855" ht="15.75" customHeight="1" s="42"/>
    <row r="856" ht="15.75" customHeight="1" s="42"/>
    <row r="857" ht="15.75" customHeight="1" s="42"/>
    <row r="858" ht="15.75" customHeight="1" s="42"/>
    <row r="859" ht="15.75" customHeight="1" s="42"/>
    <row r="860" ht="15.75" customHeight="1" s="42"/>
    <row r="861" ht="15.75" customHeight="1" s="42"/>
    <row r="862" ht="15.75" customHeight="1" s="42"/>
    <row r="863" ht="15.75" customHeight="1" s="42"/>
    <row r="864" ht="15.75" customHeight="1" s="42"/>
    <row r="865" ht="15.75" customHeight="1" s="42"/>
    <row r="866" ht="15.75" customHeight="1" s="42"/>
    <row r="867" ht="15.75" customHeight="1" s="42"/>
    <row r="868" ht="15.75" customHeight="1" s="42"/>
    <row r="869" ht="15.75" customHeight="1" s="42"/>
    <row r="870" ht="15.75" customHeight="1" s="42"/>
    <row r="871" ht="15.75" customHeight="1" s="42"/>
    <row r="872" ht="15.75" customHeight="1" s="42"/>
    <row r="873" ht="15.75" customHeight="1" s="42"/>
    <row r="874" ht="15.75" customHeight="1" s="42"/>
    <row r="875" ht="15.75" customHeight="1" s="42"/>
    <row r="876" ht="15.75" customHeight="1" s="42"/>
    <row r="877" ht="15.75" customHeight="1" s="42"/>
    <row r="878" ht="15.75" customHeight="1" s="42"/>
    <row r="879" ht="15.75" customHeight="1" s="42"/>
    <row r="880" ht="15.75" customHeight="1" s="42"/>
    <row r="881" ht="15.75" customHeight="1" s="42"/>
    <row r="882" ht="15.75" customHeight="1" s="42"/>
    <row r="883" ht="15.75" customHeight="1" s="42"/>
    <row r="884" ht="15.75" customHeight="1" s="42"/>
    <row r="885" ht="15.75" customHeight="1" s="42"/>
    <row r="886" ht="15.75" customHeight="1" s="42"/>
    <row r="887" ht="15.75" customHeight="1" s="42"/>
    <row r="888" ht="15.75" customHeight="1" s="42"/>
    <row r="889" ht="15.75" customHeight="1" s="42"/>
    <row r="890" ht="15.75" customHeight="1" s="42"/>
    <row r="891" ht="15.75" customHeight="1" s="42"/>
    <row r="892" ht="15.75" customHeight="1" s="42"/>
    <row r="893" ht="15.75" customHeight="1" s="42"/>
    <row r="894" ht="15.75" customHeight="1" s="42"/>
    <row r="895" ht="15.75" customHeight="1" s="42"/>
    <row r="896" ht="15.75" customHeight="1" s="42"/>
    <row r="897" ht="15.75" customHeight="1" s="42"/>
    <row r="898" ht="15.75" customHeight="1" s="42"/>
    <row r="899" ht="15.75" customHeight="1" s="42"/>
    <row r="900" ht="15.75" customHeight="1" s="42"/>
    <row r="901" ht="15.75" customHeight="1" s="42"/>
    <row r="902" ht="15.75" customHeight="1" s="42"/>
    <row r="903" ht="15.75" customHeight="1" s="42"/>
    <row r="904" ht="15.75" customHeight="1" s="42"/>
    <row r="905" ht="15.75" customHeight="1" s="42"/>
    <row r="906" ht="15.75" customHeight="1" s="42"/>
    <row r="907" ht="15.75" customHeight="1" s="42"/>
    <row r="908" ht="15.75" customHeight="1" s="42"/>
    <row r="909" ht="15.75" customHeight="1" s="42"/>
    <row r="910" ht="15.75" customHeight="1" s="42"/>
    <row r="911" ht="15.75" customHeight="1" s="42"/>
    <row r="912" ht="15.75" customHeight="1" s="42"/>
    <row r="913" ht="15.75" customHeight="1" s="42"/>
    <row r="914" ht="15.75" customHeight="1" s="42"/>
    <row r="915" ht="15.75" customHeight="1" s="42"/>
    <row r="916" ht="15.75" customHeight="1" s="42"/>
    <row r="917" ht="15.75" customHeight="1" s="42"/>
    <row r="918" ht="15.75" customHeight="1" s="42"/>
    <row r="919" ht="15.75" customHeight="1" s="42"/>
    <row r="920" ht="15.75" customHeight="1" s="42"/>
    <row r="921" ht="15.75" customHeight="1" s="42"/>
    <row r="922" ht="15.75" customHeight="1" s="42"/>
    <row r="923" ht="15.75" customHeight="1" s="42"/>
    <row r="924" ht="15.75" customHeight="1" s="42"/>
    <row r="925" ht="15.75" customHeight="1" s="42"/>
    <row r="926" ht="15.75" customHeight="1" s="42"/>
    <row r="927" ht="15.75" customHeight="1" s="42"/>
    <row r="928" ht="15.75" customHeight="1" s="42"/>
    <row r="929" ht="15.75" customHeight="1" s="42"/>
    <row r="930" ht="15.75" customHeight="1" s="42"/>
    <row r="931" ht="15.75" customHeight="1" s="42"/>
    <row r="932" ht="15.75" customHeight="1" s="42"/>
    <row r="933" ht="15.75" customHeight="1" s="42"/>
    <row r="934" ht="15.75" customHeight="1" s="42"/>
    <row r="935" ht="15.75" customHeight="1" s="42"/>
    <row r="936" ht="15.75" customHeight="1" s="42"/>
    <row r="937" ht="15.75" customHeight="1" s="42"/>
    <row r="938" ht="15.75" customHeight="1" s="42"/>
    <row r="939" ht="15.75" customHeight="1" s="42"/>
    <row r="940" ht="15.75" customHeight="1" s="42"/>
    <row r="941" ht="15.75" customHeight="1" s="42"/>
    <row r="942" ht="15.75" customHeight="1" s="42"/>
    <row r="943" ht="15.75" customHeight="1" s="42"/>
    <row r="944" ht="15.75" customHeight="1" s="42"/>
    <row r="945" ht="15.75" customHeight="1" s="42"/>
    <row r="946" ht="15.75" customHeight="1" s="42"/>
    <row r="947" ht="15.75" customHeight="1" s="42"/>
    <row r="948" ht="15.75" customHeight="1" s="42"/>
    <row r="949" ht="15.75" customHeight="1" s="42"/>
    <row r="950" ht="15.75" customHeight="1" s="42"/>
    <row r="951" ht="15.75" customHeight="1" s="42"/>
    <row r="952" ht="15.75" customHeight="1" s="42"/>
    <row r="953" ht="15.75" customHeight="1" s="42"/>
    <row r="954" ht="15.75" customHeight="1" s="42"/>
    <row r="955" ht="15.75" customHeight="1" s="42"/>
    <row r="956" ht="15.75" customHeight="1" s="42"/>
    <row r="957" ht="15.75" customHeight="1" s="42"/>
    <row r="958" ht="15.75" customHeight="1" s="42"/>
    <row r="959" ht="15.75" customHeight="1" s="42"/>
    <row r="960" ht="15.75" customHeight="1" s="42"/>
    <row r="961" ht="15.75" customHeight="1" s="42"/>
    <row r="962" ht="15.75" customHeight="1" s="42"/>
    <row r="963" ht="15.75" customHeight="1" s="42"/>
    <row r="964" ht="15.75" customHeight="1" s="42"/>
    <row r="965" ht="15.75" customHeight="1" s="42"/>
    <row r="966" ht="15.75" customHeight="1" s="42"/>
    <row r="967" ht="15.75" customHeight="1" s="42"/>
    <row r="968" ht="15.75" customHeight="1" s="42"/>
    <row r="969" ht="15.75" customHeight="1" s="42"/>
    <row r="970" ht="15.75" customHeight="1" s="42"/>
    <row r="971" ht="15.75" customHeight="1" s="42"/>
    <row r="972" ht="15.75" customHeight="1" s="42"/>
    <row r="973" ht="15.75" customHeight="1" s="42"/>
    <row r="974" ht="15.75" customHeight="1" s="42"/>
    <row r="975" ht="15.75" customHeight="1" s="42"/>
    <row r="976" ht="15.75" customHeight="1" s="42"/>
    <row r="977" ht="15.75" customHeight="1" s="42"/>
    <row r="978" ht="15.75" customHeight="1" s="42"/>
    <row r="979" ht="15.75" customHeight="1" s="42"/>
    <row r="980" ht="15.75" customHeight="1" s="42"/>
    <row r="981" ht="15.75" customHeight="1" s="42"/>
    <row r="982" ht="15.75" customHeight="1" s="42"/>
    <row r="983" ht="15.75" customHeight="1" s="42"/>
    <row r="984" ht="15.75" customHeight="1" s="42"/>
    <row r="985" ht="15.75" customHeight="1" s="42"/>
    <row r="986" ht="15.75" customHeight="1" s="42"/>
    <row r="987" ht="15.75" customHeight="1" s="42"/>
    <row r="988" ht="15.75" customHeight="1" s="42"/>
    <row r="989" ht="15.75" customHeight="1" s="42"/>
    <row r="990" ht="15.75" customHeight="1" s="42"/>
    <row r="991" ht="15.75" customHeight="1" s="42"/>
    <row r="992" ht="15.75" customHeight="1" s="42"/>
    <row r="993" ht="15.75" customHeight="1" s="42"/>
    <row r="994" ht="15.75" customHeight="1" s="42"/>
    <row r="995" ht="15.75" customHeight="1" s="42"/>
    <row r="996" ht="15.75" customHeight="1" s="42"/>
    <row r="997" ht="15.75" customHeight="1" s="42"/>
    <row r="998" ht="15.75" customHeight="1" s="42"/>
    <row r="999" ht="15.75" customHeight="1" s="42"/>
    <row r="1000" ht="15.75" customHeight="1" s="42"/>
  </sheetData>
  <sheetProtection selectLockedCells="1" selectUnlockedCells="1" sheet="1" objects="0" insertRows="0" insertHyperlinks="1" autoFilter="1" scenarios="0" formatColumns="0" deleteColumns="0" insertColumns="0" pivotTables="1" deleteRows="0" formatCells="0" formatRows="0" sort="1"/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H10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171875" defaultRowHeight="15" customHeight="1" zeroHeight="0" outlineLevelRow="0"/>
  <cols>
    <col width="9" customWidth="1" style="41" min="1" max="1"/>
    <col width="10" customWidth="1" style="41" min="2" max="2"/>
    <col width="12" customWidth="1" style="41" min="3" max="3"/>
    <col width="18" customWidth="1" style="41" min="4" max="4"/>
    <col width="24" customWidth="1" style="41" min="5" max="5"/>
    <col width="14" customWidth="1" style="41" min="6" max="6"/>
    <col width="18" customWidth="1" style="41" min="7" max="7"/>
    <col width="28" customWidth="1" style="41" min="8" max="8"/>
  </cols>
  <sheetData>
    <row r="1" ht="15" customHeight="1" s="42">
      <c r="A1" s="105" t="inlineStr">
        <is>
          <t>WHEAT PRIORITY – FIFO (Oldest Receipt Date First)</t>
        </is>
      </c>
      <c r="B1" s="92" t="n"/>
      <c r="C1" s="92" t="n"/>
      <c r="D1" s="93" t="n"/>
      <c r="E1" s="92" t="n"/>
      <c r="F1" s="92" t="n"/>
      <c r="G1" s="92" t="n"/>
      <c r="H1" s="92" t="n"/>
    </row>
    <row r="2" ht="15" customHeight="1" s="42">
      <c r="A2" s="105" t="inlineStr">
        <is>
          <t>Sr No.</t>
        </is>
      </c>
      <c r="B2" s="106" t="inlineStr">
        <is>
          <t>Shed No.</t>
        </is>
      </c>
      <c r="C2" s="106" t="inlineStr">
        <is>
          <t>Stack No.</t>
        </is>
      </c>
      <c r="D2" s="105" t="inlineStr">
        <is>
          <t>RDate of Receipt</t>
        </is>
      </c>
      <c r="E2" s="106" t="inlineStr">
        <is>
          <t>Commodity/Crop Year</t>
        </is>
      </c>
      <c r="F2" s="106" t="inlineStr">
        <is>
          <t>Qty(in MT)</t>
        </is>
      </c>
      <c r="G2" s="106" t="inlineStr">
        <is>
          <t>Cat</t>
        </is>
      </c>
      <c r="H2" s="106" t="inlineStr">
        <is>
          <t>Remarks</t>
        </is>
      </c>
    </row>
    <row r="3" ht="15" customHeight="1" s="42">
      <c r="A3" s="77">
        <f>IFERROR(IF(INDEX('Master Stock'!$Q$2:$Q$100,MATCH(1,'Master Stock'!$Q$2:$Q$100,0))="","",1),"")</f>
        <v/>
      </c>
      <c r="B3" s="41">
        <f>IF($A3="","",INDEX('Master Stock'!$C$2:$C$100,MATCH($A3,'Master Stock'!$Q$2:$Q$100,0)))</f>
        <v/>
      </c>
      <c r="C3" s="41">
        <f>IF($A3="","",INDEX('Master Stock'!$D$2:$D$100,MATCH($A3,'Master Stock'!$Q$2:$Q$100,0)))</f>
        <v/>
      </c>
      <c r="D3" s="77">
        <f>IF($A3="","",IF(ISNUMBER(INDEX('Master Stock'!$B$2:$B$100,MATCH($A3,'Master Stock'!$Q$2:$Q$100,0))),INDEX('Master Stock'!$B$2:$B$100,MATCH($A3,'Master Stock'!$Q$2:$Q$100,0)),IFERROR(DATE(2000+VALUE(RIGHT(INDEX('Master Stock'!$B$2:$B$100,MATCH($A3,'Master Stock'!$Q$2:$Q$100,0)),2)),VALUE(MID(INDEX('Master Stock'!$B$2:$B$100,MATCH($A3,'Master Stock'!$Q$2:$Q$100,0)),4,2)),VALUE(LEFT(INDEX('Master Stock'!$B$2:$B$100,MATCH($A3,'Master Stock'!$Q$2:$Q$100,0)),2))),"")))</f>
        <v/>
      </c>
      <c r="E3" s="41">
        <f>IF($A3="","",INDEX('Master Stock'!$G$2:$G$100,MATCH($A3,'Master Stock'!$Q$2:$Q$100,0)))</f>
        <v/>
      </c>
      <c r="F3" s="75">
        <f>IF($A3="","",INDEX('Master Stock'!$F$2:$F$100,MATCH($A3,'Master Stock'!$Q$2:$Q$100,0)))</f>
        <v/>
      </c>
      <c r="G3" s="41">
        <f>IF($A3="","","Wheat")</f>
        <v/>
      </c>
      <c r="H3" s="41">
        <f>IF($A3="","","FIFO - Oldest Receipt First")</f>
        <v/>
      </c>
    </row>
    <row r="4" ht="15" customHeight="1" s="42">
      <c r="A4" s="77">
        <f>IFERROR(IF(INDEX('Master Stock'!$Q$2:$Q$100,MATCH(2,'Master Stock'!$Q$2:$Q$100,0))="","",2),"")</f>
        <v/>
      </c>
      <c r="B4" s="41">
        <f>IF($A4="","",INDEX('Master Stock'!$C$2:$C$100,MATCH($A4,'Master Stock'!$Q$2:$Q$100,0)))</f>
        <v/>
      </c>
      <c r="C4" s="41">
        <f>IF($A4="","",INDEX('Master Stock'!$D$2:$D$100,MATCH($A4,'Master Stock'!$Q$2:$Q$100,0)))</f>
        <v/>
      </c>
      <c r="D4" s="77">
        <f>IF($A4="","",IF(ISNUMBER(INDEX('Master Stock'!$B$2:$B$100,MATCH($A4,'Master Stock'!$Q$2:$Q$100,0))),INDEX('Master Stock'!$B$2:$B$100,MATCH($A4,'Master Stock'!$Q$2:$Q$100,0)),IFERROR(DATE(2000+VALUE(RIGHT(INDEX('Master Stock'!$B$2:$B$100,MATCH($A4,'Master Stock'!$Q$2:$Q$100,0)),2)),VALUE(MID(INDEX('Master Stock'!$B$2:$B$100,MATCH($A4,'Master Stock'!$Q$2:$Q$100,0)),4,2)),VALUE(LEFT(INDEX('Master Stock'!$B$2:$B$100,MATCH($A4,'Master Stock'!$Q$2:$Q$100,0)),2))),"")))</f>
        <v/>
      </c>
      <c r="E4" s="41">
        <f>IF($A4="","",INDEX('Master Stock'!$G$2:$G$100,MATCH($A4,'Master Stock'!$Q$2:$Q$100,0)))</f>
        <v/>
      </c>
      <c r="F4" s="75">
        <f>IF($A4="","",INDEX('Master Stock'!$F$2:$F$100,MATCH($A4,'Master Stock'!$Q$2:$Q$100,0)))</f>
        <v/>
      </c>
      <c r="G4" s="41">
        <f>IF($A4="","","Wheat")</f>
        <v/>
      </c>
      <c r="H4" s="41">
        <f>IF($A4="","","FIFO - Oldest Receipt First")</f>
        <v/>
      </c>
    </row>
    <row r="5" ht="15" customHeight="1" s="42">
      <c r="A5" s="77">
        <f>IFERROR(IF(INDEX('Master Stock'!$Q$2:$Q$100,MATCH(3,'Master Stock'!$Q$2:$Q$100,0))="","",3),"")</f>
        <v/>
      </c>
      <c r="B5" s="41">
        <f>IF($A5="","",INDEX('Master Stock'!$C$2:$C$100,MATCH($A5,'Master Stock'!$Q$2:$Q$100,0)))</f>
        <v/>
      </c>
      <c r="C5" s="41">
        <f>IF($A5="","",INDEX('Master Stock'!$D$2:$D$100,MATCH($A5,'Master Stock'!$Q$2:$Q$100,0)))</f>
        <v/>
      </c>
      <c r="D5" s="77">
        <f>IF($A5="","",IF(ISNUMBER(INDEX('Master Stock'!$B$2:$B$100,MATCH($A5,'Master Stock'!$Q$2:$Q$100,0))),INDEX('Master Stock'!$B$2:$B$100,MATCH($A5,'Master Stock'!$Q$2:$Q$100,0)),IFERROR(DATE(2000+VALUE(RIGHT(INDEX('Master Stock'!$B$2:$B$100,MATCH($A5,'Master Stock'!$Q$2:$Q$100,0)),2)),VALUE(MID(INDEX('Master Stock'!$B$2:$B$100,MATCH($A5,'Master Stock'!$Q$2:$Q$100,0)),4,2)),VALUE(LEFT(INDEX('Master Stock'!$B$2:$B$100,MATCH($A5,'Master Stock'!$Q$2:$Q$100,0)),2))),"")))</f>
        <v/>
      </c>
      <c r="E5" s="41">
        <f>IF($A5="","",INDEX('Master Stock'!$G$2:$G$100,MATCH($A5,'Master Stock'!$Q$2:$Q$100,0)))</f>
        <v/>
      </c>
      <c r="F5" s="75">
        <f>IF($A5="","",INDEX('Master Stock'!$F$2:$F$100,MATCH($A5,'Master Stock'!$Q$2:$Q$100,0)))</f>
        <v/>
      </c>
      <c r="G5" s="41">
        <f>IF($A5="","","Wheat")</f>
        <v/>
      </c>
      <c r="H5" s="41">
        <f>IF($A5="","","FIFO - Oldest Receipt First")</f>
        <v/>
      </c>
    </row>
    <row r="6" ht="15" customHeight="1" s="42">
      <c r="A6" s="77">
        <f>IFERROR(IF(INDEX('Master Stock'!$Q$2:$Q$100,MATCH(4,'Master Stock'!$Q$2:$Q$100,0))="","",4),"")</f>
        <v/>
      </c>
      <c r="B6" s="41">
        <f>IF($A6="","",INDEX('Master Stock'!$C$2:$C$100,MATCH($A6,'Master Stock'!$Q$2:$Q$100,0)))</f>
        <v/>
      </c>
      <c r="C6" s="41">
        <f>IF($A6="","",INDEX('Master Stock'!$D$2:$D$100,MATCH($A6,'Master Stock'!$Q$2:$Q$100,0)))</f>
        <v/>
      </c>
      <c r="D6" s="77">
        <f>IF($A6="","",IF(ISNUMBER(INDEX('Master Stock'!$B$2:$B$100,MATCH($A6,'Master Stock'!$Q$2:$Q$100,0))),INDEX('Master Stock'!$B$2:$B$100,MATCH($A6,'Master Stock'!$Q$2:$Q$100,0)),IFERROR(DATE(2000+VALUE(RIGHT(INDEX('Master Stock'!$B$2:$B$100,MATCH($A6,'Master Stock'!$Q$2:$Q$100,0)),2)),VALUE(MID(INDEX('Master Stock'!$B$2:$B$100,MATCH($A6,'Master Stock'!$Q$2:$Q$100,0)),4,2)),VALUE(LEFT(INDEX('Master Stock'!$B$2:$B$100,MATCH($A6,'Master Stock'!$Q$2:$Q$100,0)),2))),"")))</f>
        <v/>
      </c>
      <c r="E6" s="41">
        <f>IF($A6="","",INDEX('Master Stock'!$G$2:$G$100,MATCH($A6,'Master Stock'!$Q$2:$Q$100,0)))</f>
        <v/>
      </c>
      <c r="F6" s="75">
        <f>IF($A6="","",INDEX('Master Stock'!$F$2:$F$100,MATCH($A6,'Master Stock'!$Q$2:$Q$100,0)))</f>
        <v/>
      </c>
      <c r="G6" s="41">
        <f>IF($A6="","","Wheat")</f>
        <v/>
      </c>
      <c r="H6" s="41">
        <f>IF($A6="","","FIFO - Oldest Receipt First")</f>
        <v/>
      </c>
    </row>
    <row r="7" ht="15" customHeight="1" s="42">
      <c r="A7" s="77">
        <f>IFERROR(IF(INDEX('Master Stock'!$Q$2:$Q$100,MATCH(5,'Master Stock'!$Q$2:$Q$100,0))="","",5),"")</f>
        <v/>
      </c>
      <c r="B7" s="41">
        <f>IF($A7="","",INDEX('Master Stock'!$C$2:$C$100,MATCH($A7,'Master Stock'!$Q$2:$Q$100,0)))</f>
        <v/>
      </c>
      <c r="C7" s="41">
        <f>IF($A7="","",INDEX('Master Stock'!$D$2:$D$100,MATCH($A7,'Master Stock'!$Q$2:$Q$100,0)))</f>
        <v/>
      </c>
      <c r="D7" s="77">
        <f>IF($A7="","",IF(ISNUMBER(INDEX('Master Stock'!$B$2:$B$100,MATCH($A7,'Master Stock'!$Q$2:$Q$100,0))),INDEX('Master Stock'!$B$2:$B$100,MATCH($A7,'Master Stock'!$Q$2:$Q$100,0)),IFERROR(DATE(2000+VALUE(RIGHT(INDEX('Master Stock'!$B$2:$B$100,MATCH($A7,'Master Stock'!$Q$2:$Q$100,0)),2)),VALUE(MID(INDEX('Master Stock'!$B$2:$B$100,MATCH($A7,'Master Stock'!$Q$2:$Q$100,0)),4,2)),VALUE(LEFT(INDEX('Master Stock'!$B$2:$B$100,MATCH($A7,'Master Stock'!$Q$2:$Q$100,0)),2))),"")))</f>
        <v/>
      </c>
      <c r="E7" s="41">
        <f>IF($A7="","",INDEX('Master Stock'!$G$2:$G$100,MATCH($A7,'Master Stock'!$Q$2:$Q$100,0)))</f>
        <v/>
      </c>
      <c r="F7" s="75">
        <f>IF($A7="","",INDEX('Master Stock'!$F$2:$F$100,MATCH($A7,'Master Stock'!$Q$2:$Q$100,0)))</f>
        <v/>
      </c>
      <c r="G7" s="41">
        <f>IF($A7="","","Wheat")</f>
        <v/>
      </c>
      <c r="H7" s="41">
        <f>IF($A7="","","FIFO - Oldest Receipt First")</f>
        <v/>
      </c>
    </row>
    <row r="8" ht="15" customHeight="1" s="42">
      <c r="A8" s="77">
        <f>IFERROR(IF(INDEX('Master Stock'!$Q$2:$Q$100,MATCH(6,'Master Stock'!$Q$2:$Q$100,0))="","",6),"")</f>
        <v/>
      </c>
      <c r="B8" s="41">
        <f>IF($A8="","",INDEX('Master Stock'!$C$2:$C$100,MATCH($A8,'Master Stock'!$Q$2:$Q$100,0)))</f>
        <v/>
      </c>
      <c r="C8" s="41">
        <f>IF($A8="","",INDEX('Master Stock'!$D$2:$D$100,MATCH($A8,'Master Stock'!$Q$2:$Q$100,0)))</f>
        <v/>
      </c>
      <c r="D8" s="77">
        <f>IF($A8="","",IF(ISNUMBER(INDEX('Master Stock'!$B$2:$B$100,MATCH($A8,'Master Stock'!$Q$2:$Q$100,0))),INDEX('Master Stock'!$B$2:$B$100,MATCH($A8,'Master Stock'!$Q$2:$Q$100,0)),IFERROR(DATE(2000+VALUE(RIGHT(INDEX('Master Stock'!$B$2:$B$100,MATCH($A8,'Master Stock'!$Q$2:$Q$100,0)),2)),VALUE(MID(INDEX('Master Stock'!$B$2:$B$100,MATCH($A8,'Master Stock'!$Q$2:$Q$100,0)),4,2)),VALUE(LEFT(INDEX('Master Stock'!$B$2:$B$100,MATCH($A8,'Master Stock'!$Q$2:$Q$100,0)),2))),"")))</f>
        <v/>
      </c>
      <c r="E8" s="41">
        <f>IF($A8="","",INDEX('Master Stock'!$G$2:$G$100,MATCH($A8,'Master Stock'!$Q$2:$Q$100,0)))</f>
        <v/>
      </c>
      <c r="F8" s="75">
        <f>IF($A8="","",INDEX('Master Stock'!$F$2:$F$100,MATCH($A8,'Master Stock'!$Q$2:$Q$100,0)))</f>
        <v/>
      </c>
      <c r="G8" s="41">
        <f>IF($A8="","","Wheat")</f>
        <v/>
      </c>
      <c r="H8" s="41">
        <f>IF($A8="","","FIFO - Oldest Receipt First")</f>
        <v/>
      </c>
    </row>
    <row r="9" ht="15" customHeight="1" s="42">
      <c r="A9" s="77">
        <f>IFERROR(IF(INDEX('Master Stock'!$Q$2:$Q$100,MATCH(7,'Master Stock'!$Q$2:$Q$100,0))="","",7),"")</f>
        <v/>
      </c>
      <c r="B9" s="41">
        <f>IF($A9="","",INDEX('Master Stock'!$C$2:$C$100,MATCH($A9,'Master Stock'!$Q$2:$Q$100,0)))</f>
        <v/>
      </c>
      <c r="C9" s="41">
        <f>IF($A9="","",INDEX('Master Stock'!$D$2:$D$100,MATCH($A9,'Master Stock'!$Q$2:$Q$100,0)))</f>
        <v/>
      </c>
      <c r="D9" s="77">
        <f>IF($A9="","",IF(ISNUMBER(INDEX('Master Stock'!$B$2:$B$100,MATCH($A9,'Master Stock'!$Q$2:$Q$100,0))),INDEX('Master Stock'!$B$2:$B$100,MATCH($A9,'Master Stock'!$Q$2:$Q$100,0)),IFERROR(DATE(2000+VALUE(RIGHT(INDEX('Master Stock'!$B$2:$B$100,MATCH($A9,'Master Stock'!$Q$2:$Q$100,0)),2)),VALUE(MID(INDEX('Master Stock'!$B$2:$B$100,MATCH($A9,'Master Stock'!$Q$2:$Q$100,0)),4,2)),VALUE(LEFT(INDEX('Master Stock'!$B$2:$B$100,MATCH($A9,'Master Stock'!$Q$2:$Q$100,0)),2))),"")))</f>
        <v/>
      </c>
      <c r="E9" s="41">
        <f>IF($A9="","",INDEX('Master Stock'!$G$2:$G$100,MATCH($A9,'Master Stock'!$Q$2:$Q$100,0)))</f>
        <v/>
      </c>
      <c r="F9" s="75">
        <f>IF($A9="","",INDEX('Master Stock'!$F$2:$F$100,MATCH($A9,'Master Stock'!$Q$2:$Q$100,0)))</f>
        <v/>
      </c>
      <c r="G9" s="41">
        <f>IF($A9="","","Wheat")</f>
        <v/>
      </c>
      <c r="H9" s="41">
        <f>IF($A9="","","FIFO - Oldest Receipt First")</f>
        <v/>
      </c>
    </row>
    <row r="10" ht="15" customHeight="1" s="42">
      <c r="A10" s="77">
        <f>IFERROR(IF(INDEX('Master Stock'!$Q$2:$Q$100,MATCH(8,'Master Stock'!$Q$2:$Q$100,0))="","",8),"")</f>
        <v/>
      </c>
      <c r="B10" s="41">
        <f>IF($A10="","",INDEX('Master Stock'!$C$2:$C$100,MATCH($A10,'Master Stock'!$Q$2:$Q$100,0)))</f>
        <v/>
      </c>
      <c r="C10" s="41">
        <f>IF($A10="","",INDEX('Master Stock'!$D$2:$D$100,MATCH($A10,'Master Stock'!$Q$2:$Q$100,0)))</f>
        <v/>
      </c>
      <c r="D10" s="77">
        <f>IF($A10="","",IF(ISNUMBER(INDEX('Master Stock'!$B$2:$B$100,MATCH($A10,'Master Stock'!$Q$2:$Q$100,0))),INDEX('Master Stock'!$B$2:$B$100,MATCH($A10,'Master Stock'!$Q$2:$Q$100,0)),IFERROR(DATE(2000+VALUE(RIGHT(INDEX('Master Stock'!$B$2:$B$100,MATCH($A10,'Master Stock'!$Q$2:$Q$100,0)),2)),VALUE(MID(INDEX('Master Stock'!$B$2:$B$100,MATCH($A10,'Master Stock'!$Q$2:$Q$100,0)),4,2)),VALUE(LEFT(INDEX('Master Stock'!$B$2:$B$100,MATCH($A10,'Master Stock'!$Q$2:$Q$100,0)),2))),"")))</f>
        <v/>
      </c>
      <c r="E10" s="41">
        <f>IF($A10="","",INDEX('Master Stock'!$G$2:$G$100,MATCH($A10,'Master Stock'!$Q$2:$Q$100,0)))</f>
        <v/>
      </c>
      <c r="F10" s="75">
        <f>IF($A10="","",INDEX('Master Stock'!$F$2:$F$100,MATCH($A10,'Master Stock'!$Q$2:$Q$100,0)))</f>
        <v/>
      </c>
      <c r="G10" s="41">
        <f>IF($A10="","","Wheat")</f>
        <v/>
      </c>
      <c r="H10" s="41">
        <f>IF($A10="","","FIFO - Oldest Receipt First")</f>
        <v/>
      </c>
    </row>
    <row r="11" ht="15" customHeight="1" s="42">
      <c r="A11" s="77">
        <f>IFERROR(IF(INDEX('Master Stock'!$Q$2:$Q$100,MATCH(9,'Master Stock'!$Q$2:$Q$100,0))="","",9),"")</f>
        <v/>
      </c>
      <c r="B11" s="41">
        <f>IF($A11="","",INDEX('Master Stock'!$C$2:$C$100,MATCH($A11,'Master Stock'!$Q$2:$Q$100,0)))</f>
        <v/>
      </c>
      <c r="C11" s="41">
        <f>IF($A11="","",INDEX('Master Stock'!$D$2:$D$100,MATCH($A11,'Master Stock'!$Q$2:$Q$100,0)))</f>
        <v/>
      </c>
      <c r="D11" s="77">
        <f>IF($A11="","",IF(ISNUMBER(INDEX('Master Stock'!$B$2:$B$100,MATCH($A11,'Master Stock'!$Q$2:$Q$100,0))),INDEX('Master Stock'!$B$2:$B$100,MATCH($A11,'Master Stock'!$Q$2:$Q$100,0)),IFERROR(DATE(2000+VALUE(RIGHT(INDEX('Master Stock'!$B$2:$B$100,MATCH($A11,'Master Stock'!$Q$2:$Q$100,0)),2)),VALUE(MID(INDEX('Master Stock'!$B$2:$B$100,MATCH($A11,'Master Stock'!$Q$2:$Q$100,0)),4,2)),VALUE(LEFT(INDEX('Master Stock'!$B$2:$B$100,MATCH($A11,'Master Stock'!$Q$2:$Q$100,0)),2))),"")))</f>
        <v/>
      </c>
      <c r="E11" s="41">
        <f>IF($A11="","",INDEX('Master Stock'!$G$2:$G$100,MATCH($A11,'Master Stock'!$Q$2:$Q$100,0)))</f>
        <v/>
      </c>
      <c r="F11" s="75">
        <f>IF($A11="","",INDEX('Master Stock'!$F$2:$F$100,MATCH($A11,'Master Stock'!$Q$2:$Q$100,0)))</f>
        <v/>
      </c>
      <c r="G11" s="41">
        <f>IF($A11="","","Wheat")</f>
        <v/>
      </c>
      <c r="H11" s="41">
        <f>IF($A11="","","FIFO - Oldest Receipt First")</f>
        <v/>
      </c>
    </row>
    <row r="12" ht="15" customHeight="1" s="42">
      <c r="A12" s="77">
        <f>IFERROR(IF(INDEX('Master Stock'!$Q$2:$Q$100,MATCH(10,'Master Stock'!$Q$2:$Q$100,0))="","",10),"")</f>
        <v/>
      </c>
      <c r="B12" s="41">
        <f>IF($A12="","",INDEX('Master Stock'!$C$2:$C$100,MATCH($A12,'Master Stock'!$Q$2:$Q$100,0)))</f>
        <v/>
      </c>
      <c r="C12" s="41">
        <f>IF($A12="","",INDEX('Master Stock'!$D$2:$D$100,MATCH($A12,'Master Stock'!$Q$2:$Q$100,0)))</f>
        <v/>
      </c>
      <c r="D12" s="77">
        <f>IF($A12="","",IF(ISNUMBER(INDEX('Master Stock'!$B$2:$B$100,MATCH($A12,'Master Stock'!$Q$2:$Q$100,0))),INDEX('Master Stock'!$B$2:$B$100,MATCH($A12,'Master Stock'!$Q$2:$Q$100,0)),IFERROR(DATE(2000+VALUE(RIGHT(INDEX('Master Stock'!$B$2:$B$100,MATCH($A12,'Master Stock'!$Q$2:$Q$100,0)),2)),VALUE(MID(INDEX('Master Stock'!$B$2:$B$100,MATCH($A12,'Master Stock'!$Q$2:$Q$100,0)),4,2)),VALUE(LEFT(INDEX('Master Stock'!$B$2:$B$100,MATCH($A12,'Master Stock'!$Q$2:$Q$100,0)),2))),"")))</f>
        <v/>
      </c>
      <c r="E12" s="41">
        <f>IF($A12="","",INDEX('Master Stock'!$G$2:$G$100,MATCH($A12,'Master Stock'!$Q$2:$Q$100,0)))</f>
        <v/>
      </c>
      <c r="F12" s="75">
        <f>IF($A12="","",INDEX('Master Stock'!$F$2:$F$100,MATCH($A12,'Master Stock'!$Q$2:$Q$100,0)))</f>
        <v/>
      </c>
      <c r="G12" s="41">
        <f>IF($A12="","","Wheat")</f>
        <v/>
      </c>
      <c r="H12" s="41">
        <f>IF($A12="","","FIFO - Oldest Receipt First")</f>
        <v/>
      </c>
    </row>
    <row r="13" ht="15" customHeight="1" s="42">
      <c r="A13" s="77">
        <f>IFERROR(IF(INDEX('Master Stock'!$Q$2:$Q$100,MATCH(11,'Master Stock'!$Q$2:$Q$100,0))="","",11),"")</f>
        <v/>
      </c>
      <c r="B13" s="41">
        <f>IF($A13="","",INDEX('Master Stock'!$C$2:$C$100,MATCH($A13,'Master Stock'!$Q$2:$Q$100,0)))</f>
        <v/>
      </c>
      <c r="C13" s="41">
        <f>IF($A13="","",INDEX('Master Stock'!$D$2:$D$100,MATCH($A13,'Master Stock'!$Q$2:$Q$100,0)))</f>
        <v/>
      </c>
      <c r="D13" s="77">
        <f>IF($A13="","",IF(ISNUMBER(INDEX('Master Stock'!$B$2:$B$100,MATCH($A13,'Master Stock'!$Q$2:$Q$100,0))),INDEX('Master Stock'!$B$2:$B$100,MATCH($A13,'Master Stock'!$Q$2:$Q$100,0)),IFERROR(DATE(2000+VALUE(RIGHT(INDEX('Master Stock'!$B$2:$B$100,MATCH($A13,'Master Stock'!$Q$2:$Q$100,0)),2)),VALUE(MID(INDEX('Master Stock'!$B$2:$B$100,MATCH($A13,'Master Stock'!$Q$2:$Q$100,0)),4,2)),VALUE(LEFT(INDEX('Master Stock'!$B$2:$B$100,MATCH($A13,'Master Stock'!$Q$2:$Q$100,0)),2))),"")))</f>
        <v/>
      </c>
      <c r="E13" s="41">
        <f>IF($A13="","",INDEX('Master Stock'!$G$2:$G$100,MATCH($A13,'Master Stock'!$Q$2:$Q$100,0)))</f>
        <v/>
      </c>
      <c r="F13" s="75">
        <f>IF($A13="","",INDEX('Master Stock'!$F$2:$F$100,MATCH($A13,'Master Stock'!$Q$2:$Q$100,0)))</f>
        <v/>
      </c>
      <c r="G13" s="41">
        <f>IF($A13="","","Wheat")</f>
        <v/>
      </c>
      <c r="H13" s="41">
        <f>IF($A13="","","FIFO - Oldest Receipt First")</f>
        <v/>
      </c>
    </row>
    <row r="14" ht="15" customHeight="1" s="42">
      <c r="A14" s="77">
        <f>IFERROR(IF(INDEX('Master Stock'!$Q$2:$Q$100,MATCH(12,'Master Stock'!$Q$2:$Q$100,0))="","",12),"")</f>
        <v/>
      </c>
      <c r="B14" s="41">
        <f>IF($A14="","",INDEX('Master Stock'!$C$2:$C$100,MATCH($A14,'Master Stock'!$Q$2:$Q$100,0)))</f>
        <v/>
      </c>
      <c r="C14" s="41">
        <f>IF($A14="","",INDEX('Master Stock'!$D$2:$D$100,MATCH($A14,'Master Stock'!$Q$2:$Q$100,0)))</f>
        <v/>
      </c>
      <c r="D14" s="77">
        <f>IF($A14="","",IF(ISNUMBER(INDEX('Master Stock'!$B$2:$B$100,MATCH($A14,'Master Stock'!$Q$2:$Q$100,0))),INDEX('Master Stock'!$B$2:$B$100,MATCH($A14,'Master Stock'!$Q$2:$Q$100,0)),IFERROR(DATE(2000+VALUE(RIGHT(INDEX('Master Stock'!$B$2:$B$100,MATCH($A14,'Master Stock'!$Q$2:$Q$100,0)),2)),VALUE(MID(INDEX('Master Stock'!$B$2:$B$100,MATCH($A14,'Master Stock'!$Q$2:$Q$100,0)),4,2)),VALUE(LEFT(INDEX('Master Stock'!$B$2:$B$100,MATCH($A14,'Master Stock'!$Q$2:$Q$100,0)),2))),"")))</f>
        <v/>
      </c>
      <c r="E14" s="41">
        <f>IF($A14="","",INDEX('Master Stock'!$G$2:$G$100,MATCH($A14,'Master Stock'!$Q$2:$Q$100,0)))</f>
        <v/>
      </c>
      <c r="F14" s="75">
        <f>IF($A14="","",INDEX('Master Stock'!$F$2:$F$100,MATCH($A14,'Master Stock'!$Q$2:$Q$100,0)))</f>
        <v/>
      </c>
      <c r="G14" s="41">
        <f>IF($A14="","","Wheat")</f>
        <v/>
      </c>
      <c r="H14" s="41">
        <f>IF($A14="","","FIFO - Oldest Receipt First")</f>
        <v/>
      </c>
    </row>
    <row r="15" ht="15" customHeight="1" s="42">
      <c r="A15" s="77">
        <f>IFERROR(IF(INDEX('Master Stock'!$Q$2:$Q$100,MATCH(13,'Master Stock'!$Q$2:$Q$100,0))="","",13),"")</f>
        <v/>
      </c>
      <c r="B15" s="41">
        <f>IF($A15="","",INDEX('Master Stock'!$C$2:$C$100,MATCH($A15,'Master Stock'!$Q$2:$Q$100,0)))</f>
        <v/>
      </c>
      <c r="C15" s="41">
        <f>IF($A15="","",INDEX('Master Stock'!$D$2:$D$100,MATCH($A15,'Master Stock'!$Q$2:$Q$100,0)))</f>
        <v/>
      </c>
      <c r="D15" s="77">
        <f>IF($A15="","",IF(ISNUMBER(INDEX('Master Stock'!$B$2:$B$100,MATCH($A15,'Master Stock'!$Q$2:$Q$100,0))),INDEX('Master Stock'!$B$2:$B$100,MATCH($A15,'Master Stock'!$Q$2:$Q$100,0)),IFERROR(DATE(2000+VALUE(RIGHT(INDEX('Master Stock'!$B$2:$B$100,MATCH($A15,'Master Stock'!$Q$2:$Q$100,0)),2)),VALUE(MID(INDEX('Master Stock'!$B$2:$B$100,MATCH($A15,'Master Stock'!$Q$2:$Q$100,0)),4,2)),VALUE(LEFT(INDEX('Master Stock'!$B$2:$B$100,MATCH($A15,'Master Stock'!$Q$2:$Q$100,0)),2))),"")))</f>
        <v/>
      </c>
      <c r="E15" s="41">
        <f>IF($A15="","",INDEX('Master Stock'!$G$2:$G$100,MATCH($A15,'Master Stock'!$Q$2:$Q$100,0)))</f>
        <v/>
      </c>
      <c r="F15" s="75">
        <f>IF($A15="","",INDEX('Master Stock'!$F$2:$F$100,MATCH($A15,'Master Stock'!$Q$2:$Q$100,0)))</f>
        <v/>
      </c>
      <c r="G15" s="41">
        <f>IF($A15="","","Wheat")</f>
        <v/>
      </c>
      <c r="H15" s="41">
        <f>IF($A15="","","FIFO - Oldest Receipt First")</f>
        <v/>
      </c>
    </row>
    <row r="16" ht="15" customHeight="1" s="42">
      <c r="A16" s="77">
        <f>IFERROR(IF(INDEX('Master Stock'!$Q$2:$Q$100,MATCH(14,'Master Stock'!$Q$2:$Q$100,0))="","",14),"")</f>
        <v/>
      </c>
      <c r="B16" s="41">
        <f>IF($A16="","",INDEX('Master Stock'!$C$2:$C$100,MATCH($A16,'Master Stock'!$Q$2:$Q$100,0)))</f>
        <v/>
      </c>
      <c r="C16" s="41">
        <f>IF($A16="","",INDEX('Master Stock'!$D$2:$D$100,MATCH($A16,'Master Stock'!$Q$2:$Q$100,0)))</f>
        <v/>
      </c>
      <c r="D16" s="77">
        <f>IF($A16="","",IF(ISNUMBER(INDEX('Master Stock'!$B$2:$B$100,MATCH($A16,'Master Stock'!$Q$2:$Q$100,0))),INDEX('Master Stock'!$B$2:$B$100,MATCH($A16,'Master Stock'!$Q$2:$Q$100,0)),IFERROR(DATE(2000+VALUE(RIGHT(INDEX('Master Stock'!$B$2:$B$100,MATCH($A16,'Master Stock'!$Q$2:$Q$100,0)),2)),VALUE(MID(INDEX('Master Stock'!$B$2:$B$100,MATCH($A16,'Master Stock'!$Q$2:$Q$100,0)),4,2)),VALUE(LEFT(INDEX('Master Stock'!$B$2:$B$100,MATCH($A16,'Master Stock'!$Q$2:$Q$100,0)),2))),"")))</f>
        <v/>
      </c>
      <c r="E16" s="41">
        <f>IF($A16="","",INDEX('Master Stock'!$G$2:$G$100,MATCH($A16,'Master Stock'!$Q$2:$Q$100,0)))</f>
        <v/>
      </c>
      <c r="F16" s="75">
        <f>IF($A16="","",INDEX('Master Stock'!$F$2:$F$100,MATCH($A16,'Master Stock'!$Q$2:$Q$100,0)))</f>
        <v/>
      </c>
      <c r="G16" s="41">
        <f>IF($A16="","","Wheat")</f>
        <v/>
      </c>
      <c r="H16" s="41">
        <f>IF($A16="","","FIFO - Oldest Receipt First")</f>
        <v/>
      </c>
    </row>
    <row r="17" ht="15" customHeight="1" s="42">
      <c r="A17" s="77">
        <f>IFERROR(IF(INDEX('Master Stock'!$Q$2:$Q$100,MATCH(15,'Master Stock'!$Q$2:$Q$100,0))="","",15),"")</f>
        <v/>
      </c>
      <c r="B17" s="41">
        <f>IF($A17="","",INDEX('Master Stock'!$C$2:$C$100,MATCH($A17,'Master Stock'!$Q$2:$Q$100,0)))</f>
        <v/>
      </c>
      <c r="C17" s="41">
        <f>IF($A17="","",INDEX('Master Stock'!$D$2:$D$100,MATCH($A17,'Master Stock'!$Q$2:$Q$100,0)))</f>
        <v/>
      </c>
      <c r="D17" s="77">
        <f>IF($A17="","",IF(ISNUMBER(INDEX('Master Stock'!$B$2:$B$100,MATCH($A17,'Master Stock'!$Q$2:$Q$100,0))),INDEX('Master Stock'!$B$2:$B$100,MATCH($A17,'Master Stock'!$Q$2:$Q$100,0)),IFERROR(DATE(2000+VALUE(RIGHT(INDEX('Master Stock'!$B$2:$B$100,MATCH($A17,'Master Stock'!$Q$2:$Q$100,0)),2)),VALUE(MID(INDEX('Master Stock'!$B$2:$B$100,MATCH($A17,'Master Stock'!$Q$2:$Q$100,0)),4,2)),VALUE(LEFT(INDEX('Master Stock'!$B$2:$B$100,MATCH($A17,'Master Stock'!$Q$2:$Q$100,0)),2))),"")))</f>
        <v/>
      </c>
      <c r="E17" s="41">
        <f>IF($A17="","",INDEX('Master Stock'!$G$2:$G$100,MATCH($A17,'Master Stock'!$Q$2:$Q$100,0)))</f>
        <v/>
      </c>
      <c r="F17" s="41">
        <f>IF($A17="","",INDEX('Master Stock'!$F$2:$F$100,MATCH($A17,'Master Stock'!$Q$2:$Q$100,0)))</f>
        <v/>
      </c>
      <c r="G17" s="41">
        <f>IF($A17="","","Wheat")</f>
        <v/>
      </c>
      <c r="H17" s="41">
        <f>IF($A17="","","FIFO - Oldest Receipt First")</f>
        <v/>
      </c>
    </row>
    <row r="18" ht="15" customHeight="1" s="42">
      <c r="A18" s="77">
        <f>IFERROR(IF(INDEX('Master Stock'!$Q$2:$Q$100,MATCH(16,'Master Stock'!$Q$2:$Q$100,0))="","",16),"")</f>
        <v/>
      </c>
      <c r="B18" s="41">
        <f>IF($A18="","",INDEX('Master Stock'!$C$2:$C$100,MATCH($A18,'Master Stock'!$Q$2:$Q$100,0)))</f>
        <v/>
      </c>
      <c r="C18" s="41">
        <f>IF($A18="","",INDEX('Master Stock'!$D$2:$D$100,MATCH($A18,'Master Stock'!$Q$2:$Q$100,0)))</f>
        <v/>
      </c>
      <c r="D18" s="77">
        <f>IF($A18="","",IF(ISNUMBER(INDEX('Master Stock'!$B$2:$B$100,MATCH($A18,'Master Stock'!$Q$2:$Q$100,0))),INDEX('Master Stock'!$B$2:$B$100,MATCH($A18,'Master Stock'!$Q$2:$Q$100,0)),IFERROR(DATE(2000+VALUE(RIGHT(INDEX('Master Stock'!$B$2:$B$100,MATCH($A18,'Master Stock'!$Q$2:$Q$100,0)),2)),VALUE(MID(INDEX('Master Stock'!$B$2:$B$100,MATCH($A18,'Master Stock'!$Q$2:$Q$100,0)),4,2)),VALUE(LEFT(INDEX('Master Stock'!$B$2:$B$100,MATCH($A18,'Master Stock'!$Q$2:$Q$100,0)),2))),"")))</f>
        <v/>
      </c>
      <c r="E18" s="41">
        <f>IF($A18="","",INDEX('Master Stock'!$G$2:$G$100,MATCH($A18,'Master Stock'!$Q$2:$Q$100,0)))</f>
        <v/>
      </c>
      <c r="F18" s="41">
        <f>IF($A18="","",INDEX('Master Stock'!$F$2:$F$100,MATCH($A18,'Master Stock'!$Q$2:$Q$100,0)))</f>
        <v/>
      </c>
      <c r="G18" s="41">
        <f>IF($A18="","","Wheat")</f>
        <v/>
      </c>
      <c r="H18" s="41">
        <f>IF($A18="","","FIFO - Oldest Receipt First")</f>
        <v/>
      </c>
    </row>
    <row r="19" ht="15" customHeight="1" s="42">
      <c r="A19" s="77">
        <f>IFERROR(IF(INDEX('Master Stock'!$Q$2:$Q$100,MATCH(17,'Master Stock'!$Q$2:$Q$100,0))="","",17),"")</f>
        <v/>
      </c>
      <c r="B19" s="41">
        <f>IF($A19="","",INDEX('Master Stock'!$C$2:$C$100,MATCH($A19,'Master Stock'!$Q$2:$Q$100,0)))</f>
        <v/>
      </c>
      <c r="C19" s="41">
        <f>IF($A19="","",INDEX('Master Stock'!$D$2:$D$100,MATCH($A19,'Master Stock'!$Q$2:$Q$100,0)))</f>
        <v/>
      </c>
      <c r="D19" s="77">
        <f>IF($A19="","",IF(ISNUMBER(INDEX('Master Stock'!$B$2:$B$100,MATCH($A19,'Master Stock'!$Q$2:$Q$100,0))),INDEX('Master Stock'!$B$2:$B$100,MATCH($A19,'Master Stock'!$Q$2:$Q$100,0)),IFERROR(DATE(2000+VALUE(RIGHT(INDEX('Master Stock'!$B$2:$B$100,MATCH($A19,'Master Stock'!$Q$2:$Q$100,0)),2)),VALUE(MID(INDEX('Master Stock'!$B$2:$B$100,MATCH($A19,'Master Stock'!$Q$2:$Q$100,0)),4,2)),VALUE(LEFT(INDEX('Master Stock'!$B$2:$B$100,MATCH($A19,'Master Stock'!$Q$2:$Q$100,0)),2))),"")))</f>
        <v/>
      </c>
      <c r="E19" s="41">
        <f>IF($A19="","",INDEX('Master Stock'!$G$2:$G$100,MATCH($A19,'Master Stock'!$Q$2:$Q$100,0)))</f>
        <v/>
      </c>
      <c r="F19" s="41">
        <f>IF($A19="","",INDEX('Master Stock'!$F$2:$F$100,MATCH($A19,'Master Stock'!$Q$2:$Q$100,0)))</f>
        <v/>
      </c>
      <c r="G19" s="41">
        <f>IF($A19="","","Wheat")</f>
        <v/>
      </c>
      <c r="H19" s="41">
        <f>IF($A19="","","FIFO - Oldest Receipt First")</f>
        <v/>
      </c>
    </row>
    <row r="20" ht="15" customHeight="1" s="42">
      <c r="A20" s="77">
        <f>IFERROR(IF(INDEX('Master Stock'!$Q$2:$Q$100,MATCH(18,'Master Stock'!$Q$2:$Q$100,0))="","",18),"")</f>
        <v/>
      </c>
      <c r="B20" s="41">
        <f>IF($A20="","",INDEX('Master Stock'!$C$2:$C$100,MATCH($A20,'Master Stock'!$Q$2:$Q$100,0)))</f>
        <v/>
      </c>
      <c r="C20" s="41">
        <f>IF($A20="","",INDEX('Master Stock'!$D$2:$D$100,MATCH($A20,'Master Stock'!$Q$2:$Q$100,0)))</f>
        <v/>
      </c>
      <c r="D20" s="77">
        <f>IF($A20="","",IF(ISNUMBER(INDEX('Master Stock'!$B$2:$B$100,MATCH($A20,'Master Stock'!$Q$2:$Q$100,0))),INDEX('Master Stock'!$B$2:$B$100,MATCH($A20,'Master Stock'!$Q$2:$Q$100,0)),IFERROR(DATE(2000+VALUE(RIGHT(INDEX('Master Stock'!$B$2:$B$100,MATCH($A20,'Master Stock'!$Q$2:$Q$100,0)),2)),VALUE(MID(INDEX('Master Stock'!$B$2:$B$100,MATCH($A20,'Master Stock'!$Q$2:$Q$100,0)),4,2)),VALUE(LEFT(INDEX('Master Stock'!$B$2:$B$100,MATCH($A20,'Master Stock'!$Q$2:$Q$100,0)),2))),"")))</f>
        <v/>
      </c>
      <c r="E20" s="41">
        <f>IF($A20="","",INDEX('Master Stock'!$G$2:$G$100,MATCH($A20,'Master Stock'!$Q$2:$Q$100,0)))</f>
        <v/>
      </c>
      <c r="F20" s="41">
        <f>IF($A20="","",INDEX('Master Stock'!$F$2:$F$100,MATCH($A20,'Master Stock'!$Q$2:$Q$100,0)))</f>
        <v/>
      </c>
      <c r="G20" s="41">
        <f>IF($A20="","","Wheat")</f>
        <v/>
      </c>
      <c r="H20" s="41">
        <f>IF($A20="","","FIFO - Oldest Receipt First")</f>
        <v/>
      </c>
    </row>
    <row r="21" ht="15" customHeight="1" s="42">
      <c r="A21" s="77">
        <f>IFERROR(IF(INDEX('Master Stock'!$Q$2:$Q$100,MATCH(19,'Master Stock'!$Q$2:$Q$100,0))="","",19),"")</f>
        <v/>
      </c>
      <c r="B21" s="41">
        <f>IF($A21="","",INDEX('Master Stock'!$C$2:$C$100,MATCH($A21,'Master Stock'!$Q$2:$Q$100,0)))</f>
        <v/>
      </c>
      <c r="C21" s="41">
        <f>IF($A21="","",INDEX('Master Stock'!$D$2:$D$100,MATCH($A21,'Master Stock'!$Q$2:$Q$100,0)))</f>
        <v/>
      </c>
      <c r="D21" s="77">
        <f>IF($A21="","",IF(ISNUMBER(INDEX('Master Stock'!$B$2:$B$100,MATCH($A21,'Master Stock'!$Q$2:$Q$100,0))),INDEX('Master Stock'!$B$2:$B$100,MATCH($A21,'Master Stock'!$Q$2:$Q$100,0)),IFERROR(DATE(2000+VALUE(RIGHT(INDEX('Master Stock'!$B$2:$B$100,MATCH($A21,'Master Stock'!$Q$2:$Q$100,0)),2)),VALUE(MID(INDEX('Master Stock'!$B$2:$B$100,MATCH($A21,'Master Stock'!$Q$2:$Q$100,0)),4,2)),VALUE(LEFT(INDEX('Master Stock'!$B$2:$B$100,MATCH($A21,'Master Stock'!$Q$2:$Q$100,0)),2))),"")))</f>
        <v/>
      </c>
      <c r="E21" s="41">
        <f>IF($A21="","",INDEX('Master Stock'!$G$2:$G$100,MATCH($A21,'Master Stock'!$Q$2:$Q$100,0)))</f>
        <v/>
      </c>
      <c r="F21" s="41">
        <f>IF($A21="","",INDEX('Master Stock'!$F$2:$F$100,MATCH($A21,'Master Stock'!$Q$2:$Q$100,0)))</f>
        <v/>
      </c>
      <c r="G21" s="41">
        <f>IF($A21="","","Wheat")</f>
        <v/>
      </c>
      <c r="H21" s="41">
        <f>IF($A21="","","FIFO - Oldest Receipt First")</f>
        <v/>
      </c>
    </row>
    <row r="22" ht="15" customHeight="1" s="42">
      <c r="A22" s="77">
        <f>IFERROR(IF(INDEX('Master Stock'!$Q$2:$Q$100,MATCH(20,'Master Stock'!$Q$2:$Q$100,0))="","",20),"")</f>
        <v/>
      </c>
      <c r="B22" s="41">
        <f>IF($A22="","",INDEX('Master Stock'!$C$2:$C$100,MATCH($A22,'Master Stock'!$Q$2:$Q$100,0)))</f>
        <v/>
      </c>
      <c r="C22" s="41">
        <f>IF($A22="","",INDEX('Master Stock'!$D$2:$D$100,MATCH($A22,'Master Stock'!$Q$2:$Q$100,0)))</f>
        <v/>
      </c>
      <c r="D22" s="77">
        <f>IF($A22="","",IF(ISNUMBER(INDEX('Master Stock'!$B$2:$B$100,MATCH($A22,'Master Stock'!$Q$2:$Q$100,0))),INDEX('Master Stock'!$B$2:$B$100,MATCH($A22,'Master Stock'!$Q$2:$Q$100,0)),IFERROR(DATE(2000+VALUE(RIGHT(INDEX('Master Stock'!$B$2:$B$100,MATCH($A22,'Master Stock'!$Q$2:$Q$100,0)),2)),VALUE(MID(INDEX('Master Stock'!$B$2:$B$100,MATCH($A22,'Master Stock'!$Q$2:$Q$100,0)),4,2)),VALUE(LEFT(INDEX('Master Stock'!$B$2:$B$100,MATCH($A22,'Master Stock'!$Q$2:$Q$100,0)),2))),"")))</f>
        <v/>
      </c>
      <c r="E22" s="41">
        <f>IF($A22="","",INDEX('Master Stock'!$G$2:$G$100,MATCH($A22,'Master Stock'!$Q$2:$Q$100,0)))</f>
        <v/>
      </c>
      <c r="F22" s="41">
        <f>IF($A22="","",INDEX('Master Stock'!$F$2:$F$100,MATCH($A22,'Master Stock'!$Q$2:$Q$100,0)))</f>
        <v/>
      </c>
      <c r="G22" s="41">
        <f>IF($A22="","","Wheat")</f>
        <v/>
      </c>
      <c r="H22" s="41">
        <f>IF($A22="","","FIFO - Oldest Receipt First")</f>
        <v/>
      </c>
    </row>
    <row r="23" ht="15" customHeight="1" s="42">
      <c r="A23" s="77">
        <f>IFERROR(IF(INDEX('Master Stock'!$Q$2:$Q$100,MATCH(21,'Master Stock'!$Q$2:$Q$100,0))="","",21),"")</f>
        <v/>
      </c>
      <c r="B23" s="41">
        <f>IF($A23="","",INDEX('Master Stock'!$C$2:$C$100,MATCH($A23,'Master Stock'!$Q$2:$Q$100,0)))</f>
        <v/>
      </c>
      <c r="C23" s="41">
        <f>IF($A23="","",INDEX('Master Stock'!$D$2:$D$100,MATCH($A23,'Master Stock'!$Q$2:$Q$100,0)))</f>
        <v/>
      </c>
      <c r="D23" s="77">
        <f>IF($A23="","",IF(ISNUMBER(INDEX('Master Stock'!$B$2:$B$100,MATCH($A23,'Master Stock'!$Q$2:$Q$100,0))),INDEX('Master Stock'!$B$2:$B$100,MATCH($A23,'Master Stock'!$Q$2:$Q$100,0)),IFERROR(DATE(2000+VALUE(RIGHT(INDEX('Master Stock'!$B$2:$B$100,MATCH($A23,'Master Stock'!$Q$2:$Q$100,0)),2)),VALUE(MID(INDEX('Master Stock'!$B$2:$B$100,MATCH($A23,'Master Stock'!$Q$2:$Q$100,0)),4,2)),VALUE(LEFT(INDEX('Master Stock'!$B$2:$B$100,MATCH($A23,'Master Stock'!$Q$2:$Q$100,0)),2))),"")))</f>
        <v/>
      </c>
      <c r="E23" s="41">
        <f>IF($A23="","",INDEX('Master Stock'!$G$2:$G$100,MATCH($A23,'Master Stock'!$Q$2:$Q$100,0)))</f>
        <v/>
      </c>
      <c r="F23" s="41">
        <f>IF($A23="","",INDEX('Master Stock'!$F$2:$F$100,MATCH($A23,'Master Stock'!$Q$2:$Q$100,0)))</f>
        <v/>
      </c>
      <c r="G23" s="41">
        <f>IF($A23="","","Wheat")</f>
        <v/>
      </c>
      <c r="H23" s="41">
        <f>IF($A23="","","FIFO - Oldest Receipt First")</f>
        <v/>
      </c>
    </row>
    <row r="24" ht="15" customHeight="1" s="42">
      <c r="A24" s="77">
        <f>IFERROR(IF(INDEX('Master Stock'!$Q$2:$Q$100,MATCH(22,'Master Stock'!$Q$2:$Q$100,0))="","",22),"")</f>
        <v/>
      </c>
      <c r="B24" s="41">
        <f>IF($A24="","",INDEX('Master Stock'!$C$2:$C$100,MATCH($A24,'Master Stock'!$Q$2:$Q$100,0)))</f>
        <v/>
      </c>
      <c r="C24" s="41">
        <f>IF($A24="","",INDEX('Master Stock'!$D$2:$D$100,MATCH($A24,'Master Stock'!$Q$2:$Q$100,0)))</f>
        <v/>
      </c>
      <c r="D24" s="77">
        <f>IF($A24="","",IF(ISNUMBER(INDEX('Master Stock'!$B$2:$B$100,MATCH($A24,'Master Stock'!$Q$2:$Q$100,0))),INDEX('Master Stock'!$B$2:$B$100,MATCH($A24,'Master Stock'!$Q$2:$Q$100,0)),IFERROR(DATE(2000+VALUE(RIGHT(INDEX('Master Stock'!$B$2:$B$100,MATCH($A24,'Master Stock'!$Q$2:$Q$100,0)),2)),VALUE(MID(INDEX('Master Stock'!$B$2:$B$100,MATCH($A24,'Master Stock'!$Q$2:$Q$100,0)),4,2)),VALUE(LEFT(INDEX('Master Stock'!$B$2:$B$100,MATCH($A24,'Master Stock'!$Q$2:$Q$100,0)),2))),"")))</f>
        <v/>
      </c>
      <c r="E24" s="41">
        <f>IF($A24="","",INDEX('Master Stock'!$G$2:$G$100,MATCH($A24,'Master Stock'!$Q$2:$Q$100,0)))</f>
        <v/>
      </c>
      <c r="F24" s="41">
        <f>IF($A24="","",INDEX('Master Stock'!$F$2:$F$100,MATCH($A24,'Master Stock'!$Q$2:$Q$100,0)))</f>
        <v/>
      </c>
      <c r="G24" s="41">
        <f>IF($A24="","","Wheat")</f>
        <v/>
      </c>
      <c r="H24" s="41">
        <f>IF($A24="","","FIFO - Oldest Receipt First")</f>
        <v/>
      </c>
    </row>
    <row r="25" ht="15" customHeight="1" s="42">
      <c r="A25" s="77">
        <f>IFERROR(IF(INDEX('Master Stock'!$Q$2:$Q$100,MATCH(23,'Master Stock'!$Q$2:$Q$100,0))="","",23),"")</f>
        <v/>
      </c>
      <c r="B25" s="41">
        <f>IF($A25="","",INDEX('Master Stock'!$C$2:$C$100,MATCH($A25,'Master Stock'!$Q$2:$Q$100,0)))</f>
        <v/>
      </c>
      <c r="C25" s="41">
        <f>IF($A25="","",INDEX('Master Stock'!$D$2:$D$100,MATCH($A25,'Master Stock'!$Q$2:$Q$100,0)))</f>
        <v/>
      </c>
      <c r="D25" s="77">
        <f>IF($A25="","",IF(ISNUMBER(INDEX('Master Stock'!$B$2:$B$100,MATCH($A25,'Master Stock'!$Q$2:$Q$100,0))),INDEX('Master Stock'!$B$2:$B$100,MATCH($A25,'Master Stock'!$Q$2:$Q$100,0)),IFERROR(DATE(2000+VALUE(RIGHT(INDEX('Master Stock'!$B$2:$B$100,MATCH($A25,'Master Stock'!$Q$2:$Q$100,0)),2)),VALUE(MID(INDEX('Master Stock'!$B$2:$B$100,MATCH($A25,'Master Stock'!$Q$2:$Q$100,0)),4,2)),VALUE(LEFT(INDEX('Master Stock'!$B$2:$B$100,MATCH($A25,'Master Stock'!$Q$2:$Q$100,0)),2))),"")))</f>
        <v/>
      </c>
      <c r="E25" s="41">
        <f>IF($A25="","",INDEX('Master Stock'!$G$2:$G$100,MATCH($A25,'Master Stock'!$Q$2:$Q$100,0)))</f>
        <v/>
      </c>
      <c r="F25" s="41">
        <f>IF($A25="","",INDEX('Master Stock'!$F$2:$F$100,MATCH($A25,'Master Stock'!$Q$2:$Q$100,0)))</f>
        <v/>
      </c>
      <c r="G25" s="41">
        <f>IF($A25="","","Wheat")</f>
        <v/>
      </c>
      <c r="H25" s="41">
        <f>IF($A25="","","FIFO - Oldest Receipt First")</f>
        <v/>
      </c>
    </row>
    <row r="26" ht="15" customHeight="1" s="42">
      <c r="A26" s="77">
        <f>IFERROR(IF(INDEX('Master Stock'!$Q$2:$Q$100,MATCH(24,'Master Stock'!$Q$2:$Q$100,0))="","",24),"")</f>
        <v/>
      </c>
      <c r="B26" s="41">
        <f>IF($A26="","",INDEX('Master Stock'!$C$2:$C$100,MATCH($A26,'Master Stock'!$Q$2:$Q$100,0)))</f>
        <v/>
      </c>
      <c r="C26" s="41">
        <f>IF($A26="","",INDEX('Master Stock'!$D$2:$D$100,MATCH($A26,'Master Stock'!$Q$2:$Q$100,0)))</f>
        <v/>
      </c>
      <c r="D26" s="77">
        <f>IF($A26="","",IF(ISNUMBER(INDEX('Master Stock'!$B$2:$B$100,MATCH($A26,'Master Stock'!$Q$2:$Q$100,0))),INDEX('Master Stock'!$B$2:$B$100,MATCH($A26,'Master Stock'!$Q$2:$Q$100,0)),IFERROR(DATE(2000+VALUE(RIGHT(INDEX('Master Stock'!$B$2:$B$100,MATCH($A26,'Master Stock'!$Q$2:$Q$100,0)),2)),VALUE(MID(INDEX('Master Stock'!$B$2:$B$100,MATCH($A26,'Master Stock'!$Q$2:$Q$100,0)),4,2)),VALUE(LEFT(INDEX('Master Stock'!$B$2:$B$100,MATCH($A26,'Master Stock'!$Q$2:$Q$100,0)),2))),"")))</f>
        <v/>
      </c>
      <c r="E26" s="41">
        <f>IF($A26="","",INDEX('Master Stock'!$G$2:$G$100,MATCH($A26,'Master Stock'!$Q$2:$Q$100,0)))</f>
        <v/>
      </c>
      <c r="F26" s="41">
        <f>IF($A26="","",INDEX('Master Stock'!$F$2:$F$100,MATCH($A26,'Master Stock'!$Q$2:$Q$100,0)))</f>
        <v/>
      </c>
      <c r="G26" s="41">
        <f>IF($A26="","","Wheat")</f>
        <v/>
      </c>
      <c r="H26" s="41">
        <f>IF($A26="","","FIFO - Oldest Receipt First")</f>
        <v/>
      </c>
    </row>
    <row r="27" ht="15" customHeight="1" s="42">
      <c r="A27" s="77">
        <f>IFERROR(IF(INDEX('Master Stock'!$Q$2:$Q$100,MATCH(25,'Master Stock'!$Q$2:$Q$100,0))="","",25),"")</f>
        <v/>
      </c>
      <c r="B27" s="41">
        <f>IF($A27="","",INDEX('Master Stock'!$C$2:$C$100,MATCH($A27,'Master Stock'!$Q$2:$Q$100,0)))</f>
        <v/>
      </c>
      <c r="C27" s="41">
        <f>IF($A27="","",INDEX('Master Stock'!$D$2:$D$100,MATCH($A27,'Master Stock'!$Q$2:$Q$100,0)))</f>
        <v/>
      </c>
      <c r="D27" s="77">
        <f>IF($A27="","",IF(ISNUMBER(INDEX('Master Stock'!$B$2:$B$100,MATCH($A27,'Master Stock'!$Q$2:$Q$100,0))),INDEX('Master Stock'!$B$2:$B$100,MATCH($A27,'Master Stock'!$Q$2:$Q$100,0)),IFERROR(DATE(2000+VALUE(RIGHT(INDEX('Master Stock'!$B$2:$B$100,MATCH($A27,'Master Stock'!$Q$2:$Q$100,0)),2)),VALUE(MID(INDEX('Master Stock'!$B$2:$B$100,MATCH($A27,'Master Stock'!$Q$2:$Q$100,0)),4,2)),VALUE(LEFT(INDEX('Master Stock'!$B$2:$B$100,MATCH($A27,'Master Stock'!$Q$2:$Q$100,0)),2))),"")))</f>
        <v/>
      </c>
      <c r="E27" s="41">
        <f>IF($A27="","",INDEX('Master Stock'!$G$2:$G$100,MATCH($A27,'Master Stock'!$Q$2:$Q$100,0)))</f>
        <v/>
      </c>
      <c r="F27" s="41">
        <f>IF($A27="","",INDEX('Master Stock'!$F$2:$F$100,MATCH($A27,'Master Stock'!$Q$2:$Q$100,0)))</f>
        <v/>
      </c>
      <c r="G27" s="41">
        <f>IF($A27="","","Wheat")</f>
        <v/>
      </c>
      <c r="H27" s="41">
        <f>IF($A27="","","FIFO - Oldest Receipt First")</f>
        <v/>
      </c>
    </row>
    <row r="28" ht="15" customHeight="1" s="42">
      <c r="A28" s="77">
        <f>IFERROR(IF(INDEX('Master Stock'!$Q$2:$Q$100,MATCH(26,'Master Stock'!$Q$2:$Q$100,0))="","",26),"")</f>
        <v/>
      </c>
      <c r="B28" s="41">
        <f>IF($A28="","",INDEX('Master Stock'!$C$2:$C$100,MATCH($A28,'Master Stock'!$Q$2:$Q$100,0)))</f>
        <v/>
      </c>
      <c r="C28" s="41">
        <f>IF($A28="","",INDEX('Master Stock'!$D$2:$D$100,MATCH($A28,'Master Stock'!$Q$2:$Q$100,0)))</f>
        <v/>
      </c>
      <c r="D28" s="77">
        <f>IF($A28="","",IF(ISNUMBER(INDEX('Master Stock'!$B$2:$B$100,MATCH($A28,'Master Stock'!$Q$2:$Q$100,0))),INDEX('Master Stock'!$B$2:$B$100,MATCH($A28,'Master Stock'!$Q$2:$Q$100,0)),IFERROR(DATE(2000+VALUE(RIGHT(INDEX('Master Stock'!$B$2:$B$100,MATCH($A28,'Master Stock'!$Q$2:$Q$100,0)),2)),VALUE(MID(INDEX('Master Stock'!$B$2:$B$100,MATCH($A28,'Master Stock'!$Q$2:$Q$100,0)),4,2)),VALUE(LEFT(INDEX('Master Stock'!$B$2:$B$100,MATCH($A28,'Master Stock'!$Q$2:$Q$100,0)),2))),"")))</f>
        <v/>
      </c>
      <c r="E28" s="41">
        <f>IF($A28="","",INDEX('Master Stock'!$G$2:$G$100,MATCH($A28,'Master Stock'!$Q$2:$Q$100,0)))</f>
        <v/>
      </c>
      <c r="F28" s="41">
        <f>IF($A28="","",INDEX('Master Stock'!$F$2:$F$100,MATCH($A28,'Master Stock'!$Q$2:$Q$100,0)))</f>
        <v/>
      </c>
      <c r="G28" s="41">
        <f>IF($A28="","","Wheat")</f>
        <v/>
      </c>
      <c r="H28" s="41">
        <f>IF($A28="","","FIFO - Oldest Receipt First")</f>
        <v/>
      </c>
    </row>
    <row r="29" ht="15" customHeight="1" s="42">
      <c r="A29" s="77">
        <f>IFERROR(IF(INDEX('Master Stock'!$Q$2:$Q$100,MATCH(27,'Master Stock'!$Q$2:$Q$100,0))="","",27),"")</f>
        <v/>
      </c>
      <c r="B29" s="41">
        <f>IF($A29="","",INDEX('Master Stock'!$C$2:$C$100,MATCH($A29,'Master Stock'!$Q$2:$Q$100,0)))</f>
        <v/>
      </c>
      <c r="C29" s="41">
        <f>IF($A29="","",INDEX('Master Stock'!$D$2:$D$100,MATCH($A29,'Master Stock'!$Q$2:$Q$100,0)))</f>
        <v/>
      </c>
      <c r="D29" s="77">
        <f>IF($A29="","",IF(ISNUMBER(INDEX('Master Stock'!$B$2:$B$100,MATCH($A29,'Master Stock'!$Q$2:$Q$100,0))),INDEX('Master Stock'!$B$2:$B$100,MATCH($A29,'Master Stock'!$Q$2:$Q$100,0)),IFERROR(DATE(2000+VALUE(RIGHT(INDEX('Master Stock'!$B$2:$B$100,MATCH($A29,'Master Stock'!$Q$2:$Q$100,0)),2)),VALUE(MID(INDEX('Master Stock'!$B$2:$B$100,MATCH($A29,'Master Stock'!$Q$2:$Q$100,0)),4,2)),VALUE(LEFT(INDEX('Master Stock'!$B$2:$B$100,MATCH($A29,'Master Stock'!$Q$2:$Q$100,0)),2))),"")))</f>
        <v/>
      </c>
      <c r="E29" s="41">
        <f>IF($A29="","",INDEX('Master Stock'!$G$2:$G$100,MATCH($A29,'Master Stock'!$Q$2:$Q$100,0)))</f>
        <v/>
      </c>
      <c r="F29" s="41">
        <f>IF($A29="","",INDEX('Master Stock'!$F$2:$F$100,MATCH($A29,'Master Stock'!$Q$2:$Q$100,0)))</f>
        <v/>
      </c>
      <c r="G29" s="41">
        <f>IF($A29="","","Wheat")</f>
        <v/>
      </c>
      <c r="H29" s="41">
        <f>IF($A29="","","FIFO - Oldest Receipt First")</f>
        <v/>
      </c>
    </row>
    <row r="30" ht="15" customHeight="1" s="42">
      <c r="A30" s="77">
        <f>IFERROR(IF(INDEX('Master Stock'!$Q$2:$Q$100,MATCH(28,'Master Stock'!$Q$2:$Q$100,0))="","",28),"")</f>
        <v/>
      </c>
      <c r="B30" s="41">
        <f>IF($A30="","",INDEX('Master Stock'!$C$2:$C$100,MATCH($A30,'Master Stock'!$Q$2:$Q$100,0)))</f>
        <v/>
      </c>
      <c r="C30" s="41">
        <f>IF($A30="","",INDEX('Master Stock'!$D$2:$D$100,MATCH($A30,'Master Stock'!$Q$2:$Q$100,0)))</f>
        <v/>
      </c>
      <c r="D30" s="77">
        <f>IF($A30="","",IF(ISNUMBER(INDEX('Master Stock'!$B$2:$B$100,MATCH($A30,'Master Stock'!$Q$2:$Q$100,0))),INDEX('Master Stock'!$B$2:$B$100,MATCH($A30,'Master Stock'!$Q$2:$Q$100,0)),IFERROR(DATE(2000+VALUE(RIGHT(INDEX('Master Stock'!$B$2:$B$100,MATCH($A30,'Master Stock'!$Q$2:$Q$100,0)),2)),VALUE(MID(INDEX('Master Stock'!$B$2:$B$100,MATCH($A30,'Master Stock'!$Q$2:$Q$100,0)),4,2)),VALUE(LEFT(INDEX('Master Stock'!$B$2:$B$100,MATCH($A30,'Master Stock'!$Q$2:$Q$100,0)),2))),"")))</f>
        <v/>
      </c>
      <c r="E30" s="41">
        <f>IF($A30="","",INDEX('Master Stock'!$G$2:$G$100,MATCH($A30,'Master Stock'!$Q$2:$Q$100,0)))</f>
        <v/>
      </c>
      <c r="F30" s="41">
        <f>IF($A30="","",INDEX('Master Stock'!$F$2:$F$100,MATCH($A30,'Master Stock'!$Q$2:$Q$100,0)))</f>
        <v/>
      </c>
      <c r="G30" s="41">
        <f>IF($A30="","","Wheat")</f>
        <v/>
      </c>
      <c r="H30" s="41">
        <f>IF($A30="","","FIFO - Oldest Receipt First")</f>
        <v/>
      </c>
    </row>
    <row r="31" ht="15" customHeight="1" s="42">
      <c r="A31" s="77">
        <f>IFERROR(IF(INDEX('Master Stock'!$Q$2:$Q$100,MATCH(29,'Master Stock'!$Q$2:$Q$100,0))="","",29),"")</f>
        <v/>
      </c>
      <c r="B31" s="41">
        <f>IF($A31="","",INDEX('Master Stock'!$C$2:$C$100,MATCH($A31,'Master Stock'!$Q$2:$Q$100,0)))</f>
        <v/>
      </c>
      <c r="C31" s="41">
        <f>IF($A31="","",INDEX('Master Stock'!$D$2:$D$100,MATCH($A31,'Master Stock'!$Q$2:$Q$100,0)))</f>
        <v/>
      </c>
      <c r="D31" s="77">
        <f>IF($A31="","",IF(ISNUMBER(INDEX('Master Stock'!$B$2:$B$100,MATCH($A31,'Master Stock'!$Q$2:$Q$100,0))),INDEX('Master Stock'!$B$2:$B$100,MATCH($A31,'Master Stock'!$Q$2:$Q$100,0)),IFERROR(DATE(2000+VALUE(RIGHT(INDEX('Master Stock'!$B$2:$B$100,MATCH($A31,'Master Stock'!$Q$2:$Q$100,0)),2)),VALUE(MID(INDEX('Master Stock'!$B$2:$B$100,MATCH($A31,'Master Stock'!$Q$2:$Q$100,0)),4,2)),VALUE(LEFT(INDEX('Master Stock'!$B$2:$B$100,MATCH($A31,'Master Stock'!$Q$2:$Q$100,0)),2))),"")))</f>
        <v/>
      </c>
      <c r="E31" s="41">
        <f>IF($A31="","",INDEX('Master Stock'!$G$2:$G$100,MATCH($A31,'Master Stock'!$Q$2:$Q$100,0)))</f>
        <v/>
      </c>
      <c r="F31" s="41">
        <f>IF($A31="","",INDEX('Master Stock'!$F$2:$F$100,MATCH($A31,'Master Stock'!$Q$2:$Q$100,0)))</f>
        <v/>
      </c>
      <c r="G31" s="41">
        <f>IF($A31="","","Wheat")</f>
        <v/>
      </c>
      <c r="H31" s="41">
        <f>IF($A31="","","FIFO - Oldest Receipt First")</f>
        <v/>
      </c>
    </row>
    <row r="32" ht="15" customHeight="1" s="42">
      <c r="A32" s="77">
        <f>IFERROR(IF(INDEX('Master Stock'!$Q$2:$Q$100,MATCH(30,'Master Stock'!$Q$2:$Q$100,0))="","",30),"")</f>
        <v/>
      </c>
      <c r="B32" s="41">
        <f>IF($A32="","",INDEX('Master Stock'!$C$2:$C$100,MATCH($A32,'Master Stock'!$Q$2:$Q$100,0)))</f>
        <v/>
      </c>
      <c r="C32" s="41">
        <f>IF($A32="","",INDEX('Master Stock'!$D$2:$D$100,MATCH($A32,'Master Stock'!$Q$2:$Q$100,0)))</f>
        <v/>
      </c>
      <c r="D32" s="77">
        <f>IF($A32="","",IF(ISNUMBER(INDEX('Master Stock'!$B$2:$B$100,MATCH($A32,'Master Stock'!$Q$2:$Q$100,0))),INDEX('Master Stock'!$B$2:$B$100,MATCH($A32,'Master Stock'!$Q$2:$Q$100,0)),IFERROR(DATE(2000+VALUE(RIGHT(INDEX('Master Stock'!$B$2:$B$100,MATCH($A32,'Master Stock'!$Q$2:$Q$100,0)),2)),VALUE(MID(INDEX('Master Stock'!$B$2:$B$100,MATCH($A32,'Master Stock'!$Q$2:$Q$100,0)),4,2)),VALUE(LEFT(INDEX('Master Stock'!$B$2:$B$100,MATCH($A32,'Master Stock'!$Q$2:$Q$100,0)),2))),"")))</f>
        <v/>
      </c>
      <c r="E32" s="41">
        <f>IF($A32="","",INDEX('Master Stock'!$G$2:$G$100,MATCH($A32,'Master Stock'!$Q$2:$Q$100,0)))</f>
        <v/>
      </c>
      <c r="F32" s="41">
        <f>IF($A32="","",INDEX('Master Stock'!$F$2:$F$100,MATCH($A32,'Master Stock'!$Q$2:$Q$100,0)))</f>
        <v/>
      </c>
      <c r="G32" s="41">
        <f>IF($A32="","","Wheat")</f>
        <v/>
      </c>
      <c r="H32" s="41">
        <f>IF($A32="","","FIFO - Oldest Receipt First")</f>
        <v/>
      </c>
    </row>
    <row r="33" ht="15" customHeight="1" s="42">
      <c r="A33" s="77">
        <f>IFERROR(IF(INDEX('Master Stock'!$Q$2:$Q$100,MATCH(31,'Master Stock'!$Q$2:$Q$100,0))="","",31),"")</f>
        <v/>
      </c>
      <c r="B33" s="41">
        <f>IF($A33="","",INDEX('Master Stock'!$C$2:$C$100,MATCH($A33,'Master Stock'!$Q$2:$Q$100,0)))</f>
        <v/>
      </c>
      <c r="C33" s="41">
        <f>IF($A33="","",INDEX('Master Stock'!$D$2:$D$100,MATCH($A33,'Master Stock'!$Q$2:$Q$100,0)))</f>
        <v/>
      </c>
      <c r="D33" s="77">
        <f>IF($A33="","",IF(ISNUMBER(INDEX('Master Stock'!$B$2:$B$100,MATCH($A33,'Master Stock'!$Q$2:$Q$100,0))),INDEX('Master Stock'!$B$2:$B$100,MATCH($A33,'Master Stock'!$Q$2:$Q$100,0)),IFERROR(DATE(2000+VALUE(RIGHT(INDEX('Master Stock'!$B$2:$B$100,MATCH($A33,'Master Stock'!$Q$2:$Q$100,0)),2)),VALUE(MID(INDEX('Master Stock'!$B$2:$B$100,MATCH($A33,'Master Stock'!$Q$2:$Q$100,0)),4,2)),VALUE(LEFT(INDEX('Master Stock'!$B$2:$B$100,MATCH($A33,'Master Stock'!$Q$2:$Q$100,0)),2))),"")))</f>
        <v/>
      </c>
      <c r="E33" s="41">
        <f>IF($A33="","",INDEX('Master Stock'!$G$2:$G$100,MATCH($A33,'Master Stock'!$Q$2:$Q$100,0)))</f>
        <v/>
      </c>
      <c r="F33" s="41">
        <f>IF($A33="","",INDEX('Master Stock'!$F$2:$F$100,MATCH($A33,'Master Stock'!$Q$2:$Q$100,0)))</f>
        <v/>
      </c>
      <c r="G33" s="41">
        <f>IF($A33="","","Wheat")</f>
        <v/>
      </c>
      <c r="H33" s="41">
        <f>IF($A33="","","FIFO - Oldest Receipt First")</f>
        <v/>
      </c>
    </row>
    <row r="34" ht="15" customHeight="1" s="42">
      <c r="A34" s="77">
        <f>IFERROR(IF(INDEX('Master Stock'!$Q$2:$Q$100,MATCH(32,'Master Stock'!$Q$2:$Q$100,0))="","",32),"")</f>
        <v/>
      </c>
      <c r="B34" s="41">
        <f>IF($A34="","",INDEX('Master Stock'!$C$2:$C$100,MATCH($A34,'Master Stock'!$Q$2:$Q$100,0)))</f>
        <v/>
      </c>
      <c r="C34" s="41">
        <f>IF($A34="","",INDEX('Master Stock'!$D$2:$D$100,MATCH($A34,'Master Stock'!$Q$2:$Q$100,0)))</f>
        <v/>
      </c>
      <c r="D34" s="77">
        <f>IF($A34="","",IF(ISNUMBER(INDEX('Master Stock'!$B$2:$B$100,MATCH($A34,'Master Stock'!$Q$2:$Q$100,0))),INDEX('Master Stock'!$B$2:$B$100,MATCH($A34,'Master Stock'!$Q$2:$Q$100,0)),IFERROR(DATE(2000+VALUE(RIGHT(INDEX('Master Stock'!$B$2:$B$100,MATCH($A34,'Master Stock'!$Q$2:$Q$100,0)),2)),VALUE(MID(INDEX('Master Stock'!$B$2:$B$100,MATCH($A34,'Master Stock'!$Q$2:$Q$100,0)),4,2)),VALUE(LEFT(INDEX('Master Stock'!$B$2:$B$100,MATCH($A34,'Master Stock'!$Q$2:$Q$100,0)),2))),"")))</f>
        <v/>
      </c>
      <c r="E34" s="41">
        <f>IF($A34="","",INDEX('Master Stock'!$G$2:$G$100,MATCH($A34,'Master Stock'!$Q$2:$Q$100,0)))</f>
        <v/>
      </c>
      <c r="F34" s="41">
        <f>IF($A34="","",INDEX('Master Stock'!$F$2:$F$100,MATCH($A34,'Master Stock'!$Q$2:$Q$100,0)))</f>
        <v/>
      </c>
      <c r="G34" s="41">
        <f>IF($A34="","","Wheat")</f>
        <v/>
      </c>
      <c r="H34" s="41">
        <f>IF($A34="","","FIFO - Oldest Receipt First")</f>
        <v/>
      </c>
    </row>
    <row r="35" ht="15" customHeight="1" s="42">
      <c r="A35" s="77">
        <f>IFERROR(IF(INDEX('Master Stock'!$Q$2:$Q$100,MATCH(33,'Master Stock'!$Q$2:$Q$100,0))="","",33),"")</f>
        <v/>
      </c>
      <c r="B35" s="41">
        <f>IF($A35="","",INDEX('Master Stock'!$C$2:$C$100,MATCH($A35,'Master Stock'!$Q$2:$Q$100,0)))</f>
        <v/>
      </c>
      <c r="C35" s="41">
        <f>IF($A35="","",INDEX('Master Stock'!$D$2:$D$100,MATCH($A35,'Master Stock'!$Q$2:$Q$100,0)))</f>
        <v/>
      </c>
      <c r="D35" s="77">
        <f>IF($A35="","",IF(ISNUMBER(INDEX('Master Stock'!$B$2:$B$100,MATCH($A35,'Master Stock'!$Q$2:$Q$100,0))),INDEX('Master Stock'!$B$2:$B$100,MATCH($A35,'Master Stock'!$Q$2:$Q$100,0)),IFERROR(DATE(2000+VALUE(RIGHT(INDEX('Master Stock'!$B$2:$B$100,MATCH($A35,'Master Stock'!$Q$2:$Q$100,0)),2)),VALUE(MID(INDEX('Master Stock'!$B$2:$B$100,MATCH($A35,'Master Stock'!$Q$2:$Q$100,0)),4,2)),VALUE(LEFT(INDEX('Master Stock'!$B$2:$B$100,MATCH($A35,'Master Stock'!$Q$2:$Q$100,0)),2))),"")))</f>
        <v/>
      </c>
      <c r="E35" s="41">
        <f>IF($A35="","",INDEX('Master Stock'!$G$2:$G$100,MATCH($A35,'Master Stock'!$Q$2:$Q$100,0)))</f>
        <v/>
      </c>
      <c r="F35" s="41">
        <f>IF($A35="","",INDEX('Master Stock'!$F$2:$F$100,MATCH($A35,'Master Stock'!$Q$2:$Q$100,0)))</f>
        <v/>
      </c>
      <c r="G35" s="41">
        <f>IF($A35="","","Wheat")</f>
        <v/>
      </c>
      <c r="H35" s="41">
        <f>IF($A35="","","FIFO - Oldest Receipt First")</f>
        <v/>
      </c>
    </row>
    <row r="36" ht="15" customHeight="1" s="42">
      <c r="A36" s="77">
        <f>IFERROR(IF(INDEX('Master Stock'!$Q$2:$Q$100,MATCH(34,'Master Stock'!$Q$2:$Q$100,0))="","",34),"")</f>
        <v/>
      </c>
      <c r="B36" s="41">
        <f>IF($A36="","",INDEX('Master Stock'!$C$2:$C$100,MATCH($A36,'Master Stock'!$Q$2:$Q$100,0)))</f>
        <v/>
      </c>
      <c r="C36" s="41">
        <f>IF($A36="","",INDEX('Master Stock'!$D$2:$D$100,MATCH($A36,'Master Stock'!$Q$2:$Q$100,0)))</f>
        <v/>
      </c>
      <c r="D36" s="77">
        <f>IF($A36="","",IF(ISNUMBER(INDEX('Master Stock'!$B$2:$B$100,MATCH($A36,'Master Stock'!$Q$2:$Q$100,0))),INDEX('Master Stock'!$B$2:$B$100,MATCH($A36,'Master Stock'!$Q$2:$Q$100,0)),IFERROR(DATE(2000+VALUE(RIGHT(INDEX('Master Stock'!$B$2:$B$100,MATCH($A36,'Master Stock'!$Q$2:$Q$100,0)),2)),VALUE(MID(INDEX('Master Stock'!$B$2:$B$100,MATCH($A36,'Master Stock'!$Q$2:$Q$100,0)),4,2)),VALUE(LEFT(INDEX('Master Stock'!$B$2:$B$100,MATCH($A36,'Master Stock'!$Q$2:$Q$100,0)),2))),"")))</f>
        <v/>
      </c>
      <c r="E36" s="41">
        <f>IF($A36="","",INDEX('Master Stock'!$G$2:$G$100,MATCH($A36,'Master Stock'!$Q$2:$Q$100,0)))</f>
        <v/>
      </c>
      <c r="F36" s="41">
        <f>IF($A36="","",INDEX('Master Stock'!$F$2:$F$100,MATCH($A36,'Master Stock'!$Q$2:$Q$100,0)))</f>
        <v/>
      </c>
      <c r="G36" s="41">
        <f>IF($A36="","","Wheat")</f>
        <v/>
      </c>
      <c r="H36" s="41">
        <f>IF($A36="","","FIFO - Oldest Receipt First")</f>
        <v/>
      </c>
    </row>
    <row r="37" ht="15" customHeight="1" s="42">
      <c r="A37" s="77">
        <f>IFERROR(IF(INDEX('Master Stock'!$Q$2:$Q$100,MATCH(35,'Master Stock'!$Q$2:$Q$100,0))="","",35),"")</f>
        <v/>
      </c>
      <c r="B37" s="41">
        <f>IF($A37="","",INDEX('Master Stock'!$C$2:$C$100,MATCH($A37,'Master Stock'!$Q$2:$Q$100,0)))</f>
        <v/>
      </c>
      <c r="C37" s="41">
        <f>IF($A37="","",INDEX('Master Stock'!$D$2:$D$100,MATCH($A37,'Master Stock'!$Q$2:$Q$100,0)))</f>
        <v/>
      </c>
      <c r="D37" s="77">
        <f>IF($A37="","",IF(ISNUMBER(INDEX('Master Stock'!$B$2:$B$100,MATCH($A37,'Master Stock'!$Q$2:$Q$100,0))),INDEX('Master Stock'!$B$2:$B$100,MATCH($A37,'Master Stock'!$Q$2:$Q$100,0)),IFERROR(DATE(2000+VALUE(RIGHT(INDEX('Master Stock'!$B$2:$B$100,MATCH($A37,'Master Stock'!$Q$2:$Q$100,0)),2)),VALUE(MID(INDEX('Master Stock'!$B$2:$B$100,MATCH($A37,'Master Stock'!$Q$2:$Q$100,0)),4,2)),VALUE(LEFT(INDEX('Master Stock'!$B$2:$B$100,MATCH($A37,'Master Stock'!$Q$2:$Q$100,0)),2))),"")))</f>
        <v/>
      </c>
      <c r="E37" s="41">
        <f>IF($A37="","",INDEX('Master Stock'!$G$2:$G$100,MATCH($A37,'Master Stock'!$Q$2:$Q$100,0)))</f>
        <v/>
      </c>
      <c r="F37" s="41">
        <f>IF($A37="","",INDEX('Master Stock'!$F$2:$F$100,MATCH($A37,'Master Stock'!$Q$2:$Q$100,0)))</f>
        <v/>
      </c>
      <c r="G37" s="41">
        <f>IF($A37="","","Wheat")</f>
        <v/>
      </c>
      <c r="H37" s="41">
        <f>IF($A37="","","FIFO - Oldest Receipt First")</f>
        <v/>
      </c>
    </row>
    <row r="38" ht="15" customHeight="1" s="42">
      <c r="A38" s="77">
        <f>IFERROR(IF(INDEX('Master Stock'!$Q$2:$Q$100,MATCH(36,'Master Stock'!$Q$2:$Q$100,0))="","",36),"")</f>
        <v/>
      </c>
      <c r="B38" s="41">
        <f>IF($A38="","",INDEX('Master Stock'!$C$2:$C$100,MATCH($A38,'Master Stock'!$Q$2:$Q$100,0)))</f>
        <v/>
      </c>
      <c r="C38" s="41">
        <f>IF($A38="","",INDEX('Master Stock'!$D$2:$D$100,MATCH($A38,'Master Stock'!$Q$2:$Q$100,0)))</f>
        <v/>
      </c>
      <c r="D38" s="77">
        <f>IF($A38="","",IF(ISNUMBER(INDEX('Master Stock'!$B$2:$B$100,MATCH($A38,'Master Stock'!$Q$2:$Q$100,0))),INDEX('Master Stock'!$B$2:$B$100,MATCH($A38,'Master Stock'!$Q$2:$Q$100,0)),IFERROR(DATE(2000+VALUE(RIGHT(INDEX('Master Stock'!$B$2:$B$100,MATCH($A38,'Master Stock'!$Q$2:$Q$100,0)),2)),VALUE(MID(INDEX('Master Stock'!$B$2:$B$100,MATCH($A38,'Master Stock'!$Q$2:$Q$100,0)),4,2)),VALUE(LEFT(INDEX('Master Stock'!$B$2:$B$100,MATCH($A38,'Master Stock'!$Q$2:$Q$100,0)),2))),"")))</f>
        <v/>
      </c>
      <c r="E38" s="41">
        <f>IF($A38="","",INDEX('Master Stock'!$G$2:$G$100,MATCH($A38,'Master Stock'!$Q$2:$Q$100,0)))</f>
        <v/>
      </c>
      <c r="F38" s="41">
        <f>IF($A38="","",INDEX('Master Stock'!$F$2:$F$100,MATCH($A38,'Master Stock'!$Q$2:$Q$100,0)))</f>
        <v/>
      </c>
      <c r="G38" s="41">
        <f>IF($A38="","","Wheat")</f>
        <v/>
      </c>
      <c r="H38" s="41">
        <f>IF($A38="","","FIFO - Oldest Receipt First")</f>
        <v/>
      </c>
    </row>
    <row r="39" ht="15" customHeight="1" s="42">
      <c r="A39" s="77">
        <f>IFERROR(IF(INDEX('Master Stock'!$Q$2:$Q$100,MATCH(37,'Master Stock'!$Q$2:$Q$100,0))="","",37),"")</f>
        <v/>
      </c>
      <c r="B39" s="41">
        <f>IF($A39="","",INDEX('Master Stock'!$C$2:$C$100,MATCH($A39,'Master Stock'!$Q$2:$Q$100,0)))</f>
        <v/>
      </c>
      <c r="C39" s="41">
        <f>IF($A39="","",INDEX('Master Stock'!$D$2:$D$100,MATCH($A39,'Master Stock'!$Q$2:$Q$100,0)))</f>
        <v/>
      </c>
      <c r="D39" s="77">
        <f>IF($A39="","",IF(ISNUMBER(INDEX('Master Stock'!$B$2:$B$100,MATCH($A39,'Master Stock'!$Q$2:$Q$100,0))),INDEX('Master Stock'!$B$2:$B$100,MATCH($A39,'Master Stock'!$Q$2:$Q$100,0)),IFERROR(DATE(2000+VALUE(RIGHT(INDEX('Master Stock'!$B$2:$B$100,MATCH($A39,'Master Stock'!$Q$2:$Q$100,0)),2)),VALUE(MID(INDEX('Master Stock'!$B$2:$B$100,MATCH($A39,'Master Stock'!$Q$2:$Q$100,0)),4,2)),VALUE(LEFT(INDEX('Master Stock'!$B$2:$B$100,MATCH($A39,'Master Stock'!$Q$2:$Q$100,0)),2))),"")))</f>
        <v/>
      </c>
      <c r="E39" s="41">
        <f>IF($A39="","",INDEX('Master Stock'!$G$2:$G$100,MATCH($A39,'Master Stock'!$Q$2:$Q$100,0)))</f>
        <v/>
      </c>
      <c r="F39" s="41">
        <f>IF($A39="","",INDEX('Master Stock'!$F$2:$F$100,MATCH($A39,'Master Stock'!$Q$2:$Q$100,0)))</f>
        <v/>
      </c>
      <c r="G39" s="41">
        <f>IF($A39="","","Wheat")</f>
        <v/>
      </c>
      <c r="H39" s="41">
        <f>IF($A39="","","FIFO - Oldest Receipt First")</f>
        <v/>
      </c>
    </row>
    <row r="40" ht="15" customHeight="1" s="42">
      <c r="A40" s="77">
        <f>IFERROR(IF(INDEX('Master Stock'!$Q$2:$Q$100,MATCH(38,'Master Stock'!$Q$2:$Q$100,0))="","",38),"")</f>
        <v/>
      </c>
      <c r="B40" s="41">
        <f>IF($A40="","",INDEX('Master Stock'!$C$2:$C$100,MATCH($A40,'Master Stock'!$Q$2:$Q$100,0)))</f>
        <v/>
      </c>
      <c r="C40" s="41">
        <f>IF($A40="","",INDEX('Master Stock'!$D$2:$D$100,MATCH($A40,'Master Stock'!$Q$2:$Q$100,0)))</f>
        <v/>
      </c>
      <c r="D40" s="77">
        <f>IF($A40="","",IF(ISNUMBER(INDEX('Master Stock'!$B$2:$B$100,MATCH($A40,'Master Stock'!$Q$2:$Q$100,0))),INDEX('Master Stock'!$B$2:$B$100,MATCH($A40,'Master Stock'!$Q$2:$Q$100,0)),IFERROR(DATE(2000+VALUE(RIGHT(INDEX('Master Stock'!$B$2:$B$100,MATCH($A40,'Master Stock'!$Q$2:$Q$100,0)),2)),VALUE(MID(INDEX('Master Stock'!$B$2:$B$100,MATCH($A40,'Master Stock'!$Q$2:$Q$100,0)),4,2)),VALUE(LEFT(INDEX('Master Stock'!$B$2:$B$100,MATCH($A40,'Master Stock'!$Q$2:$Q$100,0)),2))),"")))</f>
        <v/>
      </c>
      <c r="E40" s="41">
        <f>IF($A40="","",INDEX('Master Stock'!$G$2:$G$100,MATCH($A40,'Master Stock'!$Q$2:$Q$100,0)))</f>
        <v/>
      </c>
      <c r="F40" s="41">
        <f>IF($A40="","",INDEX('Master Stock'!$F$2:$F$100,MATCH($A40,'Master Stock'!$Q$2:$Q$100,0)))</f>
        <v/>
      </c>
      <c r="G40" s="41">
        <f>IF($A40="","","Wheat")</f>
        <v/>
      </c>
      <c r="H40" s="41">
        <f>IF($A40="","","FIFO - Oldest Receipt First")</f>
        <v/>
      </c>
    </row>
    <row r="41" ht="15" customHeight="1" s="42">
      <c r="A41" s="77">
        <f>IFERROR(IF(INDEX('Master Stock'!$Q$2:$Q$100,MATCH(39,'Master Stock'!$Q$2:$Q$100,0))="","",39),"")</f>
        <v/>
      </c>
      <c r="B41" s="41">
        <f>IF($A41="","",INDEX('Master Stock'!$C$2:$C$100,MATCH($A41,'Master Stock'!$Q$2:$Q$100,0)))</f>
        <v/>
      </c>
      <c r="C41" s="41">
        <f>IF($A41="","",INDEX('Master Stock'!$D$2:$D$100,MATCH($A41,'Master Stock'!$Q$2:$Q$100,0)))</f>
        <v/>
      </c>
      <c r="D41" s="77">
        <f>IF($A41="","",IF(ISNUMBER(INDEX('Master Stock'!$B$2:$B$100,MATCH($A41,'Master Stock'!$Q$2:$Q$100,0))),INDEX('Master Stock'!$B$2:$B$100,MATCH($A41,'Master Stock'!$Q$2:$Q$100,0)),IFERROR(DATE(2000+VALUE(RIGHT(INDEX('Master Stock'!$B$2:$B$100,MATCH($A41,'Master Stock'!$Q$2:$Q$100,0)),2)),VALUE(MID(INDEX('Master Stock'!$B$2:$B$100,MATCH($A41,'Master Stock'!$Q$2:$Q$100,0)),4,2)),VALUE(LEFT(INDEX('Master Stock'!$B$2:$B$100,MATCH($A41,'Master Stock'!$Q$2:$Q$100,0)),2))),"")))</f>
        <v/>
      </c>
      <c r="E41" s="41">
        <f>IF($A41="","",INDEX('Master Stock'!$G$2:$G$100,MATCH($A41,'Master Stock'!$Q$2:$Q$100,0)))</f>
        <v/>
      </c>
      <c r="F41" s="41">
        <f>IF($A41="","",INDEX('Master Stock'!$F$2:$F$100,MATCH($A41,'Master Stock'!$Q$2:$Q$100,0)))</f>
        <v/>
      </c>
      <c r="G41" s="41">
        <f>IF($A41="","","Wheat")</f>
        <v/>
      </c>
      <c r="H41" s="41">
        <f>IF($A41="","","FIFO - Oldest Receipt First")</f>
        <v/>
      </c>
    </row>
    <row r="42" ht="15" customHeight="1" s="42">
      <c r="A42" s="77">
        <f>IFERROR(IF(INDEX('Master Stock'!$Q$2:$Q$100,MATCH(40,'Master Stock'!$Q$2:$Q$100,0))="","",40),"")</f>
        <v/>
      </c>
      <c r="B42" s="41">
        <f>IF($A42="","",INDEX('Master Stock'!$C$2:$C$100,MATCH($A42,'Master Stock'!$Q$2:$Q$100,0)))</f>
        <v/>
      </c>
      <c r="C42" s="41">
        <f>IF($A42="","",INDEX('Master Stock'!$D$2:$D$100,MATCH($A42,'Master Stock'!$Q$2:$Q$100,0)))</f>
        <v/>
      </c>
      <c r="D42" s="77">
        <f>IF($A42="","",IF(ISNUMBER(INDEX('Master Stock'!$B$2:$B$100,MATCH($A42,'Master Stock'!$Q$2:$Q$100,0))),INDEX('Master Stock'!$B$2:$B$100,MATCH($A42,'Master Stock'!$Q$2:$Q$100,0)),IFERROR(DATE(2000+VALUE(RIGHT(INDEX('Master Stock'!$B$2:$B$100,MATCH($A42,'Master Stock'!$Q$2:$Q$100,0)),2)),VALUE(MID(INDEX('Master Stock'!$B$2:$B$100,MATCH($A42,'Master Stock'!$Q$2:$Q$100,0)),4,2)),VALUE(LEFT(INDEX('Master Stock'!$B$2:$B$100,MATCH($A42,'Master Stock'!$Q$2:$Q$100,0)),2))),"")))</f>
        <v/>
      </c>
      <c r="E42" s="41">
        <f>IF($A42="","",INDEX('Master Stock'!$G$2:$G$100,MATCH($A42,'Master Stock'!$Q$2:$Q$100,0)))</f>
        <v/>
      </c>
      <c r="F42" s="41">
        <f>IF($A42="","",INDEX('Master Stock'!$F$2:$F$100,MATCH($A42,'Master Stock'!$Q$2:$Q$100,0)))</f>
        <v/>
      </c>
      <c r="G42" s="41">
        <f>IF($A42="","","Wheat")</f>
        <v/>
      </c>
      <c r="H42" s="41">
        <f>IF($A42="","","FIFO - Oldest Receipt First")</f>
        <v/>
      </c>
    </row>
    <row r="43" ht="15" customHeight="1" s="42">
      <c r="A43" s="77">
        <f>IFERROR(IF(INDEX('Master Stock'!$Q$2:$Q$100,MATCH(41,'Master Stock'!$Q$2:$Q$100,0))="","",41),"")</f>
        <v/>
      </c>
      <c r="B43" s="41">
        <f>IF($A43="","",INDEX('Master Stock'!$C$2:$C$100,MATCH($A43,'Master Stock'!$Q$2:$Q$100,0)))</f>
        <v/>
      </c>
      <c r="C43" s="41">
        <f>IF($A43="","",INDEX('Master Stock'!$D$2:$D$100,MATCH($A43,'Master Stock'!$Q$2:$Q$100,0)))</f>
        <v/>
      </c>
      <c r="D43" s="77">
        <f>IF($A43="","",IF(ISNUMBER(INDEX('Master Stock'!$B$2:$B$100,MATCH($A43,'Master Stock'!$Q$2:$Q$100,0))),INDEX('Master Stock'!$B$2:$B$100,MATCH($A43,'Master Stock'!$Q$2:$Q$100,0)),IFERROR(DATE(2000+VALUE(RIGHT(INDEX('Master Stock'!$B$2:$B$100,MATCH($A43,'Master Stock'!$Q$2:$Q$100,0)),2)),VALUE(MID(INDEX('Master Stock'!$B$2:$B$100,MATCH($A43,'Master Stock'!$Q$2:$Q$100,0)),4,2)),VALUE(LEFT(INDEX('Master Stock'!$B$2:$B$100,MATCH($A43,'Master Stock'!$Q$2:$Q$100,0)),2))),"")))</f>
        <v/>
      </c>
      <c r="E43" s="41">
        <f>IF($A43="","",INDEX('Master Stock'!$G$2:$G$100,MATCH($A43,'Master Stock'!$Q$2:$Q$100,0)))</f>
        <v/>
      </c>
      <c r="F43" s="41">
        <f>IF($A43="","",INDEX('Master Stock'!$F$2:$F$100,MATCH($A43,'Master Stock'!$Q$2:$Q$100,0)))</f>
        <v/>
      </c>
      <c r="G43" s="41">
        <f>IF($A43="","","Wheat")</f>
        <v/>
      </c>
      <c r="H43" s="41">
        <f>IF($A43="","","FIFO - Oldest Receipt First")</f>
        <v/>
      </c>
    </row>
    <row r="44" ht="15" customHeight="1" s="42">
      <c r="A44" s="77">
        <f>IFERROR(IF(INDEX('Master Stock'!$Q$2:$Q$100,MATCH(42,'Master Stock'!$Q$2:$Q$100,0))="","",42),"")</f>
        <v/>
      </c>
      <c r="B44" s="41">
        <f>IF($A44="","",INDEX('Master Stock'!$C$2:$C$100,MATCH($A44,'Master Stock'!$Q$2:$Q$100,0)))</f>
        <v/>
      </c>
      <c r="C44" s="41">
        <f>IF($A44="","",INDEX('Master Stock'!$D$2:$D$100,MATCH($A44,'Master Stock'!$Q$2:$Q$100,0)))</f>
        <v/>
      </c>
      <c r="D44" s="77">
        <f>IF($A44="","",IF(ISNUMBER(INDEX('Master Stock'!$B$2:$B$100,MATCH($A44,'Master Stock'!$Q$2:$Q$100,0))),INDEX('Master Stock'!$B$2:$B$100,MATCH($A44,'Master Stock'!$Q$2:$Q$100,0)),IFERROR(DATE(2000+VALUE(RIGHT(INDEX('Master Stock'!$B$2:$B$100,MATCH($A44,'Master Stock'!$Q$2:$Q$100,0)),2)),VALUE(MID(INDEX('Master Stock'!$B$2:$B$100,MATCH($A44,'Master Stock'!$Q$2:$Q$100,0)),4,2)),VALUE(LEFT(INDEX('Master Stock'!$B$2:$B$100,MATCH($A44,'Master Stock'!$Q$2:$Q$100,0)),2))),"")))</f>
        <v/>
      </c>
      <c r="E44" s="41">
        <f>IF($A44="","",INDEX('Master Stock'!$G$2:$G$100,MATCH($A44,'Master Stock'!$Q$2:$Q$100,0)))</f>
        <v/>
      </c>
      <c r="F44" s="41">
        <f>IF($A44="","",INDEX('Master Stock'!$F$2:$F$100,MATCH($A44,'Master Stock'!$Q$2:$Q$100,0)))</f>
        <v/>
      </c>
      <c r="G44" s="41">
        <f>IF($A44="","","Wheat")</f>
        <v/>
      </c>
      <c r="H44" s="41">
        <f>IF($A44="","","FIFO - Oldest Receipt First")</f>
        <v/>
      </c>
    </row>
    <row r="45" ht="15" customHeight="1" s="42">
      <c r="A45" s="77">
        <f>IFERROR(IF(INDEX('Master Stock'!$Q$2:$Q$100,MATCH(43,'Master Stock'!$Q$2:$Q$100,0))="","",43),"")</f>
        <v/>
      </c>
      <c r="B45" s="41">
        <f>IF($A45="","",INDEX('Master Stock'!$C$2:$C$100,MATCH($A45,'Master Stock'!$Q$2:$Q$100,0)))</f>
        <v/>
      </c>
      <c r="C45" s="41">
        <f>IF($A45="","",INDEX('Master Stock'!$D$2:$D$100,MATCH($A45,'Master Stock'!$Q$2:$Q$100,0)))</f>
        <v/>
      </c>
      <c r="D45" s="77">
        <f>IF($A45="","",IF(ISNUMBER(INDEX('Master Stock'!$B$2:$B$100,MATCH($A45,'Master Stock'!$Q$2:$Q$100,0))),INDEX('Master Stock'!$B$2:$B$100,MATCH($A45,'Master Stock'!$Q$2:$Q$100,0)),IFERROR(DATE(2000+VALUE(RIGHT(INDEX('Master Stock'!$B$2:$B$100,MATCH($A45,'Master Stock'!$Q$2:$Q$100,0)),2)),VALUE(MID(INDEX('Master Stock'!$B$2:$B$100,MATCH($A45,'Master Stock'!$Q$2:$Q$100,0)),4,2)),VALUE(LEFT(INDEX('Master Stock'!$B$2:$B$100,MATCH($A45,'Master Stock'!$Q$2:$Q$100,0)),2))),"")))</f>
        <v/>
      </c>
      <c r="E45" s="41">
        <f>IF($A45="","",INDEX('Master Stock'!$G$2:$G$100,MATCH($A45,'Master Stock'!$Q$2:$Q$100,0)))</f>
        <v/>
      </c>
      <c r="F45" s="41">
        <f>IF($A45="","",INDEX('Master Stock'!$F$2:$F$100,MATCH($A45,'Master Stock'!$Q$2:$Q$100,0)))</f>
        <v/>
      </c>
      <c r="G45" s="41">
        <f>IF($A45="","","Wheat")</f>
        <v/>
      </c>
      <c r="H45" s="41">
        <f>IF($A45="","","FIFO - Oldest Receipt First")</f>
        <v/>
      </c>
    </row>
    <row r="46" ht="15" customHeight="1" s="42">
      <c r="A46" s="77">
        <f>IFERROR(IF(INDEX('Master Stock'!$Q$2:$Q$100,MATCH(44,'Master Stock'!$Q$2:$Q$100,0))="","",44),"")</f>
        <v/>
      </c>
      <c r="B46" s="41">
        <f>IF($A46="","",INDEX('Master Stock'!$C$2:$C$100,MATCH($A46,'Master Stock'!$Q$2:$Q$100,0)))</f>
        <v/>
      </c>
      <c r="C46" s="41">
        <f>IF($A46="","",INDEX('Master Stock'!$D$2:$D$100,MATCH($A46,'Master Stock'!$Q$2:$Q$100,0)))</f>
        <v/>
      </c>
      <c r="D46" s="77">
        <f>IF($A46="","",IF(ISNUMBER(INDEX('Master Stock'!$B$2:$B$100,MATCH($A46,'Master Stock'!$Q$2:$Q$100,0))),INDEX('Master Stock'!$B$2:$B$100,MATCH($A46,'Master Stock'!$Q$2:$Q$100,0)),IFERROR(DATE(2000+VALUE(RIGHT(INDEX('Master Stock'!$B$2:$B$100,MATCH($A46,'Master Stock'!$Q$2:$Q$100,0)),2)),VALUE(MID(INDEX('Master Stock'!$B$2:$B$100,MATCH($A46,'Master Stock'!$Q$2:$Q$100,0)),4,2)),VALUE(LEFT(INDEX('Master Stock'!$B$2:$B$100,MATCH($A46,'Master Stock'!$Q$2:$Q$100,0)),2))),"")))</f>
        <v/>
      </c>
      <c r="E46" s="41">
        <f>IF($A46="","",INDEX('Master Stock'!$G$2:$G$100,MATCH($A46,'Master Stock'!$Q$2:$Q$100,0)))</f>
        <v/>
      </c>
      <c r="F46" s="41">
        <f>IF($A46="","",INDEX('Master Stock'!$F$2:$F$100,MATCH($A46,'Master Stock'!$Q$2:$Q$100,0)))</f>
        <v/>
      </c>
      <c r="G46" s="41">
        <f>IF($A46="","","Wheat")</f>
        <v/>
      </c>
      <c r="H46" s="41">
        <f>IF($A46="","","FIFO - Oldest Receipt First")</f>
        <v/>
      </c>
    </row>
    <row r="47" ht="15" customHeight="1" s="42">
      <c r="A47" s="77">
        <f>IFERROR(IF(INDEX('Master Stock'!$Q$2:$Q$100,MATCH(45,'Master Stock'!$Q$2:$Q$100,0))="","",45),"")</f>
        <v/>
      </c>
      <c r="B47" s="41">
        <f>IF($A47="","",INDEX('Master Stock'!$C$2:$C$100,MATCH($A47,'Master Stock'!$Q$2:$Q$100,0)))</f>
        <v/>
      </c>
      <c r="C47" s="41">
        <f>IF($A47="","",INDEX('Master Stock'!$D$2:$D$100,MATCH($A47,'Master Stock'!$Q$2:$Q$100,0)))</f>
        <v/>
      </c>
      <c r="D47" s="77">
        <f>IF($A47="","",IF(ISNUMBER(INDEX('Master Stock'!$B$2:$B$100,MATCH($A47,'Master Stock'!$Q$2:$Q$100,0))),INDEX('Master Stock'!$B$2:$B$100,MATCH($A47,'Master Stock'!$Q$2:$Q$100,0)),IFERROR(DATE(2000+VALUE(RIGHT(INDEX('Master Stock'!$B$2:$B$100,MATCH($A47,'Master Stock'!$Q$2:$Q$100,0)),2)),VALUE(MID(INDEX('Master Stock'!$B$2:$B$100,MATCH($A47,'Master Stock'!$Q$2:$Q$100,0)),4,2)),VALUE(LEFT(INDEX('Master Stock'!$B$2:$B$100,MATCH($A47,'Master Stock'!$Q$2:$Q$100,0)),2))),"")))</f>
        <v/>
      </c>
      <c r="E47" s="41">
        <f>IF($A47="","",INDEX('Master Stock'!$G$2:$G$100,MATCH($A47,'Master Stock'!$Q$2:$Q$100,0)))</f>
        <v/>
      </c>
      <c r="F47" s="41">
        <f>IF($A47="","",INDEX('Master Stock'!$F$2:$F$100,MATCH($A47,'Master Stock'!$Q$2:$Q$100,0)))</f>
        <v/>
      </c>
      <c r="G47" s="41">
        <f>IF($A47="","","Wheat")</f>
        <v/>
      </c>
      <c r="H47" s="41">
        <f>IF($A47="","","FIFO - Oldest Receipt First")</f>
        <v/>
      </c>
    </row>
    <row r="48" ht="15" customHeight="1" s="42">
      <c r="A48" s="77">
        <f>IFERROR(IF(INDEX('Master Stock'!$Q$2:$Q$100,MATCH(46,'Master Stock'!$Q$2:$Q$100,0))="","",46),"")</f>
        <v/>
      </c>
      <c r="B48" s="41">
        <f>IF($A48="","",INDEX('Master Stock'!$C$2:$C$100,MATCH($A48,'Master Stock'!$Q$2:$Q$100,0)))</f>
        <v/>
      </c>
      <c r="C48" s="41">
        <f>IF($A48="","",INDEX('Master Stock'!$D$2:$D$100,MATCH($A48,'Master Stock'!$Q$2:$Q$100,0)))</f>
        <v/>
      </c>
      <c r="D48" s="77">
        <f>IF($A48="","",IF(ISNUMBER(INDEX('Master Stock'!$B$2:$B$100,MATCH($A48,'Master Stock'!$Q$2:$Q$100,0))),INDEX('Master Stock'!$B$2:$B$100,MATCH($A48,'Master Stock'!$Q$2:$Q$100,0)),IFERROR(DATE(2000+VALUE(RIGHT(INDEX('Master Stock'!$B$2:$B$100,MATCH($A48,'Master Stock'!$Q$2:$Q$100,0)),2)),VALUE(MID(INDEX('Master Stock'!$B$2:$B$100,MATCH($A48,'Master Stock'!$Q$2:$Q$100,0)),4,2)),VALUE(LEFT(INDEX('Master Stock'!$B$2:$B$100,MATCH($A48,'Master Stock'!$Q$2:$Q$100,0)),2))),"")))</f>
        <v/>
      </c>
      <c r="E48" s="41">
        <f>IF($A48="","",INDEX('Master Stock'!$G$2:$G$100,MATCH($A48,'Master Stock'!$Q$2:$Q$100,0)))</f>
        <v/>
      </c>
      <c r="F48" s="41">
        <f>IF($A48="","",INDEX('Master Stock'!$F$2:$F$100,MATCH($A48,'Master Stock'!$Q$2:$Q$100,0)))</f>
        <v/>
      </c>
      <c r="G48" s="41">
        <f>IF($A48="","","Wheat")</f>
        <v/>
      </c>
      <c r="H48" s="41">
        <f>IF($A48="","","FIFO - Oldest Receipt First")</f>
        <v/>
      </c>
    </row>
    <row r="49" ht="15" customHeight="1" s="42">
      <c r="A49" s="77">
        <f>IFERROR(IF(INDEX('Master Stock'!$Q$2:$Q$100,MATCH(47,'Master Stock'!$Q$2:$Q$100,0))="","",47),"")</f>
        <v/>
      </c>
      <c r="B49" s="41">
        <f>IF($A49="","",INDEX('Master Stock'!$C$2:$C$100,MATCH($A49,'Master Stock'!$Q$2:$Q$100,0)))</f>
        <v/>
      </c>
      <c r="C49" s="41">
        <f>IF($A49="","",INDEX('Master Stock'!$D$2:$D$100,MATCH($A49,'Master Stock'!$Q$2:$Q$100,0)))</f>
        <v/>
      </c>
      <c r="D49" s="77">
        <f>IF($A49="","",IF(ISNUMBER(INDEX('Master Stock'!$B$2:$B$100,MATCH($A49,'Master Stock'!$Q$2:$Q$100,0))),INDEX('Master Stock'!$B$2:$B$100,MATCH($A49,'Master Stock'!$Q$2:$Q$100,0)),IFERROR(DATE(2000+VALUE(RIGHT(INDEX('Master Stock'!$B$2:$B$100,MATCH($A49,'Master Stock'!$Q$2:$Q$100,0)),2)),VALUE(MID(INDEX('Master Stock'!$B$2:$B$100,MATCH($A49,'Master Stock'!$Q$2:$Q$100,0)),4,2)),VALUE(LEFT(INDEX('Master Stock'!$B$2:$B$100,MATCH($A49,'Master Stock'!$Q$2:$Q$100,0)),2))),"")))</f>
        <v/>
      </c>
      <c r="E49" s="41">
        <f>IF($A49="","",INDEX('Master Stock'!$G$2:$G$100,MATCH($A49,'Master Stock'!$Q$2:$Q$100,0)))</f>
        <v/>
      </c>
      <c r="F49" s="41">
        <f>IF($A49="","",INDEX('Master Stock'!$F$2:$F$100,MATCH($A49,'Master Stock'!$Q$2:$Q$100,0)))</f>
        <v/>
      </c>
      <c r="G49" s="41">
        <f>IF($A49="","","Wheat")</f>
        <v/>
      </c>
      <c r="H49" s="41">
        <f>IF($A49="","","FIFO - Oldest Receipt First")</f>
        <v/>
      </c>
    </row>
    <row r="50" ht="15" customHeight="1" s="42">
      <c r="A50" s="77">
        <f>IFERROR(IF(INDEX('Master Stock'!$Q$2:$Q$100,MATCH(48,'Master Stock'!$Q$2:$Q$100,0))="","",48),"")</f>
        <v/>
      </c>
      <c r="B50" s="41">
        <f>IF($A50="","",INDEX('Master Stock'!$C$2:$C$100,MATCH($A50,'Master Stock'!$Q$2:$Q$100,0)))</f>
        <v/>
      </c>
      <c r="C50" s="41">
        <f>IF($A50="","",INDEX('Master Stock'!$D$2:$D$100,MATCH($A50,'Master Stock'!$Q$2:$Q$100,0)))</f>
        <v/>
      </c>
      <c r="D50" s="77">
        <f>IF($A50="","",IF(ISNUMBER(INDEX('Master Stock'!$B$2:$B$100,MATCH($A50,'Master Stock'!$Q$2:$Q$100,0))),INDEX('Master Stock'!$B$2:$B$100,MATCH($A50,'Master Stock'!$Q$2:$Q$100,0)),IFERROR(DATE(2000+VALUE(RIGHT(INDEX('Master Stock'!$B$2:$B$100,MATCH($A50,'Master Stock'!$Q$2:$Q$100,0)),2)),VALUE(MID(INDEX('Master Stock'!$B$2:$B$100,MATCH($A50,'Master Stock'!$Q$2:$Q$100,0)),4,2)),VALUE(LEFT(INDEX('Master Stock'!$B$2:$B$100,MATCH($A50,'Master Stock'!$Q$2:$Q$100,0)),2))),"")))</f>
        <v/>
      </c>
      <c r="E50" s="41">
        <f>IF($A50="","",INDEX('Master Stock'!$G$2:$G$100,MATCH($A50,'Master Stock'!$Q$2:$Q$100,0)))</f>
        <v/>
      </c>
      <c r="F50" s="41">
        <f>IF($A50="","",INDEX('Master Stock'!$F$2:$F$100,MATCH($A50,'Master Stock'!$Q$2:$Q$100,0)))</f>
        <v/>
      </c>
      <c r="G50" s="41">
        <f>IF($A50="","","Wheat")</f>
        <v/>
      </c>
      <c r="H50" s="41">
        <f>IF($A50="","","FIFO - Oldest Receipt First")</f>
        <v/>
      </c>
    </row>
    <row r="51" ht="15" customHeight="1" s="42">
      <c r="A51" s="77">
        <f>IFERROR(IF(INDEX('Master Stock'!$Q$2:$Q$100,MATCH(49,'Master Stock'!$Q$2:$Q$100,0))="","",49),"")</f>
        <v/>
      </c>
      <c r="B51" s="41">
        <f>IF($A51="","",INDEX('Master Stock'!$C$2:$C$100,MATCH($A51,'Master Stock'!$Q$2:$Q$100,0)))</f>
        <v/>
      </c>
      <c r="C51" s="41">
        <f>IF($A51="","",INDEX('Master Stock'!$D$2:$D$100,MATCH($A51,'Master Stock'!$Q$2:$Q$100,0)))</f>
        <v/>
      </c>
      <c r="D51" s="77">
        <f>IF($A51="","",IF(ISNUMBER(INDEX('Master Stock'!$B$2:$B$100,MATCH($A51,'Master Stock'!$Q$2:$Q$100,0))),INDEX('Master Stock'!$B$2:$B$100,MATCH($A51,'Master Stock'!$Q$2:$Q$100,0)),IFERROR(DATE(2000+VALUE(RIGHT(INDEX('Master Stock'!$B$2:$B$100,MATCH($A51,'Master Stock'!$Q$2:$Q$100,0)),2)),VALUE(MID(INDEX('Master Stock'!$B$2:$B$100,MATCH($A51,'Master Stock'!$Q$2:$Q$100,0)),4,2)),VALUE(LEFT(INDEX('Master Stock'!$B$2:$B$100,MATCH($A51,'Master Stock'!$Q$2:$Q$100,0)),2))),"")))</f>
        <v/>
      </c>
      <c r="E51" s="41">
        <f>IF($A51="","",INDEX('Master Stock'!$G$2:$G$100,MATCH($A51,'Master Stock'!$Q$2:$Q$100,0)))</f>
        <v/>
      </c>
      <c r="F51" s="41">
        <f>IF($A51="","",INDEX('Master Stock'!$F$2:$F$100,MATCH($A51,'Master Stock'!$Q$2:$Q$100,0)))</f>
        <v/>
      </c>
      <c r="G51" s="41">
        <f>IF($A51="","","Wheat")</f>
        <v/>
      </c>
      <c r="H51" s="41">
        <f>IF($A51="","","FIFO - Oldest Receipt First")</f>
        <v/>
      </c>
    </row>
    <row r="52" ht="15" customHeight="1" s="42">
      <c r="A52" s="77">
        <f>IFERROR(IF(INDEX('Master Stock'!$Q$2:$Q$100,MATCH(50,'Master Stock'!$Q$2:$Q$100,0))="","",50),"")</f>
        <v/>
      </c>
      <c r="B52" s="41">
        <f>IF($A52="","",INDEX('Master Stock'!$C$2:$C$100,MATCH($A52,'Master Stock'!$Q$2:$Q$100,0)))</f>
        <v/>
      </c>
      <c r="C52" s="41">
        <f>IF($A52="","",INDEX('Master Stock'!$D$2:$D$100,MATCH($A52,'Master Stock'!$Q$2:$Q$100,0)))</f>
        <v/>
      </c>
      <c r="D52" s="77">
        <f>IF($A52="","",IF(ISNUMBER(INDEX('Master Stock'!$B$2:$B$100,MATCH($A52,'Master Stock'!$Q$2:$Q$100,0))),INDEX('Master Stock'!$B$2:$B$100,MATCH($A52,'Master Stock'!$Q$2:$Q$100,0)),IFERROR(DATE(2000+VALUE(RIGHT(INDEX('Master Stock'!$B$2:$B$100,MATCH($A52,'Master Stock'!$Q$2:$Q$100,0)),2)),VALUE(MID(INDEX('Master Stock'!$B$2:$B$100,MATCH($A52,'Master Stock'!$Q$2:$Q$100,0)),4,2)),VALUE(LEFT(INDEX('Master Stock'!$B$2:$B$100,MATCH($A52,'Master Stock'!$Q$2:$Q$100,0)),2))),"")))</f>
        <v/>
      </c>
      <c r="E52" s="41">
        <f>IF($A52="","",INDEX('Master Stock'!$G$2:$G$100,MATCH($A52,'Master Stock'!$Q$2:$Q$100,0)))</f>
        <v/>
      </c>
      <c r="F52" s="41">
        <f>IF($A52="","",INDEX('Master Stock'!$F$2:$F$100,MATCH($A52,'Master Stock'!$Q$2:$Q$100,0)))</f>
        <v/>
      </c>
      <c r="G52" s="41">
        <f>IF($A52="","","Wheat")</f>
        <v/>
      </c>
      <c r="H52" s="41">
        <f>IF($A52="","","FIFO - Oldest Receipt First")</f>
        <v/>
      </c>
    </row>
    <row r="53" ht="15" customHeight="1" s="42">
      <c r="A53" s="77">
        <f>IFERROR(IF(INDEX('Master Stock'!$Q$2:$Q$100,MATCH(51,'Master Stock'!$Q$2:$Q$100,0))="","",51),"")</f>
        <v/>
      </c>
      <c r="B53" s="41">
        <f>IF($A53="","",INDEX('Master Stock'!$C$2:$C$100,MATCH($A53,'Master Stock'!$Q$2:$Q$100,0)))</f>
        <v/>
      </c>
      <c r="C53" s="41">
        <f>IF($A53="","",INDEX('Master Stock'!$D$2:$D$100,MATCH($A53,'Master Stock'!$Q$2:$Q$100,0)))</f>
        <v/>
      </c>
      <c r="D53" s="77">
        <f>IF($A53="","",IF(ISNUMBER(INDEX('Master Stock'!$B$2:$B$100,MATCH($A53,'Master Stock'!$Q$2:$Q$100,0))),INDEX('Master Stock'!$B$2:$B$100,MATCH($A53,'Master Stock'!$Q$2:$Q$100,0)),IFERROR(DATE(2000+VALUE(RIGHT(INDEX('Master Stock'!$B$2:$B$100,MATCH($A53,'Master Stock'!$Q$2:$Q$100,0)),2)),VALUE(MID(INDEX('Master Stock'!$B$2:$B$100,MATCH($A53,'Master Stock'!$Q$2:$Q$100,0)),4,2)),VALUE(LEFT(INDEX('Master Stock'!$B$2:$B$100,MATCH($A53,'Master Stock'!$Q$2:$Q$100,0)),2))),"")))</f>
        <v/>
      </c>
      <c r="E53" s="41">
        <f>IF($A53="","",INDEX('Master Stock'!$G$2:$G$100,MATCH($A53,'Master Stock'!$Q$2:$Q$100,0)))</f>
        <v/>
      </c>
      <c r="F53" s="41">
        <f>IF($A53="","",INDEX('Master Stock'!$F$2:$F$100,MATCH($A53,'Master Stock'!$Q$2:$Q$100,0)))</f>
        <v/>
      </c>
      <c r="G53" s="41">
        <f>IF($A53="","","Wheat")</f>
        <v/>
      </c>
      <c r="H53" s="41">
        <f>IF($A53="","","FIFO - Oldest Receipt First")</f>
        <v/>
      </c>
    </row>
    <row r="54" ht="15" customHeight="1" s="42">
      <c r="A54" s="77">
        <f>IFERROR(IF(INDEX('Master Stock'!$Q$2:$Q$100,MATCH(52,'Master Stock'!$Q$2:$Q$100,0))="","",52),"")</f>
        <v/>
      </c>
      <c r="B54" s="41">
        <f>IF($A54="","",INDEX('Master Stock'!$C$2:$C$100,MATCH($A54,'Master Stock'!$Q$2:$Q$100,0)))</f>
        <v/>
      </c>
      <c r="C54" s="41">
        <f>IF($A54="","",INDEX('Master Stock'!$D$2:$D$100,MATCH($A54,'Master Stock'!$Q$2:$Q$100,0)))</f>
        <v/>
      </c>
      <c r="D54" s="77">
        <f>IF($A54="","",IF(ISNUMBER(INDEX('Master Stock'!$B$2:$B$100,MATCH($A54,'Master Stock'!$Q$2:$Q$100,0))),INDEX('Master Stock'!$B$2:$B$100,MATCH($A54,'Master Stock'!$Q$2:$Q$100,0)),IFERROR(DATE(2000+VALUE(RIGHT(INDEX('Master Stock'!$B$2:$B$100,MATCH($A54,'Master Stock'!$Q$2:$Q$100,0)),2)),VALUE(MID(INDEX('Master Stock'!$B$2:$B$100,MATCH($A54,'Master Stock'!$Q$2:$Q$100,0)),4,2)),VALUE(LEFT(INDEX('Master Stock'!$B$2:$B$100,MATCH($A54,'Master Stock'!$Q$2:$Q$100,0)),2))),"")))</f>
        <v/>
      </c>
      <c r="E54" s="41">
        <f>IF($A54="","",INDEX('Master Stock'!$G$2:$G$100,MATCH($A54,'Master Stock'!$Q$2:$Q$100,0)))</f>
        <v/>
      </c>
      <c r="F54" s="41">
        <f>IF($A54="","",INDEX('Master Stock'!$F$2:$F$100,MATCH($A54,'Master Stock'!$Q$2:$Q$100,0)))</f>
        <v/>
      </c>
      <c r="G54" s="41">
        <f>IF($A54="","","Wheat")</f>
        <v/>
      </c>
      <c r="H54" s="41">
        <f>IF($A54="","","FIFO - Oldest Receipt First")</f>
        <v/>
      </c>
    </row>
    <row r="55" ht="15" customHeight="1" s="42">
      <c r="A55" s="77">
        <f>IFERROR(IF(INDEX('Master Stock'!$Q$2:$Q$100,MATCH(53,'Master Stock'!$Q$2:$Q$100,0))="","",53),"")</f>
        <v/>
      </c>
      <c r="B55" s="41">
        <f>IF($A55="","",INDEX('Master Stock'!$C$2:$C$100,MATCH($A55,'Master Stock'!$Q$2:$Q$100,0)))</f>
        <v/>
      </c>
      <c r="C55" s="41">
        <f>IF($A55="","",INDEX('Master Stock'!$D$2:$D$100,MATCH($A55,'Master Stock'!$Q$2:$Q$100,0)))</f>
        <v/>
      </c>
      <c r="D55" s="77">
        <f>IF($A55="","",IF(ISNUMBER(INDEX('Master Stock'!$B$2:$B$100,MATCH($A55,'Master Stock'!$Q$2:$Q$100,0))),INDEX('Master Stock'!$B$2:$B$100,MATCH($A55,'Master Stock'!$Q$2:$Q$100,0)),IFERROR(DATE(2000+VALUE(RIGHT(INDEX('Master Stock'!$B$2:$B$100,MATCH($A55,'Master Stock'!$Q$2:$Q$100,0)),2)),VALUE(MID(INDEX('Master Stock'!$B$2:$B$100,MATCH($A55,'Master Stock'!$Q$2:$Q$100,0)),4,2)),VALUE(LEFT(INDEX('Master Stock'!$B$2:$B$100,MATCH($A55,'Master Stock'!$Q$2:$Q$100,0)),2))),"")))</f>
        <v/>
      </c>
      <c r="E55" s="41">
        <f>IF($A55="","",INDEX('Master Stock'!$G$2:$G$100,MATCH($A55,'Master Stock'!$Q$2:$Q$100,0)))</f>
        <v/>
      </c>
      <c r="F55" s="41">
        <f>IF($A55="","",INDEX('Master Stock'!$F$2:$F$100,MATCH($A55,'Master Stock'!$Q$2:$Q$100,0)))</f>
        <v/>
      </c>
      <c r="G55" s="41">
        <f>IF($A55="","","Wheat")</f>
        <v/>
      </c>
      <c r="H55" s="41">
        <f>IF($A55="","","FIFO - Oldest Receipt First")</f>
        <v/>
      </c>
    </row>
    <row r="56" ht="15" customHeight="1" s="42">
      <c r="A56" s="77">
        <f>IFERROR(IF(INDEX('Master Stock'!$Q$2:$Q$100,MATCH(54,'Master Stock'!$Q$2:$Q$100,0))="","",54),"")</f>
        <v/>
      </c>
      <c r="B56" s="41">
        <f>IF($A56="","",INDEX('Master Stock'!$C$2:$C$100,MATCH($A56,'Master Stock'!$Q$2:$Q$100,0)))</f>
        <v/>
      </c>
      <c r="C56" s="41">
        <f>IF($A56="","",INDEX('Master Stock'!$D$2:$D$100,MATCH($A56,'Master Stock'!$Q$2:$Q$100,0)))</f>
        <v/>
      </c>
      <c r="D56" s="77">
        <f>IF($A56="","",IF(ISNUMBER(INDEX('Master Stock'!$B$2:$B$100,MATCH($A56,'Master Stock'!$Q$2:$Q$100,0))),INDEX('Master Stock'!$B$2:$B$100,MATCH($A56,'Master Stock'!$Q$2:$Q$100,0)),IFERROR(DATE(2000+VALUE(RIGHT(INDEX('Master Stock'!$B$2:$B$100,MATCH($A56,'Master Stock'!$Q$2:$Q$100,0)),2)),VALUE(MID(INDEX('Master Stock'!$B$2:$B$100,MATCH($A56,'Master Stock'!$Q$2:$Q$100,0)),4,2)),VALUE(LEFT(INDEX('Master Stock'!$B$2:$B$100,MATCH($A56,'Master Stock'!$Q$2:$Q$100,0)),2))),"")))</f>
        <v/>
      </c>
      <c r="E56" s="41">
        <f>IF($A56="","",INDEX('Master Stock'!$G$2:$G$100,MATCH($A56,'Master Stock'!$Q$2:$Q$100,0)))</f>
        <v/>
      </c>
      <c r="F56" s="41">
        <f>IF($A56="","",INDEX('Master Stock'!$F$2:$F$100,MATCH($A56,'Master Stock'!$Q$2:$Q$100,0)))</f>
        <v/>
      </c>
      <c r="G56" s="41">
        <f>IF($A56="","","Wheat")</f>
        <v/>
      </c>
      <c r="H56" s="41">
        <f>IF($A56="","","FIFO - Oldest Receipt First")</f>
        <v/>
      </c>
    </row>
    <row r="57" ht="15" customHeight="1" s="42">
      <c r="A57" s="77">
        <f>IFERROR(IF(INDEX('Master Stock'!$Q$2:$Q$100,MATCH(55,'Master Stock'!$Q$2:$Q$100,0))="","",55),"")</f>
        <v/>
      </c>
      <c r="B57" s="41">
        <f>IF($A57="","",INDEX('Master Stock'!$C$2:$C$100,MATCH($A57,'Master Stock'!$Q$2:$Q$100,0)))</f>
        <v/>
      </c>
      <c r="C57" s="41">
        <f>IF($A57="","",INDEX('Master Stock'!$D$2:$D$100,MATCH($A57,'Master Stock'!$Q$2:$Q$100,0)))</f>
        <v/>
      </c>
      <c r="D57" s="77">
        <f>IF($A57="","",IF(ISNUMBER(INDEX('Master Stock'!$B$2:$B$100,MATCH($A57,'Master Stock'!$Q$2:$Q$100,0))),INDEX('Master Stock'!$B$2:$B$100,MATCH($A57,'Master Stock'!$Q$2:$Q$100,0)),IFERROR(DATE(2000+VALUE(RIGHT(INDEX('Master Stock'!$B$2:$B$100,MATCH($A57,'Master Stock'!$Q$2:$Q$100,0)),2)),VALUE(MID(INDEX('Master Stock'!$B$2:$B$100,MATCH($A57,'Master Stock'!$Q$2:$Q$100,0)),4,2)),VALUE(LEFT(INDEX('Master Stock'!$B$2:$B$100,MATCH($A57,'Master Stock'!$Q$2:$Q$100,0)),2))),"")))</f>
        <v/>
      </c>
      <c r="E57" s="41">
        <f>IF($A57="","",INDEX('Master Stock'!$G$2:$G$100,MATCH($A57,'Master Stock'!$Q$2:$Q$100,0)))</f>
        <v/>
      </c>
      <c r="F57" s="41">
        <f>IF($A57="","",INDEX('Master Stock'!$F$2:$F$100,MATCH($A57,'Master Stock'!$Q$2:$Q$100,0)))</f>
        <v/>
      </c>
      <c r="G57" s="41">
        <f>IF($A57="","","Wheat")</f>
        <v/>
      </c>
      <c r="H57" s="41">
        <f>IF($A57="","","FIFO - Oldest Receipt First")</f>
        <v/>
      </c>
    </row>
    <row r="58" ht="15" customHeight="1" s="42">
      <c r="A58" s="77">
        <f>IFERROR(IF(INDEX('Master Stock'!$Q$2:$Q$100,MATCH(56,'Master Stock'!$Q$2:$Q$100,0))="","",56),"")</f>
        <v/>
      </c>
      <c r="B58" s="41">
        <f>IF($A58="","",INDEX('Master Stock'!$C$2:$C$100,MATCH($A58,'Master Stock'!$Q$2:$Q$100,0)))</f>
        <v/>
      </c>
      <c r="C58" s="41">
        <f>IF($A58="","",INDEX('Master Stock'!$D$2:$D$100,MATCH($A58,'Master Stock'!$Q$2:$Q$100,0)))</f>
        <v/>
      </c>
      <c r="D58" s="77">
        <f>IF($A58="","",IF(ISNUMBER(INDEX('Master Stock'!$B$2:$B$100,MATCH($A58,'Master Stock'!$Q$2:$Q$100,0))),INDEX('Master Stock'!$B$2:$B$100,MATCH($A58,'Master Stock'!$Q$2:$Q$100,0)),IFERROR(DATE(2000+VALUE(RIGHT(INDEX('Master Stock'!$B$2:$B$100,MATCH($A58,'Master Stock'!$Q$2:$Q$100,0)),2)),VALUE(MID(INDEX('Master Stock'!$B$2:$B$100,MATCH($A58,'Master Stock'!$Q$2:$Q$100,0)),4,2)),VALUE(LEFT(INDEX('Master Stock'!$B$2:$B$100,MATCH($A58,'Master Stock'!$Q$2:$Q$100,0)),2))),"")))</f>
        <v/>
      </c>
      <c r="E58" s="41">
        <f>IF($A58="","",INDEX('Master Stock'!$G$2:$G$100,MATCH($A58,'Master Stock'!$Q$2:$Q$100,0)))</f>
        <v/>
      </c>
      <c r="F58" s="41">
        <f>IF($A58="","",INDEX('Master Stock'!$F$2:$F$100,MATCH($A58,'Master Stock'!$Q$2:$Q$100,0)))</f>
        <v/>
      </c>
      <c r="G58" s="41">
        <f>IF($A58="","","Wheat")</f>
        <v/>
      </c>
      <c r="H58" s="41">
        <f>IF($A58="","","FIFO - Oldest Receipt First")</f>
        <v/>
      </c>
    </row>
    <row r="59" ht="15" customHeight="1" s="42">
      <c r="A59" s="77">
        <f>IFERROR(IF(INDEX('Master Stock'!$Q$2:$Q$100,MATCH(57,'Master Stock'!$Q$2:$Q$100,0))="","",57),"")</f>
        <v/>
      </c>
      <c r="B59" s="41">
        <f>IF($A59="","",INDEX('Master Stock'!$C$2:$C$100,MATCH($A59,'Master Stock'!$Q$2:$Q$100,0)))</f>
        <v/>
      </c>
      <c r="C59" s="41">
        <f>IF($A59="","",INDEX('Master Stock'!$D$2:$D$100,MATCH($A59,'Master Stock'!$Q$2:$Q$100,0)))</f>
        <v/>
      </c>
      <c r="D59" s="77">
        <f>IF($A59="","",IF(ISNUMBER(INDEX('Master Stock'!$B$2:$B$100,MATCH($A59,'Master Stock'!$Q$2:$Q$100,0))),INDEX('Master Stock'!$B$2:$B$100,MATCH($A59,'Master Stock'!$Q$2:$Q$100,0)),IFERROR(DATE(2000+VALUE(RIGHT(INDEX('Master Stock'!$B$2:$B$100,MATCH($A59,'Master Stock'!$Q$2:$Q$100,0)),2)),VALUE(MID(INDEX('Master Stock'!$B$2:$B$100,MATCH($A59,'Master Stock'!$Q$2:$Q$100,0)),4,2)),VALUE(LEFT(INDEX('Master Stock'!$B$2:$B$100,MATCH($A59,'Master Stock'!$Q$2:$Q$100,0)),2))),"")))</f>
        <v/>
      </c>
      <c r="E59" s="41">
        <f>IF($A59="","",INDEX('Master Stock'!$G$2:$G$100,MATCH($A59,'Master Stock'!$Q$2:$Q$100,0)))</f>
        <v/>
      </c>
      <c r="F59" s="41">
        <f>IF($A59="","",INDEX('Master Stock'!$F$2:$F$100,MATCH($A59,'Master Stock'!$Q$2:$Q$100,0)))</f>
        <v/>
      </c>
      <c r="G59" s="41">
        <f>IF($A59="","","Wheat")</f>
        <v/>
      </c>
      <c r="H59" s="41">
        <f>IF($A59="","","FIFO - Oldest Receipt First")</f>
        <v/>
      </c>
    </row>
    <row r="60" ht="15" customHeight="1" s="42">
      <c r="A60" s="77">
        <f>IFERROR(IF(INDEX('Master Stock'!$Q$2:$Q$100,MATCH(58,'Master Stock'!$Q$2:$Q$100,0))="","",58),"")</f>
        <v/>
      </c>
      <c r="B60" s="41">
        <f>IF($A60="","",INDEX('Master Stock'!$C$2:$C$100,MATCH($A60,'Master Stock'!$Q$2:$Q$100,0)))</f>
        <v/>
      </c>
      <c r="C60" s="41">
        <f>IF($A60="","",INDEX('Master Stock'!$D$2:$D$100,MATCH($A60,'Master Stock'!$Q$2:$Q$100,0)))</f>
        <v/>
      </c>
      <c r="D60" s="77">
        <f>IF($A60="","",IF(ISNUMBER(INDEX('Master Stock'!$B$2:$B$100,MATCH($A60,'Master Stock'!$Q$2:$Q$100,0))),INDEX('Master Stock'!$B$2:$B$100,MATCH($A60,'Master Stock'!$Q$2:$Q$100,0)),IFERROR(DATE(2000+VALUE(RIGHT(INDEX('Master Stock'!$B$2:$B$100,MATCH($A60,'Master Stock'!$Q$2:$Q$100,0)),2)),VALUE(MID(INDEX('Master Stock'!$B$2:$B$100,MATCH($A60,'Master Stock'!$Q$2:$Q$100,0)),4,2)),VALUE(LEFT(INDEX('Master Stock'!$B$2:$B$100,MATCH($A60,'Master Stock'!$Q$2:$Q$100,0)),2))),"")))</f>
        <v/>
      </c>
      <c r="E60" s="41">
        <f>IF($A60="","",INDEX('Master Stock'!$G$2:$G$100,MATCH($A60,'Master Stock'!$Q$2:$Q$100,0)))</f>
        <v/>
      </c>
      <c r="F60" s="41">
        <f>IF($A60="","",INDEX('Master Stock'!$F$2:$F$100,MATCH($A60,'Master Stock'!$Q$2:$Q$100,0)))</f>
        <v/>
      </c>
      <c r="G60" s="41">
        <f>IF($A60="","","Wheat")</f>
        <v/>
      </c>
      <c r="H60" s="41">
        <f>IF($A60="","","FIFO - Oldest Receipt First")</f>
        <v/>
      </c>
    </row>
    <row r="61" ht="15" customHeight="1" s="42">
      <c r="A61" s="77">
        <f>IFERROR(IF(INDEX('Master Stock'!$Q$2:$Q$100,MATCH(59,'Master Stock'!$Q$2:$Q$100,0))="","",59),"")</f>
        <v/>
      </c>
      <c r="B61" s="41">
        <f>IF($A61="","",INDEX('Master Stock'!$C$2:$C$100,MATCH($A61,'Master Stock'!$Q$2:$Q$100,0)))</f>
        <v/>
      </c>
      <c r="C61" s="41">
        <f>IF($A61="","",INDEX('Master Stock'!$D$2:$D$100,MATCH($A61,'Master Stock'!$Q$2:$Q$100,0)))</f>
        <v/>
      </c>
      <c r="D61" s="77">
        <f>IF($A61="","",IF(ISNUMBER(INDEX('Master Stock'!$B$2:$B$100,MATCH($A61,'Master Stock'!$Q$2:$Q$100,0))),INDEX('Master Stock'!$B$2:$B$100,MATCH($A61,'Master Stock'!$Q$2:$Q$100,0)),IFERROR(DATE(2000+VALUE(RIGHT(INDEX('Master Stock'!$B$2:$B$100,MATCH($A61,'Master Stock'!$Q$2:$Q$100,0)),2)),VALUE(MID(INDEX('Master Stock'!$B$2:$B$100,MATCH($A61,'Master Stock'!$Q$2:$Q$100,0)),4,2)),VALUE(LEFT(INDEX('Master Stock'!$B$2:$B$100,MATCH($A61,'Master Stock'!$Q$2:$Q$100,0)),2))),"")))</f>
        <v/>
      </c>
      <c r="E61" s="41">
        <f>IF($A61="","",INDEX('Master Stock'!$G$2:$G$100,MATCH($A61,'Master Stock'!$Q$2:$Q$100,0)))</f>
        <v/>
      </c>
      <c r="F61" s="41">
        <f>IF($A61="","",INDEX('Master Stock'!$F$2:$F$100,MATCH($A61,'Master Stock'!$Q$2:$Q$100,0)))</f>
        <v/>
      </c>
      <c r="G61" s="41">
        <f>IF($A61="","","Wheat")</f>
        <v/>
      </c>
      <c r="H61" s="41">
        <f>IF($A61="","","FIFO - Oldest Receipt First")</f>
        <v/>
      </c>
    </row>
    <row r="62" ht="15" customHeight="1" s="42">
      <c r="A62" s="77">
        <f>IFERROR(IF(INDEX('Master Stock'!$Q$2:$Q$100,MATCH(60,'Master Stock'!$Q$2:$Q$100,0))="","",60),"")</f>
        <v/>
      </c>
      <c r="B62" s="41">
        <f>IF($A62="","",INDEX('Master Stock'!$C$2:$C$100,MATCH($A62,'Master Stock'!$Q$2:$Q$100,0)))</f>
        <v/>
      </c>
      <c r="C62" s="41">
        <f>IF($A62="","",INDEX('Master Stock'!$D$2:$D$100,MATCH($A62,'Master Stock'!$Q$2:$Q$100,0)))</f>
        <v/>
      </c>
      <c r="D62" s="77">
        <f>IF($A62="","",IF(ISNUMBER(INDEX('Master Stock'!$B$2:$B$100,MATCH($A62,'Master Stock'!$Q$2:$Q$100,0))),INDEX('Master Stock'!$B$2:$B$100,MATCH($A62,'Master Stock'!$Q$2:$Q$100,0)),IFERROR(DATE(2000+VALUE(RIGHT(INDEX('Master Stock'!$B$2:$B$100,MATCH($A62,'Master Stock'!$Q$2:$Q$100,0)),2)),VALUE(MID(INDEX('Master Stock'!$B$2:$B$100,MATCH($A62,'Master Stock'!$Q$2:$Q$100,0)),4,2)),VALUE(LEFT(INDEX('Master Stock'!$B$2:$B$100,MATCH($A62,'Master Stock'!$Q$2:$Q$100,0)),2))),"")))</f>
        <v/>
      </c>
      <c r="E62" s="41">
        <f>IF($A62="","",INDEX('Master Stock'!$G$2:$G$100,MATCH($A62,'Master Stock'!$Q$2:$Q$100,0)))</f>
        <v/>
      </c>
      <c r="F62" s="41">
        <f>IF($A62="","",INDEX('Master Stock'!$F$2:$F$100,MATCH($A62,'Master Stock'!$Q$2:$Q$100,0)))</f>
        <v/>
      </c>
      <c r="G62" s="41">
        <f>IF($A62="","","Wheat")</f>
        <v/>
      </c>
      <c r="H62" s="41">
        <f>IF($A62="","","FIFO - Oldest Receipt First")</f>
        <v/>
      </c>
    </row>
    <row r="63" ht="15" customHeight="1" s="42">
      <c r="A63" s="77">
        <f>IFERROR(IF(INDEX('Master Stock'!$Q$2:$Q$100,MATCH(61,'Master Stock'!$Q$2:$Q$100,0))="","",61),"")</f>
        <v/>
      </c>
      <c r="B63" s="41">
        <f>IF($A63="","",INDEX('Master Stock'!$C$2:$C$100,MATCH($A63,'Master Stock'!$Q$2:$Q$100,0)))</f>
        <v/>
      </c>
      <c r="C63" s="41">
        <f>IF($A63="","",INDEX('Master Stock'!$D$2:$D$100,MATCH($A63,'Master Stock'!$Q$2:$Q$100,0)))</f>
        <v/>
      </c>
      <c r="D63" s="77">
        <f>IF($A63="","",IF(ISNUMBER(INDEX('Master Stock'!$B$2:$B$100,MATCH($A63,'Master Stock'!$Q$2:$Q$100,0))),INDEX('Master Stock'!$B$2:$B$100,MATCH($A63,'Master Stock'!$Q$2:$Q$100,0)),IFERROR(DATE(2000+VALUE(RIGHT(INDEX('Master Stock'!$B$2:$B$100,MATCH($A63,'Master Stock'!$Q$2:$Q$100,0)),2)),VALUE(MID(INDEX('Master Stock'!$B$2:$B$100,MATCH($A63,'Master Stock'!$Q$2:$Q$100,0)),4,2)),VALUE(LEFT(INDEX('Master Stock'!$B$2:$B$100,MATCH($A63,'Master Stock'!$Q$2:$Q$100,0)),2))),"")))</f>
        <v/>
      </c>
      <c r="E63" s="41">
        <f>IF($A63="","",INDEX('Master Stock'!$G$2:$G$100,MATCH($A63,'Master Stock'!$Q$2:$Q$100,0)))</f>
        <v/>
      </c>
      <c r="F63" s="41">
        <f>IF($A63="","",INDEX('Master Stock'!$F$2:$F$100,MATCH($A63,'Master Stock'!$Q$2:$Q$100,0)))</f>
        <v/>
      </c>
      <c r="G63" s="41">
        <f>IF($A63="","","Wheat")</f>
        <v/>
      </c>
      <c r="H63" s="41">
        <f>IF($A63="","","FIFO - Oldest Receipt First")</f>
        <v/>
      </c>
    </row>
    <row r="64" ht="15" customHeight="1" s="42">
      <c r="A64" s="77">
        <f>IFERROR(IF(INDEX('Master Stock'!$Q$2:$Q$100,MATCH(62,'Master Stock'!$Q$2:$Q$100,0))="","",62),"")</f>
        <v/>
      </c>
      <c r="B64" s="41">
        <f>IF($A64="","",INDEX('Master Stock'!$C$2:$C$100,MATCH($A64,'Master Stock'!$Q$2:$Q$100,0)))</f>
        <v/>
      </c>
      <c r="C64" s="41">
        <f>IF($A64="","",INDEX('Master Stock'!$D$2:$D$100,MATCH($A64,'Master Stock'!$Q$2:$Q$100,0)))</f>
        <v/>
      </c>
      <c r="D64" s="77">
        <f>IF($A64="","",IF(ISNUMBER(INDEX('Master Stock'!$B$2:$B$100,MATCH($A64,'Master Stock'!$Q$2:$Q$100,0))),INDEX('Master Stock'!$B$2:$B$100,MATCH($A64,'Master Stock'!$Q$2:$Q$100,0)),IFERROR(DATE(2000+VALUE(RIGHT(INDEX('Master Stock'!$B$2:$B$100,MATCH($A64,'Master Stock'!$Q$2:$Q$100,0)),2)),VALUE(MID(INDEX('Master Stock'!$B$2:$B$100,MATCH($A64,'Master Stock'!$Q$2:$Q$100,0)),4,2)),VALUE(LEFT(INDEX('Master Stock'!$B$2:$B$100,MATCH($A64,'Master Stock'!$Q$2:$Q$100,0)),2))),"")))</f>
        <v/>
      </c>
      <c r="E64" s="41">
        <f>IF($A64="","",INDEX('Master Stock'!$G$2:$G$100,MATCH($A64,'Master Stock'!$Q$2:$Q$100,0)))</f>
        <v/>
      </c>
      <c r="F64" s="41">
        <f>IF($A64="","",INDEX('Master Stock'!$F$2:$F$100,MATCH($A64,'Master Stock'!$Q$2:$Q$100,0)))</f>
        <v/>
      </c>
      <c r="G64" s="41">
        <f>IF($A64="","","Wheat")</f>
        <v/>
      </c>
      <c r="H64" s="41">
        <f>IF($A64="","","FIFO - Oldest Receipt First")</f>
        <v/>
      </c>
    </row>
    <row r="65" ht="15" customHeight="1" s="42">
      <c r="A65" s="77">
        <f>IFERROR(IF(INDEX('Master Stock'!$Q$2:$Q$100,MATCH(63,'Master Stock'!$Q$2:$Q$100,0))="","",63),"")</f>
        <v/>
      </c>
      <c r="B65" s="41">
        <f>IF($A65="","",INDEX('Master Stock'!$C$2:$C$100,MATCH($A65,'Master Stock'!$Q$2:$Q$100,0)))</f>
        <v/>
      </c>
      <c r="C65" s="41">
        <f>IF($A65="","",INDEX('Master Stock'!$D$2:$D$100,MATCH($A65,'Master Stock'!$Q$2:$Q$100,0)))</f>
        <v/>
      </c>
      <c r="D65" s="77">
        <f>IF($A65="","",IF(ISNUMBER(INDEX('Master Stock'!$B$2:$B$100,MATCH($A65,'Master Stock'!$Q$2:$Q$100,0))),INDEX('Master Stock'!$B$2:$B$100,MATCH($A65,'Master Stock'!$Q$2:$Q$100,0)),IFERROR(DATE(2000+VALUE(RIGHT(INDEX('Master Stock'!$B$2:$B$100,MATCH($A65,'Master Stock'!$Q$2:$Q$100,0)),2)),VALUE(MID(INDEX('Master Stock'!$B$2:$B$100,MATCH($A65,'Master Stock'!$Q$2:$Q$100,0)),4,2)),VALUE(LEFT(INDEX('Master Stock'!$B$2:$B$100,MATCH($A65,'Master Stock'!$Q$2:$Q$100,0)),2))),"")))</f>
        <v/>
      </c>
      <c r="E65" s="41">
        <f>IF($A65="","",INDEX('Master Stock'!$G$2:$G$100,MATCH($A65,'Master Stock'!$Q$2:$Q$100,0)))</f>
        <v/>
      </c>
      <c r="F65" s="41">
        <f>IF($A65="","",INDEX('Master Stock'!$F$2:$F$100,MATCH($A65,'Master Stock'!$Q$2:$Q$100,0)))</f>
        <v/>
      </c>
      <c r="G65" s="41">
        <f>IF($A65="","","Wheat")</f>
        <v/>
      </c>
      <c r="H65" s="41">
        <f>IF($A65="","","FIFO - Oldest Receipt First")</f>
        <v/>
      </c>
    </row>
    <row r="66" ht="15" customHeight="1" s="42">
      <c r="A66" s="77">
        <f>IFERROR(IF(INDEX('Master Stock'!$Q$2:$Q$100,MATCH(64,'Master Stock'!$Q$2:$Q$100,0))="","",64),"")</f>
        <v/>
      </c>
      <c r="B66" s="41">
        <f>IF($A66="","",INDEX('Master Stock'!$C$2:$C$100,MATCH($A66,'Master Stock'!$Q$2:$Q$100,0)))</f>
        <v/>
      </c>
      <c r="C66" s="41">
        <f>IF($A66="","",INDEX('Master Stock'!$D$2:$D$100,MATCH($A66,'Master Stock'!$Q$2:$Q$100,0)))</f>
        <v/>
      </c>
      <c r="D66" s="77">
        <f>IF($A66="","",IF(ISNUMBER(INDEX('Master Stock'!$B$2:$B$100,MATCH($A66,'Master Stock'!$Q$2:$Q$100,0))),INDEX('Master Stock'!$B$2:$B$100,MATCH($A66,'Master Stock'!$Q$2:$Q$100,0)),IFERROR(DATE(2000+VALUE(RIGHT(INDEX('Master Stock'!$B$2:$B$100,MATCH($A66,'Master Stock'!$Q$2:$Q$100,0)),2)),VALUE(MID(INDEX('Master Stock'!$B$2:$B$100,MATCH($A66,'Master Stock'!$Q$2:$Q$100,0)),4,2)),VALUE(LEFT(INDEX('Master Stock'!$B$2:$B$100,MATCH($A66,'Master Stock'!$Q$2:$Q$100,0)),2))),"")))</f>
        <v/>
      </c>
      <c r="E66" s="41">
        <f>IF($A66="","",INDEX('Master Stock'!$G$2:$G$100,MATCH($A66,'Master Stock'!$Q$2:$Q$100,0)))</f>
        <v/>
      </c>
      <c r="F66" s="41">
        <f>IF($A66="","",INDEX('Master Stock'!$F$2:$F$100,MATCH($A66,'Master Stock'!$Q$2:$Q$100,0)))</f>
        <v/>
      </c>
      <c r="G66" s="41">
        <f>IF($A66="","","Wheat")</f>
        <v/>
      </c>
      <c r="H66" s="41">
        <f>IF($A66="","","FIFO - Oldest Receipt First")</f>
        <v/>
      </c>
    </row>
    <row r="67" ht="15" customHeight="1" s="42">
      <c r="A67" s="77">
        <f>IFERROR(IF(INDEX('Master Stock'!$Q$2:$Q$100,MATCH(65,'Master Stock'!$Q$2:$Q$100,0))="","",65),"")</f>
        <v/>
      </c>
      <c r="B67" s="41">
        <f>IF($A67="","",INDEX('Master Stock'!$C$2:$C$100,MATCH($A67,'Master Stock'!$Q$2:$Q$100,0)))</f>
        <v/>
      </c>
      <c r="C67" s="41">
        <f>IF($A67="","",INDEX('Master Stock'!$D$2:$D$100,MATCH($A67,'Master Stock'!$Q$2:$Q$100,0)))</f>
        <v/>
      </c>
      <c r="D67" s="77">
        <f>IF($A67="","",IF(ISNUMBER(INDEX('Master Stock'!$B$2:$B$100,MATCH($A67,'Master Stock'!$Q$2:$Q$100,0))),INDEX('Master Stock'!$B$2:$B$100,MATCH($A67,'Master Stock'!$Q$2:$Q$100,0)),IFERROR(DATE(2000+VALUE(RIGHT(INDEX('Master Stock'!$B$2:$B$100,MATCH($A67,'Master Stock'!$Q$2:$Q$100,0)),2)),VALUE(MID(INDEX('Master Stock'!$B$2:$B$100,MATCH($A67,'Master Stock'!$Q$2:$Q$100,0)),4,2)),VALUE(LEFT(INDEX('Master Stock'!$B$2:$B$100,MATCH($A67,'Master Stock'!$Q$2:$Q$100,0)),2))),"")))</f>
        <v/>
      </c>
      <c r="E67" s="41">
        <f>IF($A67="","",INDEX('Master Stock'!$G$2:$G$100,MATCH($A67,'Master Stock'!$Q$2:$Q$100,0)))</f>
        <v/>
      </c>
      <c r="F67" s="41">
        <f>IF($A67="","",INDEX('Master Stock'!$F$2:$F$100,MATCH($A67,'Master Stock'!$Q$2:$Q$100,0)))</f>
        <v/>
      </c>
      <c r="G67" s="41">
        <f>IF($A67="","","Wheat")</f>
        <v/>
      </c>
      <c r="H67" s="41">
        <f>IF($A67="","","FIFO - Oldest Receipt First")</f>
        <v/>
      </c>
    </row>
    <row r="68" ht="15" customHeight="1" s="42">
      <c r="A68" s="77">
        <f>IFERROR(IF(INDEX('Master Stock'!$Q$2:$Q$100,MATCH(66,'Master Stock'!$Q$2:$Q$100,0))="","",66),"")</f>
        <v/>
      </c>
      <c r="B68" s="41">
        <f>IF($A68="","",INDEX('Master Stock'!$C$2:$C$100,MATCH($A68,'Master Stock'!$Q$2:$Q$100,0)))</f>
        <v/>
      </c>
      <c r="C68" s="41">
        <f>IF($A68="","",INDEX('Master Stock'!$D$2:$D$100,MATCH($A68,'Master Stock'!$Q$2:$Q$100,0)))</f>
        <v/>
      </c>
      <c r="D68" s="77">
        <f>IF($A68="","",IF(ISNUMBER(INDEX('Master Stock'!$B$2:$B$100,MATCH($A68,'Master Stock'!$Q$2:$Q$100,0))),INDEX('Master Stock'!$B$2:$B$100,MATCH($A68,'Master Stock'!$Q$2:$Q$100,0)),IFERROR(DATE(2000+VALUE(RIGHT(INDEX('Master Stock'!$B$2:$B$100,MATCH($A68,'Master Stock'!$Q$2:$Q$100,0)),2)),VALUE(MID(INDEX('Master Stock'!$B$2:$B$100,MATCH($A68,'Master Stock'!$Q$2:$Q$100,0)),4,2)),VALUE(LEFT(INDEX('Master Stock'!$B$2:$B$100,MATCH($A68,'Master Stock'!$Q$2:$Q$100,0)),2))),"")))</f>
        <v/>
      </c>
      <c r="E68" s="41">
        <f>IF($A68="","",INDEX('Master Stock'!$G$2:$G$100,MATCH($A68,'Master Stock'!$Q$2:$Q$100,0)))</f>
        <v/>
      </c>
      <c r="F68" s="41">
        <f>IF($A68="","",INDEX('Master Stock'!$F$2:$F$100,MATCH($A68,'Master Stock'!$Q$2:$Q$100,0)))</f>
        <v/>
      </c>
      <c r="G68" s="41">
        <f>IF($A68="","","Wheat")</f>
        <v/>
      </c>
      <c r="H68" s="41">
        <f>IF($A68="","","FIFO - Oldest Receipt First")</f>
        <v/>
      </c>
    </row>
    <row r="69" ht="15" customHeight="1" s="42">
      <c r="A69" s="77">
        <f>IFERROR(IF(INDEX('Master Stock'!$Q$2:$Q$100,MATCH(67,'Master Stock'!$Q$2:$Q$100,0))="","",67),"")</f>
        <v/>
      </c>
      <c r="B69" s="41">
        <f>IF($A69="","",INDEX('Master Stock'!$C$2:$C$100,MATCH($A69,'Master Stock'!$Q$2:$Q$100,0)))</f>
        <v/>
      </c>
      <c r="C69" s="41">
        <f>IF($A69="","",INDEX('Master Stock'!$D$2:$D$100,MATCH($A69,'Master Stock'!$Q$2:$Q$100,0)))</f>
        <v/>
      </c>
      <c r="D69" s="77">
        <f>IF($A69="","",IF(ISNUMBER(INDEX('Master Stock'!$B$2:$B$100,MATCH($A69,'Master Stock'!$Q$2:$Q$100,0))),INDEX('Master Stock'!$B$2:$B$100,MATCH($A69,'Master Stock'!$Q$2:$Q$100,0)),IFERROR(DATE(2000+VALUE(RIGHT(INDEX('Master Stock'!$B$2:$B$100,MATCH($A69,'Master Stock'!$Q$2:$Q$100,0)),2)),VALUE(MID(INDEX('Master Stock'!$B$2:$B$100,MATCH($A69,'Master Stock'!$Q$2:$Q$100,0)),4,2)),VALUE(LEFT(INDEX('Master Stock'!$B$2:$B$100,MATCH($A69,'Master Stock'!$Q$2:$Q$100,0)),2))),"")))</f>
        <v/>
      </c>
      <c r="E69" s="41">
        <f>IF($A69="","",INDEX('Master Stock'!$G$2:$G$100,MATCH($A69,'Master Stock'!$Q$2:$Q$100,0)))</f>
        <v/>
      </c>
      <c r="F69" s="41">
        <f>IF($A69="","",INDEX('Master Stock'!$F$2:$F$100,MATCH($A69,'Master Stock'!$Q$2:$Q$100,0)))</f>
        <v/>
      </c>
      <c r="G69" s="41">
        <f>IF($A69="","","Wheat")</f>
        <v/>
      </c>
      <c r="H69" s="41">
        <f>IF($A69="","","FIFO - Oldest Receipt First")</f>
        <v/>
      </c>
    </row>
    <row r="70" ht="15" customHeight="1" s="42">
      <c r="A70" s="77">
        <f>IFERROR(IF(INDEX('Master Stock'!$Q$2:$Q$100,MATCH(68,'Master Stock'!$Q$2:$Q$100,0))="","",68),"")</f>
        <v/>
      </c>
      <c r="B70" s="41">
        <f>IF($A70="","",INDEX('Master Stock'!$C$2:$C$100,MATCH($A70,'Master Stock'!$Q$2:$Q$100,0)))</f>
        <v/>
      </c>
      <c r="C70" s="41">
        <f>IF($A70="","",INDEX('Master Stock'!$D$2:$D$100,MATCH($A70,'Master Stock'!$Q$2:$Q$100,0)))</f>
        <v/>
      </c>
      <c r="D70" s="77">
        <f>IF($A70="","",IF(ISNUMBER(INDEX('Master Stock'!$B$2:$B$100,MATCH($A70,'Master Stock'!$Q$2:$Q$100,0))),INDEX('Master Stock'!$B$2:$B$100,MATCH($A70,'Master Stock'!$Q$2:$Q$100,0)),IFERROR(DATE(2000+VALUE(RIGHT(INDEX('Master Stock'!$B$2:$B$100,MATCH($A70,'Master Stock'!$Q$2:$Q$100,0)),2)),VALUE(MID(INDEX('Master Stock'!$B$2:$B$100,MATCH($A70,'Master Stock'!$Q$2:$Q$100,0)),4,2)),VALUE(LEFT(INDEX('Master Stock'!$B$2:$B$100,MATCH($A70,'Master Stock'!$Q$2:$Q$100,0)),2))),"")))</f>
        <v/>
      </c>
      <c r="E70" s="41">
        <f>IF($A70="","",INDEX('Master Stock'!$G$2:$G$100,MATCH($A70,'Master Stock'!$Q$2:$Q$100,0)))</f>
        <v/>
      </c>
      <c r="F70" s="41">
        <f>IF($A70="","",INDEX('Master Stock'!$F$2:$F$100,MATCH($A70,'Master Stock'!$Q$2:$Q$100,0)))</f>
        <v/>
      </c>
      <c r="G70" s="41">
        <f>IF($A70="","","Wheat")</f>
        <v/>
      </c>
      <c r="H70" s="41">
        <f>IF($A70="","","FIFO - Oldest Receipt First")</f>
        <v/>
      </c>
    </row>
    <row r="71" ht="15" customHeight="1" s="42">
      <c r="A71" s="77">
        <f>IFERROR(IF(INDEX('Master Stock'!$Q$2:$Q$100,MATCH(69,'Master Stock'!$Q$2:$Q$100,0))="","",69),"")</f>
        <v/>
      </c>
      <c r="B71" s="41">
        <f>IF($A71="","",INDEX('Master Stock'!$C$2:$C$100,MATCH($A71,'Master Stock'!$Q$2:$Q$100,0)))</f>
        <v/>
      </c>
      <c r="C71" s="41">
        <f>IF($A71="","",INDEX('Master Stock'!$D$2:$D$100,MATCH($A71,'Master Stock'!$Q$2:$Q$100,0)))</f>
        <v/>
      </c>
      <c r="D71" s="77">
        <f>IF($A71="","",IF(ISNUMBER(INDEX('Master Stock'!$B$2:$B$100,MATCH($A71,'Master Stock'!$Q$2:$Q$100,0))),INDEX('Master Stock'!$B$2:$B$100,MATCH($A71,'Master Stock'!$Q$2:$Q$100,0)),IFERROR(DATE(2000+VALUE(RIGHT(INDEX('Master Stock'!$B$2:$B$100,MATCH($A71,'Master Stock'!$Q$2:$Q$100,0)),2)),VALUE(MID(INDEX('Master Stock'!$B$2:$B$100,MATCH($A71,'Master Stock'!$Q$2:$Q$100,0)),4,2)),VALUE(LEFT(INDEX('Master Stock'!$B$2:$B$100,MATCH($A71,'Master Stock'!$Q$2:$Q$100,0)),2))),"")))</f>
        <v/>
      </c>
      <c r="E71" s="41">
        <f>IF($A71="","",INDEX('Master Stock'!$G$2:$G$100,MATCH($A71,'Master Stock'!$Q$2:$Q$100,0)))</f>
        <v/>
      </c>
      <c r="F71" s="41">
        <f>IF($A71="","",INDEX('Master Stock'!$F$2:$F$100,MATCH($A71,'Master Stock'!$Q$2:$Q$100,0)))</f>
        <v/>
      </c>
      <c r="G71" s="41">
        <f>IF($A71="","","Wheat")</f>
        <v/>
      </c>
      <c r="H71" s="41">
        <f>IF($A71="","","FIFO - Oldest Receipt First")</f>
        <v/>
      </c>
    </row>
    <row r="72" ht="15" customHeight="1" s="42">
      <c r="A72" s="77">
        <f>IFERROR(IF(INDEX('Master Stock'!$Q$2:$Q$100,MATCH(70,'Master Stock'!$Q$2:$Q$100,0))="","",70),"")</f>
        <v/>
      </c>
      <c r="B72" s="41">
        <f>IF($A72="","",INDEX('Master Stock'!$C$2:$C$100,MATCH($A72,'Master Stock'!$Q$2:$Q$100,0)))</f>
        <v/>
      </c>
      <c r="C72" s="41">
        <f>IF($A72="","",INDEX('Master Stock'!$D$2:$D$100,MATCH($A72,'Master Stock'!$Q$2:$Q$100,0)))</f>
        <v/>
      </c>
      <c r="D72" s="77">
        <f>IF($A72="","",IF(ISNUMBER(INDEX('Master Stock'!$B$2:$B$100,MATCH($A72,'Master Stock'!$Q$2:$Q$100,0))),INDEX('Master Stock'!$B$2:$B$100,MATCH($A72,'Master Stock'!$Q$2:$Q$100,0)),IFERROR(DATE(2000+VALUE(RIGHT(INDEX('Master Stock'!$B$2:$B$100,MATCH($A72,'Master Stock'!$Q$2:$Q$100,0)),2)),VALUE(MID(INDEX('Master Stock'!$B$2:$B$100,MATCH($A72,'Master Stock'!$Q$2:$Q$100,0)),4,2)),VALUE(LEFT(INDEX('Master Stock'!$B$2:$B$100,MATCH($A72,'Master Stock'!$Q$2:$Q$100,0)),2))),"")))</f>
        <v/>
      </c>
      <c r="E72" s="41">
        <f>IF($A72="","",INDEX('Master Stock'!$G$2:$G$100,MATCH($A72,'Master Stock'!$Q$2:$Q$100,0)))</f>
        <v/>
      </c>
      <c r="F72" s="41">
        <f>IF($A72="","",INDEX('Master Stock'!$F$2:$F$100,MATCH($A72,'Master Stock'!$Q$2:$Q$100,0)))</f>
        <v/>
      </c>
      <c r="G72" s="41">
        <f>IF($A72="","","Wheat")</f>
        <v/>
      </c>
      <c r="H72" s="41">
        <f>IF($A72="","","FIFO - Oldest Receipt First")</f>
        <v/>
      </c>
    </row>
    <row r="73" ht="15" customHeight="1" s="42">
      <c r="A73" s="77">
        <f>IFERROR(IF(INDEX('Master Stock'!$Q$2:$Q$100,MATCH(71,'Master Stock'!$Q$2:$Q$100,0))="","",71),"")</f>
        <v/>
      </c>
      <c r="B73" s="41">
        <f>IF($A73="","",INDEX('Master Stock'!$C$2:$C$100,MATCH($A73,'Master Stock'!$Q$2:$Q$100,0)))</f>
        <v/>
      </c>
      <c r="C73" s="41">
        <f>IF($A73="","",INDEX('Master Stock'!$D$2:$D$100,MATCH($A73,'Master Stock'!$Q$2:$Q$100,0)))</f>
        <v/>
      </c>
      <c r="D73" s="77">
        <f>IF($A73="","",IF(ISNUMBER(INDEX('Master Stock'!$B$2:$B$100,MATCH($A73,'Master Stock'!$Q$2:$Q$100,0))),INDEX('Master Stock'!$B$2:$B$100,MATCH($A73,'Master Stock'!$Q$2:$Q$100,0)),IFERROR(DATE(2000+VALUE(RIGHT(INDEX('Master Stock'!$B$2:$B$100,MATCH($A73,'Master Stock'!$Q$2:$Q$100,0)),2)),VALUE(MID(INDEX('Master Stock'!$B$2:$B$100,MATCH($A73,'Master Stock'!$Q$2:$Q$100,0)),4,2)),VALUE(LEFT(INDEX('Master Stock'!$B$2:$B$100,MATCH($A73,'Master Stock'!$Q$2:$Q$100,0)),2))),"")))</f>
        <v/>
      </c>
      <c r="E73" s="41">
        <f>IF($A73="","",INDEX('Master Stock'!$G$2:$G$100,MATCH($A73,'Master Stock'!$Q$2:$Q$100,0)))</f>
        <v/>
      </c>
      <c r="F73" s="41">
        <f>IF($A73="","",INDEX('Master Stock'!$F$2:$F$100,MATCH($A73,'Master Stock'!$Q$2:$Q$100,0)))</f>
        <v/>
      </c>
      <c r="G73" s="41">
        <f>IF($A73="","","Wheat")</f>
        <v/>
      </c>
      <c r="H73" s="41">
        <f>IF($A73="","","FIFO - Oldest Receipt First")</f>
        <v/>
      </c>
    </row>
    <row r="74" ht="15" customHeight="1" s="42">
      <c r="A74" s="77">
        <f>IFERROR(IF(INDEX('Master Stock'!$Q$2:$Q$100,MATCH(72,'Master Stock'!$Q$2:$Q$100,0))="","",72),"")</f>
        <v/>
      </c>
      <c r="B74" s="41">
        <f>IF($A74="","",INDEX('Master Stock'!$C$2:$C$100,MATCH($A74,'Master Stock'!$Q$2:$Q$100,0)))</f>
        <v/>
      </c>
      <c r="C74" s="41">
        <f>IF($A74="","",INDEX('Master Stock'!$D$2:$D$100,MATCH($A74,'Master Stock'!$Q$2:$Q$100,0)))</f>
        <v/>
      </c>
      <c r="D74" s="77">
        <f>IF($A74="","",IF(ISNUMBER(INDEX('Master Stock'!$B$2:$B$100,MATCH($A74,'Master Stock'!$Q$2:$Q$100,0))),INDEX('Master Stock'!$B$2:$B$100,MATCH($A74,'Master Stock'!$Q$2:$Q$100,0)),IFERROR(DATE(2000+VALUE(RIGHT(INDEX('Master Stock'!$B$2:$B$100,MATCH($A74,'Master Stock'!$Q$2:$Q$100,0)),2)),VALUE(MID(INDEX('Master Stock'!$B$2:$B$100,MATCH($A74,'Master Stock'!$Q$2:$Q$100,0)),4,2)),VALUE(LEFT(INDEX('Master Stock'!$B$2:$B$100,MATCH($A74,'Master Stock'!$Q$2:$Q$100,0)),2))),"")))</f>
        <v/>
      </c>
      <c r="E74" s="41">
        <f>IF($A74="","",INDEX('Master Stock'!$G$2:$G$100,MATCH($A74,'Master Stock'!$Q$2:$Q$100,0)))</f>
        <v/>
      </c>
      <c r="F74" s="41">
        <f>IF($A74="","",INDEX('Master Stock'!$F$2:$F$100,MATCH($A74,'Master Stock'!$Q$2:$Q$100,0)))</f>
        <v/>
      </c>
      <c r="G74" s="41">
        <f>IF($A74="","","Wheat")</f>
        <v/>
      </c>
      <c r="H74" s="41">
        <f>IF($A74="","","FIFO - Oldest Receipt First")</f>
        <v/>
      </c>
    </row>
    <row r="75" ht="15" customHeight="1" s="42">
      <c r="A75" s="77">
        <f>IFERROR(IF(INDEX('Master Stock'!$Q$2:$Q$100,MATCH(73,'Master Stock'!$Q$2:$Q$100,0))="","",73),"")</f>
        <v/>
      </c>
      <c r="B75" s="41">
        <f>IF($A75="","",INDEX('Master Stock'!$C$2:$C$100,MATCH($A75,'Master Stock'!$Q$2:$Q$100,0)))</f>
        <v/>
      </c>
      <c r="C75" s="41">
        <f>IF($A75="","",INDEX('Master Stock'!$D$2:$D$100,MATCH($A75,'Master Stock'!$Q$2:$Q$100,0)))</f>
        <v/>
      </c>
      <c r="D75" s="77">
        <f>IF($A75="","",IF(ISNUMBER(INDEX('Master Stock'!$B$2:$B$100,MATCH($A75,'Master Stock'!$Q$2:$Q$100,0))),INDEX('Master Stock'!$B$2:$B$100,MATCH($A75,'Master Stock'!$Q$2:$Q$100,0)),IFERROR(DATE(2000+VALUE(RIGHT(INDEX('Master Stock'!$B$2:$B$100,MATCH($A75,'Master Stock'!$Q$2:$Q$100,0)),2)),VALUE(MID(INDEX('Master Stock'!$B$2:$B$100,MATCH($A75,'Master Stock'!$Q$2:$Q$100,0)),4,2)),VALUE(LEFT(INDEX('Master Stock'!$B$2:$B$100,MATCH($A75,'Master Stock'!$Q$2:$Q$100,0)),2))),"")))</f>
        <v/>
      </c>
      <c r="E75" s="41">
        <f>IF($A75="","",INDEX('Master Stock'!$G$2:$G$100,MATCH($A75,'Master Stock'!$Q$2:$Q$100,0)))</f>
        <v/>
      </c>
      <c r="F75" s="41">
        <f>IF($A75="","",INDEX('Master Stock'!$F$2:$F$100,MATCH($A75,'Master Stock'!$Q$2:$Q$100,0)))</f>
        <v/>
      </c>
      <c r="G75" s="41">
        <f>IF($A75="","","Wheat")</f>
        <v/>
      </c>
      <c r="H75" s="41">
        <f>IF($A75="","","FIFO - Oldest Receipt First")</f>
        <v/>
      </c>
    </row>
    <row r="76" ht="15" customHeight="1" s="42">
      <c r="A76" s="77">
        <f>IFERROR(IF(INDEX('Master Stock'!$Q$2:$Q$100,MATCH(74,'Master Stock'!$Q$2:$Q$100,0))="","",74),"")</f>
        <v/>
      </c>
      <c r="B76" s="41">
        <f>IF($A76="","",INDEX('Master Stock'!$C$2:$C$100,MATCH($A76,'Master Stock'!$Q$2:$Q$100,0)))</f>
        <v/>
      </c>
      <c r="C76" s="41">
        <f>IF($A76="","",INDEX('Master Stock'!$D$2:$D$100,MATCH($A76,'Master Stock'!$Q$2:$Q$100,0)))</f>
        <v/>
      </c>
      <c r="D76" s="77">
        <f>IF($A76="","",IF(ISNUMBER(INDEX('Master Stock'!$B$2:$B$100,MATCH($A76,'Master Stock'!$Q$2:$Q$100,0))),INDEX('Master Stock'!$B$2:$B$100,MATCH($A76,'Master Stock'!$Q$2:$Q$100,0)),IFERROR(DATE(2000+VALUE(RIGHT(INDEX('Master Stock'!$B$2:$B$100,MATCH($A76,'Master Stock'!$Q$2:$Q$100,0)),2)),VALUE(MID(INDEX('Master Stock'!$B$2:$B$100,MATCH($A76,'Master Stock'!$Q$2:$Q$100,0)),4,2)),VALUE(LEFT(INDEX('Master Stock'!$B$2:$B$100,MATCH($A76,'Master Stock'!$Q$2:$Q$100,0)),2))),"")))</f>
        <v/>
      </c>
      <c r="E76" s="41">
        <f>IF($A76="","",INDEX('Master Stock'!$G$2:$G$100,MATCH($A76,'Master Stock'!$Q$2:$Q$100,0)))</f>
        <v/>
      </c>
      <c r="F76" s="41">
        <f>IF($A76="","",INDEX('Master Stock'!$F$2:$F$100,MATCH($A76,'Master Stock'!$Q$2:$Q$100,0)))</f>
        <v/>
      </c>
      <c r="G76" s="41">
        <f>IF($A76="","","Wheat")</f>
        <v/>
      </c>
      <c r="H76" s="41">
        <f>IF($A76="","","FIFO - Oldest Receipt First")</f>
        <v/>
      </c>
    </row>
    <row r="77" ht="15" customHeight="1" s="42">
      <c r="A77" s="77">
        <f>IFERROR(IF(INDEX('Master Stock'!$Q$2:$Q$100,MATCH(75,'Master Stock'!$Q$2:$Q$100,0))="","",75),"")</f>
        <v/>
      </c>
      <c r="B77" s="41">
        <f>IF($A77="","",INDEX('Master Stock'!$C$2:$C$100,MATCH($A77,'Master Stock'!$Q$2:$Q$100,0)))</f>
        <v/>
      </c>
      <c r="C77" s="41">
        <f>IF($A77="","",INDEX('Master Stock'!$D$2:$D$100,MATCH($A77,'Master Stock'!$Q$2:$Q$100,0)))</f>
        <v/>
      </c>
      <c r="D77" s="77">
        <f>IF($A77="","",IF(ISNUMBER(INDEX('Master Stock'!$B$2:$B$100,MATCH($A77,'Master Stock'!$Q$2:$Q$100,0))),INDEX('Master Stock'!$B$2:$B$100,MATCH($A77,'Master Stock'!$Q$2:$Q$100,0)),IFERROR(DATE(2000+VALUE(RIGHT(INDEX('Master Stock'!$B$2:$B$100,MATCH($A77,'Master Stock'!$Q$2:$Q$100,0)),2)),VALUE(MID(INDEX('Master Stock'!$B$2:$B$100,MATCH($A77,'Master Stock'!$Q$2:$Q$100,0)),4,2)),VALUE(LEFT(INDEX('Master Stock'!$B$2:$B$100,MATCH($A77,'Master Stock'!$Q$2:$Q$100,0)),2))),"")))</f>
        <v/>
      </c>
      <c r="E77" s="41">
        <f>IF($A77="","",INDEX('Master Stock'!$G$2:$G$100,MATCH($A77,'Master Stock'!$Q$2:$Q$100,0)))</f>
        <v/>
      </c>
      <c r="F77" s="41">
        <f>IF($A77="","",INDEX('Master Stock'!$F$2:$F$100,MATCH($A77,'Master Stock'!$Q$2:$Q$100,0)))</f>
        <v/>
      </c>
      <c r="G77" s="41">
        <f>IF($A77="","","Wheat")</f>
        <v/>
      </c>
      <c r="H77" s="41">
        <f>IF($A77="","","FIFO - Oldest Receipt First")</f>
        <v/>
      </c>
    </row>
    <row r="78" ht="15" customHeight="1" s="42">
      <c r="A78" s="77">
        <f>IFERROR(IF(INDEX('Master Stock'!$Q$2:$Q$100,MATCH(76,'Master Stock'!$Q$2:$Q$100,0))="","",76),"")</f>
        <v/>
      </c>
      <c r="B78" s="41">
        <f>IF($A78="","",INDEX('Master Stock'!$C$2:$C$100,MATCH($A78,'Master Stock'!$Q$2:$Q$100,0)))</f>
        <v/>
      </c>
      <c r="C78" s="41">
        <f>IF($A78="","",INDEX('Master Stock'!$D$2:$D$100,MATCH($A78,'Master Stock'!$Q$2:$Q$100,0)))</f>
        <v/>
      </c>
      <c r="D78" s="77">
        <f>IF($A78="","",IF(ISNUMBER(INDEX('Master Stock'!$B$2:$B$100,MATCH($A78,'Master Stock'!$Q$2:$Q$100,0))),INDEX('Master Stock'!$B$2:$B$100,MATCH($A78,'Master Stock'!$Q$2:$Q$100,0)),IFERROR(DATE(2000+VALUE(RIGHT(INDEX('Master Stock'!$B$2:$B$100,MATCH($A78,'Master Stock'!$Q$2:$Q$100,0)),2)),VALUE(MID(INDEX('Master Stock'!$B$2:$B$100,MATCH($A78,'Master Stock'!$Q$2:$Q$100,0)),4,2)),VALUE(LEFT(INDEX('Master Stock'!$B$2:$B$100,MATCH($A78,'Master Stock'!$Q$2:$Q$100,0)),2))),"")))</f>
        <v/>
      </c>
      <c r="E78" s="41">
        <f>IF($A78="","",INDEX('Master Stock'!$G$2:$G$100,MATCH($A78,'Master Stock'!$Q$2:$Q$100,0)))</f>
        <v/>
      </c>
      <c r="F78" s="41">
        <f>IF($A78="","",INDEX('Master Stock'!$F$2:$F$100,MATCH($A78,'Master Stock'!$Q$2:$Q$100,0)))</f>
        <v/>
      </c>
      <c r="G78" s="41">
        <f>IF($A78="","","Wheat")</f>
        <v/>
      </c>
      <c r="H78" s="41">
        <f>IF($A78="","","FIFO - Oldest Receipt First")</f>
        <v/>
      </c>
    </row>
    <row r="79" ht="15" customHeight="1" s="42">
      <c r="A79" s="77">
        <f>IFERROR(IF(INDEX('Master Stock'!$Q$2:$Q$100,MATCH(77,'Master Stock'!$Q$2:$Q$100,0))="","",77),"")</f>
        <v/>
      </c>
      <c r="B79" s="41">
        <f>IF($A79="","",INDEX('Master Stock'!$C$2:$C$100,MATCH($A79,'Master Stock'!$Q$2:$Q$100,0)))</f>
        <v/>
      </c>
      <c r="C79" s="41">
        <f>IF($A79="","",INDEX('Master Stock'!$D$2:$D$100,MATCH($A79,'Master Stock'!$Q$2:$Q$100,0)))</f>
        <v/>
      </c>
      <c r="D79" s="77">
        <f>IF($A79="","",IF(ISNUMBER(INDEX('Master Stock'!$B$2:$B$100,MATCH($A79,'Master Stock'!$Q$2:$Q$100,0))),INDEX('Master Stock'!$B$2:$B$100,MATCH($A79,'Master Stock'!$Q$2:$Q$100,0)),IFERROR(DATE(2000+VALUE(RIGHT(INDEX('Master Stock'!$B$2:$B$100,MATCH($A79,'Master Stock'!$Q$2:$Q$100,0)),2)),VALUE(MID(INDEX('Master Stock'!$B$2:$B$100,MATCH($A79,'Master Stock'!$Q$2:$Q$100,0)),4,2)),VALUE(LEFT(INDEX('Master Stock'!$B$2:$B$100,MATCH($A79,'Master Stock'!$Q$2:$Q$100,0)),2))),"")))</f>
        <v/>
      </c>
      <c r="E79" s="41">
        <f>IF($A79="","",INDEX('Master Stock'!$G$2:$G$100,MATCH($A79,'Master Stock'!$Q$2:$Q$100,0)))</f>
        <v/>
      </c>
      <c r="F79" s="41">
        <f>IF($A79="","",INDEX('Master Stock'!$F$2:$F$100,MATCH($A79,'Master Stock'!$Q$2:$Q$100,0)))</f>
        <v/>
      </c>
      <c r="G79" s="41">
        <f>IF($A79="","","Wheat")</f>
        <v/>
      </c>
      <c r="H79" s="41">
        <f>IF($A79="","","FIFO - Oldest Receipt First")</f>
        <v/>
      </c>
    </row>
    <row r="80" ht="15" customHeight="1" s="42">
      <c r="A80" s="77">
        <f>IFERROR(IF(INDEX('Master Stock'!$Q$2:$Q$100,MATCH(78,'Master Stock'!$Q$2:$Q$100,0))="","",78),"")</f>
        <v/>
      </c>
      <c r="B80" s="41">
        <f>IF($A80="","",INDEX('Master Stock'!$C$2:$C$100,MATCH($A80,'Master Stock'!$Q$2:$Q$100,0)))</f>
        <v/>
      </c>
      <c r="C80" s="41">
        <f>IF($A80="","",INDEX('Master Stock'!$D$2:$D$100,MATCH($A80,'Master Stock'!$Q$2:$Q$100,0)))</f>
        <v/>
      </c>
      <c r="D80" s="77">
        <f>IF($A80="","",IF(ISNUMBER(INDEX('Master Stock'!$B$2:$B$100,MATCH($A80,'Master Stock'!$Q$2:$Q$100,0))),INDEX('Master Stock'!$B$2:$B$100,MATCH($A80,'Master Stock'!$Q$2:$Q$100,0)),IFERROR(DATE(2000+VALUE(RIGHT(INDEX('Master Stock'!$B$2:$B$100,MATCH($A80,'Master Stock'!$Q$2:$Q$100,0)),2)),VALUE(MID(INDEX('Master Stock'!$B$2:$B$100,MATCH($A80,'Master Stock'!$Q$2:$Q$100,0)),4,2)),VALUE(LEFT(INDEX('Master Stock'!$B$2:$B$100,MATCH($A80,'Master Stock'!$Q$2:$Q$100,0)),2))),"")))</f>
        <v/>
      </c>
      <c r="E80" s="41">
        <f>IF($A80="","",INDEX('Master Stock'!$G$2:$G$100,MATCH($A80,'Master Stock'!$Q$2:$Q$100,0)))</f>
        <v/>
      </c>
      <c r="F80" s="41">
        <f>IF($A80="","",INDEX('Master Stock'!$F$2:$F$100,MATCH($A80,'Master Stock'!$Q$2:$Q$100,0)))</f>
        <v/>
      </c>
      <c r="G80" s="41">
        <f>IF($A80="","","Wheat")</f>
        <v/>
      </c>
      <c r="H80" s="41">
        <f>IF($A80="","","FIFO - Oldest Receipt First")</f>
        <v/>
      </c>
    </row>
    <row r="81" ht="15" customHeight="1" s="42">
      <c r="A81" s="77">
        <f>IFERROR(IF(INDEX('Master Stock'!$Q$2:$Q$100,MATCH(79,'Master Stock'!$Q$2:$Q$100,0))="","",79),"")</f>
        <v/>
      </c>
      <c r="B81" s="41">
        <f>IF($A81="","",INDEX('Master Stock'!$C$2:$C$100,MATCH($A81,'Master Stock'!$Q$2:$Q$100,0)))</f>
        <v/>
      </c>
      <c r="C81" s="41">
        <f>IF($A81="","",INDEX('Master Stock'!$D$2:$D$100,MATCH($A81,'Master Stock'!$Q$2:$Q$100,0)))</f>
        <v/>
      </c>
      <c r="D81" s="77">
        <f>IF($A81="","",IF(ISNUMBER(INDEX('Master Stock'!$B$2:$B$100,MATCH($A81,'Master Stock'!$Q$2:$Q$100,0))),INDEX('Master Stock'!$B$2:$B$100,MATCH($A81,'Master Stock'!$Q$2:$Q$100,0)),IFERROR(DATE(2000+VALUE(RIGHT(INDEX('Master Stock'!$B$2:$B$100,MATCH($A81,'Master Stock'!$Q$2:$Q$100,0)),2)),VALUE(MID(INDEX('Master Stock'!$B$2:$B$100,MATCH($A81,'Master Stock'!$Q$2:$Q$100,0)),4,2)),VALUE(LEFT(INDEX('Master Stock'!$B$2:$B$100,MATCH($A81,'Master Stock'!$Q$2:$Q$100,0)),2))),"")))</f>
        <v/>
      </c>
      <c r="E81" s="41">
        <f>IF($A81="","",INDEX('Master Stock'!$G$2:$G$100,MATCH($A81,'Master Stock'!$Q$2:$Q$100,0)))</f>
        <v/>
      </c>
      <c r="F81" s="41">
        <f>IF($A81="","",INDEX('Master Stock'!$F$2:$F$100,MATCH($A81,'Master Stock'!$Q$2:$Q$100,0)))</f>
        <v/>
      </c>
      <c r="G81" s="41">
        <f>IF($A81="","","Wheat")</f>
        <v/>
      </c>
      <c r="H81" s="41">
        <f>IF($A81="","","FIFO - Oldest Receipt First")</f>
        <v/>
      </c>
    </row>
    <row r="82" ht="15" customHeight="1" s="42">
      <c r="A82" s="77">
        <f>IFERROR(IF(INDEX('Master Stock'!$Q$2:$Q$100,MATCH(80,'Master Stock'!$Q$2:$Q$100,0))="","",80),"")</f>
        <v/>
      </c>
      <c r="B82" s="41">
        <f>IF($A82="","",INDEX('Master Stock'!$C$2:$C$100,MATCH($A82,'Master Stock'!$Q$2:$Q$100,0)))</f>
        <v/>
      </c>
      <c r="C82" s="41">
        <f>IF($A82="","",INDEX('Master Stock'!$D$2:$D$100,MATCH($A82,'Master Stock'!$Q$2:$Q$100,0)))</f>
        <v/>
      </c>
      <c r="D82" s="77">
        <f>IF($A82="","",IF(ISNUMBER(INDEX('Master Stock'!$B$2:$B$100,MATCH($A82,'Master Stock'!$Q$2:$Q$100,0))),INDEX('Master Stock'!$B$2:$B$100,MATCH($A82,'Master Stock'!$Q$2:$Q$100,0)),IFERROR(DATE(2000+VALUE(RIGHT(INDEX('Master Stock'!$B$2:$B$100,MATCH($A82,'Master Stock'!$Q$2:$Q$100,0)),2)),VALUE(MID(INDEX('Master Stock'!$B$2:$B$100,MATCH($A82,'Master Stock'!$Q$2:$Q$100,0)),4,2)),VALUE(LEFT(INDEX('Master Stock'!$B$2:$B$100,MATCH($A82,'Master Stock'!$Q$2:$Q$100,0)),2))),"")))</f>
        <v/>
      </c>
      <c r="E82" s="41">
        <f>IF($A82="","",INDEX('Master Stock'!$G$2:$G$100,MATCH($A82,'Master Stock'!$Q$2:$Q$100,0)))</f>
        <v/>
      </c>
      <c r="F82" s="41">
        <f>IF($A82="","",INDEX('Master Stock'!$F$2:$F$100,MATCH($A82,'Master Stock'!$Q$2:$Q$100,0)))</f>
        <v/>
      </c>
      <c r="G82" s="41">
        <f>IF($A82="","","Wheat")</f>
        <v/>
      </c>
      <c r="H82" s="41">
        <f>IF($A82="","","FIFO - Oldest Receipt First")</f>
        <v/>
      </c>
    </row>
    <row r="83" ht="15" customHeight="1" s="42">
      <c r="A83" s="77">
        <f>IFERROR(IF(INDEX('Master Stock'!$Q$2:$Q$100,MATCH(81,'Master Stock'!$Q$2:$Q$100,0))="","",81),"")</f>
        <v/>
      </c>
      <c r="B83" s="41">
        <f>IF($A83="","",INDEX('Master Stock'!$C$2:$C$100,MATCH($A83,'Master Stock'!$Q$2:$Q$100,0)))</f>
        <v/>
      </c>
      <c r="C83" s="41">
        <f>IF($A83="","",INDEX('Master Stock'!$D$2:$D$100,MATCH($A83,'Master Stock'!$Q$2:$Q$100,0)))</f>
        <v/>
      </c>
      <c r="D83" s="77">
        <f>IF($A83="","",IF(ISNUMBER(INDEX('Master Stock'!$B$2:$B$100,MATCH($A83,'Master Stock'!$Q$2:$Q$100,0))),INDEX('Master Stock'!$B$2:$B$100,MATCH($A83,'Master Stock'!$Q$2:$Q$100,0)),IFERROR(DATE(2000+VALUE(RIGHT(INDEX('Master Stock'!$B$2:$B$100,MATCH($A83,'Master Stock'!$Q$2:$Q$100,0)),2)),VALUE(MID(INDEX('Master Stock'!$B$2:$B$100,MATCH($A83,'Master Stock'!$Q$2:$Q$100,0)),4,2)),VALUE(LEFT(INDEX('Master Stock'!$B$2:$B$100,MATCH($A83,'Master Stock'!$Q$2:$Q$100,0)),2))),"")))</f>
        <v/>
      </c>
      <c r="E83" s="41">
        <f>IF($A83="","",INDEX('Master Stock'!$G$2:$G$100,MATCH($A83,'Master Stock'!$Q$2:$Q$100,0)))</f>
        <v/>
      </c>
      <c r="F83" s="41">
        <f>IF($A83="","",INDEX('Master Stock'!$F$2:$F$100,MATCH($A83,'Master Stock'!$Q$2:$Q$100,0)))</f>
        <v/>
      </c>
      <c r="G83" s="41">
        <f>IF($A83="","","Wheat")</f>
        <v/>
      </c>
      <c r="H83" s="41">
        <f>IF($A83="","","FIFO - Oldest Receipt First")</f>
        <v/>
      </c>
    </row>
    <row r="84" ht="15" customHeight="1" s="42">
      <c r="A84" s="77">
        <f>IFERROR(IF(INDEX('Master Stock'!$Q$2:$Q$100,MATCH(82,'Master Stock'!$Q$2:$Q$100,0))="","",82),"")</f>
        <v/>
      </c>
      <c r="B84" s="41">
        <f>IF($A84="","",INDEX('Master Stock'!$C$2:$C$100,MATCH($A84,'Master Stock'!$Q$2:$Q$100,0)))</f>
        <v/>
      </c>
      <c r="C84" s="41">
        <f>IF($A84="","",INDEX('Master Stock'!$D$2:$D$100,MATCH($A84,'Master Stock'!$Q$2:$Q$100,0)))</f>
        <v/>
      </c>
      <c r="D84" s="77">
        <f>IF($A84="","",IF(ISNUMBER(INDEX('Master Stock'!$B$2:$B$100,MATCH($A84,'Master Stock'!$Q$2:$Q$100,0))),INDEX('Master Stock'!$B$2:$B$100,MATCH($A84,'Master Stock'!$Q$2:$Q$100,0)),IFERROR(DATE(2000+VALUE(RIGHT(INDEX('Master Stock'!$B$2:$B$100,MATCH($A84,'Master Stock'!$Q$2:$Q$100,0)),2)),VALUE(MID(INDEX('Master Stock'!$B$2:$B$100,MATCH($A84,'Master Stock'!$Q$2:$Q$100,0)),4,2)),VALUE(LEFT(INDEX('Master Stock'!$B$2:$B$100,MATCH($A84,'Master Stock'!$Q$2:$Q$100,0)),2))),"")))</f>
        <v/>
      </c>
      <c r="E84" s="41">
        <f>IF($A84="","",INDEX('Master Stock'!$G$2:$G$100,MATCH($A84,'Master Stock'!$Q$2:$Q$100,0)))</f>
        <v/>
      </c>
      <c r="F84" s="41">
        <f>IF($A84="","",INDEX('Master Stock'!$F$2:$F$100,MATCH($A84,'Master Stock'!$Q$2:$Q$100,0)))</f>
        <v/>
      </c>
      <c r="G84" s="41">
        <f>IF($A84="","","Wheat")</f>
        <v/>
      </c>
      <c r="H84" s="41">
        <f>IF($A84="","","FIFO - Oldest Receipt First")</f>
        <v/>
      </c>
    </row>
    <row r="85" ht="15" customHeight="1" s="42">
      <c r="A85" s="77">
        <f>IFERROR(IF(INDEX('Master Stock'!$Q$2:$Q$100,MATCH(83,'Master Stock'!$Q$2:$Q$100,0))="","",83),"")</f>
        <v/>
      </c>
      <c r="B85" s="41">
        <f>IF($A85="","",INDEX('Master Stock'!$C$2:$C$100,MATCH($A85,'Master Stock'!$Q$2:$Q$100,0)))</f>
        <v/>
      </c>
      <c r="C85" s="41">
        <f>IF($A85="","",INDEX('Master Stock'!$D$2:$D$100,MATCH($A85,'Master Stock'!$Q$2:$Q$100,0)))</f>
        <v/>
      </c>
      <c r="D85" s="77">
        <f>IF($A85="","",IF(ISNUMBER(INDEX('Master Stock'!$B$2:$B$100,MATCH($A85,'Master Stock'!$Q$2:$Q$100,0))),INDEX('Master Stock'!$B$2:$B$100,MATCH($A85,'Master Stock'!$Q$2:$Q$100,0)),IFERROR(DATE(2000+VALUE(RIGHT(INDEX('Master Stock'!$B$2:$B$100,MATCH($A85,'Master Stock'!$Q$2:$Q$100,0)),2)),VALUE(MID(INDEX('Master Stock'!$B$2:$B$100,MATCH($A85,'Master Stock'!$Q$2:$Q$100,0)),4,2)),VALUE(LEFT(INDEX('Master Stock'!$B$2:$B$100,MATCH($A85,'Master Stock'!$Q$2:$Q$100,0)),2))),"")))</f>
        <v/>
      </c>
      <c r="E85" s="41">
        <f>IF($A85="","",INDEX('Master Stock'!$G$2:$G$100,MATCH($A85,'Master Stock'!$Q$2:$Q$100,0)))</f>
        <v/>
      </c>
      <c r="F85" s="41">
        <f>IF($A85="","",INDEX('Master Stock'!$F$2:$F$100,MATCH($A85,'Master Stock'!$Q$2:$Q$100,0)))</f>
        <v/>
      </c>
      <c r="G85" s="41">
        <f>IF($A85="","","Wheat")</f>
        <v/>
      </c>
      <c r="H85" s="41">
        <f>IF($A85="","","FIFO - Oldest Receipt First")</f>
        <v/>
      </c>
    </row>
    <row r="86" ht="15" customHeight="1" s="42">
      <c r="A86" s="77">
        <f>IFERROR(IF(INDEX('Master Stock'!$Q$2:$Q$100,MATCH(84,'Master Stock'!$Q$2:$Q$100,0))="","",84),"")</f>
        <v/>
      </c>
      <c r="B86" s="41">
        <f>IF($A86="","",INDEX('Master Stock'!$C$2:$C$100,MATCH($A86,'Master Stock'!$Q$2:$Q$100,0)))</f>
        <v/>
      </c>
      <c r="C86" s="41">
        <f>IF($A86="","",INDEX('Master Stock'!$D$2:$D$100,MATCH($A86,'Master Stock'!$Q$2:$Q$100,0)))</f>
        <v/>
      </c>
      <c r="D86" s="77">
        <f>IF($A86="","",IF(ISNUMBER(INDEX('Master Stock'!$B$2:$B$100,MATCH($A86,'Master Stock'!$Q$2:$Q$100,0))),INDEX('Master Stock'!$B$2:$B$100,MATCH($A86,'Master Stock'!$Q$2:$Q$100,0)),IFERROR(DATE(2000+VALUE(RIGHT(INDEX('Master Stock'!$B$2:$B$100,MATCH($A86,'Master Stock'!$Q$2:$Q$100,0)),2)),VALUE(MID(INDEX('Master Stock'!$B$2:$B$100,MATCH($A86,'Master Stock'!$Q$2:$Q$100,0)),4,2)),VALUE(LEFT(INDEX('Master Stock'!$B$2:$B$100,MATCH($A86,'Master Stock'!$Q$2:$Q$100,0)),2))),"")))</f>
        <v/>
      </c>
      <c r="E86" s="41">
        <f>IF($A86="","",INDEX('Master Stock'!$G$2:$G$100,MATCH($A86,'Master Stock'!$Q$2:$Q$100,0)))</f>
        <v/>
      </c>
      <c r="F86" s="41">
        <f>IF($A86="","",INDEX('Master Stock'!$F$2:$F$100,MATCH($A86,'Master Stock'!$Q$2:$Q$100,0)))</f>
        <v/>
      </c>
      <c r="G86" s="41">
        <f>IF($A86="","","Wheat")</f>
        <v/>
      </c>
      <c r="H86" s="41">
        <f>IF($A86="","","FIFO - Oldest Receipt First")</f>
        <v/>
      </c>
    </row>
    <row r="87" ht="15" customHeight="1" s="42">
      <c r="A87" s="77">
        <f>IFERROR(IF(INDEX('Master Stock'!$Q$2:$Q$100,MATCH(85,'Master Stock'!$Q$2:$Q$100,0))="","",85),"")</f>
        <v/>
      </c>
      <c r="B87" s="41">
        <f>IF($A87="","",INDEX('Master Stock'!$C$2:$C$100,MATCH($A87,'Master Stock'!$Q$2:$Q$100,0)))</f>
        <v/>
      </c>
      <c r="C87" s="41">
        <f>IF($A87="","",INDEX('Master Stock'!$D$2:$D$100,MATCH($A87,'Master Stock'!$Q$2:$Q$100,0)))</f>
        <v/>
      </c>
      <c r="D87" s="77">
        <f>IF($A87="","",IF(ISNUMBER(INDEX('Master Stock'!$B$2:$B$100,MATCH($A87,'Master Stock'!$Q$2:$Q$100,0))),INDEX('Master Stock'!$B$2:$B$100,MATCH($A87,'Master Stock'!$Q$2:$Q$100,0)),IFERROR(DATE(2000+VALUE(RIGHT(INDEX('Master Stock'!$B$2:$B$100,MATCH($A87,'Master Stock'!$Q$2:$Q$100,0)),2)),VALUE(MID(INDEX('Master Stock'!$B$2:$B$100,MATCH($A87,'Master Stock'!$Q$2:$Q$100,0)),4,2)),VALUE(LEFT(INDEX('Master Stock'!$B$2:$B$100,MATCH($A87,'Master Stock'!$Q$2:$Q$100,0)),2))),"")))</f>
        <v/>
      </c>
      <c r="E87" s="41">
        <f>IF($A87="","",INDEX('Master Stock'!$G$2:$G$100,MATCH($A87,'Master Stock'!$Q$2:$Q$100,0)))</f>
        <v/>
      </c>
      <c r="F87" s="41">
        <f>IF($A87="","",INDEX('Master Stock'!$F$2:$F$100,MATCH($A87,'Master Stock'!$Q$2:$Q$100,0)))</f>
        <v/>
      </c>
      <c r="G87" s="41">
        <f>IF($A87="","","Wheat")</f>
        <v/>
      </c>
      <c r="H87" s="41">
        <f>IF($A87="","","FIFO - Oldest Receipt First")</f>
        <v/>
      </c>
    </row>
    <row r="88" ht="15" customHeight="1" s="42">
      <c r="A88" s="77">
        <f>IFERROR(IF(INDEX('Master Stock'!$Q$2:$Q$100,MATCH(86,'Master Stock'!$Q$2:$Q$100,0))="","",86),"")</f>
        <v/>
      </c>
      <c r="B88" s="41">
        <f>IF($A88="","",INDEX('Master Stock'!$C$2:$C$100,MATCH($A88,'Master Stock'!$Q$2:$Q$100,0)))</f>
        <v/>
      </c>
      <c r="C88" s="41">
        <f>IF($A88="","",INDEX('Master Stock'!$D$2:$D$100,MATCH($A88,'Master Stock'!$Q$2:$Q$100,0)))</f>
        <v/>
      </c>
      <c r="D88" s="77">
        <f>IF($A88="","",IF(ISNUMBER(INDEX('Master Stock'!$B$2:$B$100,MATCH($A88,'Master Stock'!$Q$2:$Q$100,0))),INDEX('Master Stock'!$B$2:$B$100,MATCH($A88,'Master Stock'!$Q$2:$Q$100,0)),IFERROR(DATE(2000+VALUE(RIGHT(INDEX('Master Stock'!$B$2:$B$100,MATCH($A88,'Master Stock'!$Q$2:$Q$100,0)),2)),VALUE(MID(INDEX('Master Stock'!$B$2:$B$100,MATCH($A88,'Master Stock'!$Q$2:$Q$100,0)),4,2)),VALUE(LEFT(INDEX('Master Stock'!$B$2:$B$100,MATCH($A88,'Master Stock'!$Q$2:$Q$100,0)),2))),"")))</f>
        <v/>
      </c>
      <c r="E88" s="41">
        <f>IF($A88="","",INDEX('Master Stock'!$G$2:$G$100,MATCH($A88,'Master Stock'!$Q$2:$Q$100,0)))</f>
        <v/>
      </c>
      <c r="F88" s="41">
        <f>IF($A88="","",INDEX('Master Stock'!$F$2:$F$100,MATCH($A88,'Master Stock'!$Q$2:$Q$100,0)))</f>
        <v/>
      </c>
      <c r="G88" s="41">
        <f>IF($A88="","","Wheat")</f>
        <v/>
      </c>
      <c r="H88" s="41">
        <f>IF($A88="","","FIFO - Oldest Receipt First")</f>
        <v/>
      </c>
    </row>
    <row r="89" ht="15" customHeight="1" s="42">
      <c r="A89" s="77">
        <f>IFERROR(IF(INDEX('Master Stock'!$Q$2:$Q$100,MATCH(87,'Master Stock'!$Q$2:$Q$100,0))="","",87),"")</f>
        <v/>
      </c>
      <c r="B89" s="41">
        <f>IF($A89="","",INDEX('Master Stock'!$C$2:$C$100,MATCH($A89,'Master Stock'!$Q$2:$Q$100,0)))</f>
        <v/>
      </c>
      <c r="C89" s="41">
        <f>IF($A89="","",INDEX('Master Stock'!$D$2:$D$100,MATCH($A89,'Master Stock'!$Q$2:$Q$100,0)))</f>
        <v/>
      </c>
      <c r="D89" s="77">
        <f>IF($A89="","",IF(ISNUMBER(INDEX('Master Stock'!$B$2:$B$100,MATCH($A89,'Master Stock'!$Q$2:$Q$100,0))),INDEX('Master Stock'!$B$2:$B$100,MATCH($A89,'Master Stock'!$Q$2:$Q$100,0)),IFERROR(DATE(2000+VALUE(RIGHT(INDEX('Master Stock'!$B$2:$B$100,MATCH($A89,'Master Stock'!$Q$2:$Q$100,0)),2)),VALUE(MID(INDEX('Master Stock'!$B$2:$B$100,MATCH($A89,'Master Stock'!$Q$2:$Q$100,0)),4,2)),VALUE(LEFT(INDEX('Master Stock'!$B$2:$B$100,MATCH($A89,'Master Stock'!$Q$2:$Q$100,0)),2))),"")))</f>
        <v/>
      </c>
      <c r="E89" s="41">
        <f>IF($A89="","",INDEX('Master Stock'!$G$2:$G$100,MATCH($A89,'Master Stock'!$Q$2:$Q$100,0)))</f>
        <v/>
      </c>
      <c r="F89" s="41">
        <f>IF($A89="","",INDEX('Master Stock'!$F$2:$F$100,MATCH($A89,'Master Stock'!$Q$2:$Q$100,0)))</f>
        <v/>
      </c>
      <c r="G89" s="41">
        <f>IF($A89="","","Wheat")</f>
        <v/>
      </c>
      <c r="H89" s="41">
        <f>IF($A89="","","FIFO - Oldest Receipt First")</f>
        <v/>
      </c>
    </row>
    <row r="90" ht="15" customHeight="1" s="42">
      <c r="A90" s="77">
        <f>IFERROR(IF(INDEX('Master Stock'!$Q$2:$Q$100,MATCH(88,'Master Stock'!$Q$2:$Q$100,0))="","",88),"")</f>
        <v/>
      </c>
      <c r="B90" s="41">
        <f>IF($A90="","",INDEX('Master Stock'!$C$2:$C$100,MATCH($A90,'Master Stock'!$Q$2:$Q$100,0)))</f>
        <v/>
      </c>
      <c r="C90" s="41">
        <f>IF($A90="","",INDEX('Master Stock'!$D$2:$D$100,MATCH($A90,'Master Stock'!$Q$2:$Q$100,0)))</f>
        <v/>
      </c>
      <c r="D90" s="77">
        <f>IF($A90="","",IF(ISNUMBER(INDEX('Master Stock'!$B$2:$B$100,MATCH($A90,'Master Stock'!$Q$2:$Q$100,0))),INDEX('Master Stock'!$B$2:$B$100,MATCH($A90,'Master Stock'!$Q$2:$Q$100,0)),IFERROR(DATE(2000+VALUE(RIGHT(INDEX('Master Stock'!$B$2:$B$100,MATCH($A90,'Master Stock'!$Q$2:$Q$100,0)),2)),VALUE(MID(INDEX('Master Stock'!$B$2:$B$100,MATCH($A90,'Master Stock'!$Q$2:$Q$100,0)),4,2)),VALUE(LEFT(INDEX('Master Stock'!$B$2:$B$100,MATCH($A90,'Master Stock'!$Q$2:$Q$100,0)),2))),"")))</f>
        <v/>
      </c>
      <c r="E90" s="41">
        <f>IF($A90="","",INDEX('Master Stock'!$G$2:$G$100,MATCH($A90,'Master Stock'!$Q$2:$Q$100,0)))</f>
        <v/>
      </c>
      <c r="F90" s="41">
        <f>IF($A90="","",INDEX('Master Stock'!$F$2:$F$100,MATCH($A90,'Master Stock'!$Q$2:$Q$100,0)))</f>
        <v/>
      </c>
      <c r="G90" s="41">
        <f>IF($A90="","","Wheat")</f>
        <v/>
      </c>
      <c r="H90" s="41">
        <f>IF($A90="","","FIFO - Oldest Receipt First")</f>
        <v/>
      </c>
    </row>
    <row r="91" ht="15" customHeight="1" s="42">
      <c r="A91" s="77">
        <f>IFERROR(IF(INDEX('Master Stock'!$Q$2:$Q$100,MATCH(89,'Master Stock'!$Q$2:$Q$100,0))="","",89),"")</f>
        <v/>
      </c>
      <c r="B91" s="41">
        <f>IF($A91="","",INDEX('Master Stock'!$C$2:$C$100,MATCH($A91,'Master Stock'!$Q$2:$Q$100,0)))</f>
        <v/>
      </c>
      <c r="C91" s="41">
        <f>IF($A91="","",INDEX('Master Stock'!$D$2:$D$100,MATCH($A91,'Master Stock'!$Q$2:$Q$100,0)))</f>
        <v/>
      </c>
      <c r="D91" s="77">
        <f>IF($A91="","",IF(ISNUMBER(INDEX('Master Stock'!$B$2:$B$100,MATCH($A91,'Master Stock'!$Q$2:$Q$100,0))),INDEX('Master Stock'!$B$2:$B$100,MATCH($A91,'Master Stock'!$Q$2:$Q$100,0)),IFERROR(DATE(2000+VALUE(RIGHT(INDEX('Master Stock'!$B$2:$B$100,MATCH($A91,'Master Stock'!$Q$2:$Q$100,0)),2)),VALUE(MID(INDEX('Master Stock'!$B$2:$B$100,MATCH($A91,'Master Stock'!$Q$2:$Q$100,0)),4,2)),VALUE(LEFT(INDEX('Master Stock'!$B$2:$B$100,MATCH($A91,'Master Stock'!$Q$2:$Q$100,0)),2))),"")))</f>
        <v/>
      </c>
      <c r="E91" s="41">
        <f>IF($A91="","",INDEX('Master Stock'!$G$2:$G$100,MATCH($A91,'Master Stock'!$Q$2:$Q$100,0)))</f>
        <v/>
      </c>
      <c r="F91" s="41">
        <f>IF($A91="","",INDEX('Master Stock'!$F$2:$F$100,MATCH($A91,'Master Stock'!$Q$2:$Q$100,0)))</f>
        <v/>
      </c>
      <c r="G91" s="41">
        <f>IF($A91="","","Wheat")</f>
        <v/>
      </c>
      <c r="H91" s="41">
        <f>IF($A91="","","FIFO - Oldest Receipt First")</f>
        <v/>
      </c>
    </row>
    <row r="92" ht="15" customHeight="1" s="42">
      <c r="A92" s="77">
        <f>IFERROR(IF(INDEX('Master Stock'!$Q$2:$Q$100,MATCH(90,'Master Stock'!$Q$2:$Q$100,0))="","",90),"")</f>
        <v/>
      </c>
      <c r="B92" s="41">
        <f>IF($A92="","",INDEX('Master Stock'!$C$2:$C$100,MATCH($A92,'Master Stock'!$Q$2:$Q$100,0)))</f>
        <v/>
      </c>
      <c r="C92" s="41">
        <f>IF($A92="","",INDEX('Master Stock'!$D$2:$D$100,MATCH($A92,'Master Stock'!$Q$2:$Q$100,0)))</f>
        <v/>
      </c>
      <c r="D92" s="77">
        <f>IF($A92="","",IF(ISNUMBER(INDEX('Master Stock'!$B$2:$B$100,MATCH($A92,'Master Stock'!$Q$2:$Q$100,0))),INDEX('Master Stock'!$B$2:$B$100,MATCH($A92,'Master Stock'!$Q$2:$Q$100,0)),IFERROR(DATE(2000+VALUE(RIGHT(INDEX('Master Stock'!$B$2:$B$100,MATCH($A92,'Master Stock'!$Q$2:$Q$100,0)),2)),VALUE(MID(INDEX('Master Stock'!$B$2:$B$100,MATCH($A92,'Master Stock'!$Q$2:$Q$100,0)),4,2)),VALUE(LEFT(INDEX('Master Stock'!$B$2:$B$100,MATCH($A92,'Master Stock'!$Q$2:$Q$100,0)),2))),"")))</f>
        <v/>
      </c>
      <c r="E92" s="41">
        <f>IF($A92="","",INDEX('Master Stock'!$G$2:$G$100,MATCH($A92,'Master Stock'!$Q$2:$Q$100,0)))</f>
        <v/>
      </c>
      <c r="F92" s="41">
        <f>IF($A92="","",INDEX('Master Stock'!$F$2:$F$100,MATCH($A92,'Master Stock'!$Q$2:$Q$100,0)))</f>
        <v/>
      </c>
      <c r="G92" s="41">
        <f>IF($A92="","","Wheat")</f>
        <v/>
      </c>
      <c r="H92" s="41">
        <f>IF($A92="","","FIFO - Oldest Receipt First")</f>
        <v/>
      </c>
    </row>
    <row r="93" ht="15" customHeight="1" s="42">
      <c r="A93" s="77">
        <f>IFERROR(IF(INDEX('Master Stock'!$Q$2:$Q$100,MATCH(91,'Master Stock'!$Q$2:$Q$100,0))="","",91),"")</f>
        <v/>
      </c>
      <c r="B93" s="41">
        <f>IF($A93="","",INDEX('Master Stock'!$C$2:$C$100,MATCH($A93,'Master Stock'!$Q$2:$Q$100,0)))</f>
        <v/>
      </c>
      <c r="C93" s="41">
        <f>IF($A93="","",INDEX('Master Stock'!$D$2:$D$100,MATCH($A93,'Master Stock'!$Q$2:$Q$100,0)))</f>
        <v/>
      </c>
      <c r="D93" s="77">
        <f>IF($A93="","",IF(ISNUMBER(INDEX('Master Stock'!$B$2:$B$100,MATCH($A93,'Master Stock'!$Q$2:$Q$100,0))),INDEX('Master Stock'!$B$2:$B$100,MATCH($A93,'Master Stock'!$Q$2:$Q$100,0)),IFERROR(DATE(2000+VALUE(RIGHT(INDEX('Master Stock'!$B$2:$B$100,MATCH($A93,'Master Stock'!$Q$2:$Q$100,0)),2)),VALUE(MID(INDEX('Master Stock'!$B$2:$B$100,MATCH($A93,'Master Stock'!$Q$2:$Q$100,0)),4,2)),VALUE(LEFT(INDEX('Master Stock'!$B$2:$B$100,MATCH($A93,'Master Stock'!$Q$2:$Q$100,0)),2))),"")))</f>
        <v/>
      </c>
      <c r="E93" s="41">
        <f>IF($A93="","",INDEX('Master Stock'!$G$2:$G$100,MATCH($A93,'Master Stock'!$Q$2:$Q$100,0)))</f>
        <v/>
      </c>
      <c r="F93" s="41">
        <f>IF($A93="","",INDEX('Master Stock'!$F$2:$F$100,MATCH($A93,'Master Stock'!$Q$2:$Q$100,0)))</f>
        <v/>
      </c>
      <c r="G93" s="41">
        <f>IF($A93="","","Wheat")</f>
        <v/>
      </c>
      <c r="H93" s="41">
        <f>IF($A93="","","FIFO - Oldest Receipt First")</f>
        <v/>
      </c>
    </row>
    <row r="94" ht="15" customHeight="1" s="42">
      <c r="A94" s="77">
        <f>IFERROR(IF(INDEX('Master Stock'!$Q$2:$Q$100,MATCH(92,'Master Stock'!$Q$2:$Q$100,0))="","",92),"")</f>
        <v/>
      </c>
      <c r="B94" s="41">
        <f>IF($A94="","",INDEX('Master Stock'!$C$2:$C$100,MATCH($A94,'Master Stock'!$Q$2:$Q$100,0)))</f>
        <v/>
      </c>
      <c r="C94" s="41">
        <f>IF($A94="","",INDEX('Master Stock'!$D$2:$D$100,MATCH($A94,'Master Stock'!$Q$2:$Q$100,0)))</f>
        <v/>
      </c>
      <c r="D94" s="77">
        <f>IF($A94="","",IF(ISNUMBER(INDEX('Master Stock'!$B$2:$B$100,MATCH($A94,'Master Stock'!$Q$2:$Q$100,0))),INDEX('Master Stock'!$B$2:$B$100,MATCH($A94,'Master Stock'!$Q$2:$Q$100,0)),IFERROR(DATE(2000+VALUE(RIGHT(INDEX('Master Stock'!$B$2:$B$100,MATCH($A94,'Master Stock'!$Q$2:$Q$100,0)),2)),VALUE(MID(INDEX('Master Stock'!$B$2:$B$100,MATCH($A94,'Master Stock'!$Q$2:$Q$100,0)),4,2)),VALUE(LEFT(INDEX('Master Stock'!$B$2:$B$100,MATCH($A94,'Master Stock'!$Q$2:$Q$100,0)),2))),"")))</f>
        <v/>
      </c>
      <c r="E94" s="41">
        <f>IF($A94="","",INDEX('Master Stock'!$G$2:$G$100,MATCH($A94,'Master Stock'!$Q$2:$Q$100,0)))</f>
        <v/>
      </c>
      <c r="F94" s="41">
        <f>IF($A94="","",INDEX('Master Stock'!$F$2:$F$100,MATCH($A94,'Master Stock'!$Q$2:$Q$100,0)))</f>
        <v/>
      </c>
      <c r="G94" s="41">
        <f>IF($A94="","","Wheat")</f>
        <v/>
      </c>
      <c r="H94" s="41">
        <f>IF($A94="","","FIFO - Oldest Receipt First")</f>
        <v/>
      </c>
    </row>
    <row r="95" ht="15" customHeight="1" s="42">
      <c r="A95" s="77">
        <f>IFERROR(IF(INDEX('Master Stock'!$Q$2:$Q$100,MATCH(93,'Master Stock'!$Q$2:$Q$100,0))="","",93),"")</f>
        <v/>
      </c>
      <c r="B95" s="41">
        <f>IF($A95="","",INDEX('Master Stock'!$C$2:$C$100,MATCH($A95,'Master Stock'!$Q$2:$Q$100,0)))</f>
        <v/>
      </c>
      <c r="C95" s="41">
        <f>IF($A95="","",INDEX('Master Stock'!$D$2:$D$100,MATCH($A95,'Master Stock'!$Q$2:$Q$100,0)))</f>
        <v/>
      </c>
      <c r="D95" s="77">
        <f>IF($A95="","",IF(ISNUMBER(INDEX('Master Stock'!$B$2:$B$100,MATCH($A95,'Master Stock'!$Q$2:$Q$100,0))),INDEX('Master Stock'!$B$2:$B$100,MATCH($A95,'Master Stock'!$Q$2:$Q$100,0)),IFERROR(DATE(2000+VALUE(RIGHT(INDEX('Master Stock'!$B$2:$B$100,MATCH($A95,'Master Stock'!$Q$2:$Q$100,0)),2)),VALUE(MID(INDEX('Master Stock'!$B$2:$B$100,MATCH($A95,'Master Stock'!$Q$2:$Q$100,0)),4,2)),VALUE(LEFT(INDEX('Master Stock'!$B$2:$B$100,MATCH($A95,'Master Stock'!$Q$2:$Q$100,0)),2))),"")))</f>
        <v/>
      </c>
      <c r="E95" s="41">
        <f>IF($A95="","",INDEX('Master Stock'!$G$2:$G$100,MATCH($A95,'Master Stock'!$Q$2:$Q$100,0)))</f>
        <v/>
      </c>
      <c r="F95" s="41">
        <f>IF($A95="","",INDEX('Master Stock'!$F$2:$F$100,MATCH($A95,'Master Stock'!$Q$2:$Q$100,0)))</f>
        <v/>
      </c>
      <c r="G95" s="41">
        <f>IF($A95="","","Wheat")</f>
        <v/>
      </c>
      <c r="H95" s="41">
        <f>IF($A95="","","FIFO - Oldest Receipt First")</f>
        <v/>
      </c>
    </row>
    <row r="96" ht="15" customHeight="1" s="42">
      <c r="A96" s="77">
        <f>IFERROR(IF(INDEX('Master Stock'!$Q$2:$Q$100,MATCH(94,'Master Stock'!$Q$2:$Q$100,0))="","",94),"")</f>
        <v/>
      </c>
      <c r="B96" s="41">
        <f>IF($A96="","",INDEX('Master Stock'!$C$2:$C$100,MATCH($A96,'Master Stock'!$Q$2:$Q$100,0)))</f>
        <v/>
      </c>
      <c r="C96" s="41">
        <f>IF($A96="","",INDEX('Master Stock'!$D$2:$D$100,MATCH($A96,'Master Stock'!$Q$2:$Q$100,0)))</f>
        <v/>
      </c>
      <c r="D96" s="77">
        <f>IF($A96="","",IF(ISNUMBER(INDEX('Master Stock'!$B$2:$B$100,MATCH($A96,'Master Stock'!$Q$2:$Q$100,0))),INDEX('Master Stock'!$B$2:$B$100,MATCH($A96,'Master Stock'!$Q$2:$Q$100,0)),IFERROR(DATE(2000+VALUE(RIGHT(INDEX('Master Stock'!$B$2:$B$100,MATCH($A96,'Master Stock'!$Q$2:$Q$100,0)),2)),VALUE(MID(INDEX('Master Stock'!$B$2:$B$100,MATCH($A96,'Master Stock'!$Q$2:$Q$100,0)),4,2)),VALUE(LEFT(INDEX('Master Stock'!$B$2:$B$100,MATCH($A96,'Master Stock'!$Q$2:$Q$100,0)),2))),"")))</f>
        <v/>
      </c>
      <c r="E96" s="41">
        <f>IF($A96="","",INDEX('Master Stock'!$G$2:$G$100,MATCH($A96,'Master Stock'!$Q$2:$Q$100,0)))</f>
        <v/>
      </c>
      <c r="F96" s="41">
        <f>IF($A96="","",INDEX('Master Stock'!$F$2:$F$100,MATCH($A96,'Master Stock'!$Q$2:$Q$100,0)))</f>
        <v/>
      </c>
      <c r="G96" s="41">
        <f>IF($A96="","","Wheat")</f>
        <v/>
      </c>
      <c r="H96" s="41">
        <f>IF($A96="","","FIFO - Oldest Receipt First")</f>
        <v/>
      </c>
    </row>
    <row r="97" ht="15" customHeight="1" s="42">
      <c r="A97" s="77">
        <f>IFERROR(IF(INDEX('Master Stock'!$Q$2:$Q$100,MATCH(95,'Master Stock'!$Q$2:$Q$100,0))="","",95),"")</f>
        <v/>
      </c>
      <c r="B97" s="41">
        <f>IF($A97="","",INDEX('Master Stock'!$C$2:$C$100,MATCH($A97,'Master Stock'!$Q$2:$Q$100,0)))</f>
        <v/>
      </c>
      <c r="C97" s="41">
        <f>IF($A97="","",INDEX('Master Stock'!$D$2:$D$100,MATCH($A97,'Master Stock'!$Q$2:$Q$100,0)))</f>
        <v/>
      </c>
      <c r="D97" s="77">
        <f>IF($A97="","",IF(ISNUMBER(INDEX('Master Stock'!$B$2:$B$100,MATCH($A97,'Master Stock'!$Q$2:$Q$100,0))),INDEX('Master Stock'!$B$2:$B$100,MATCH($A97,'Master Stock'!$Q$2:$Q$100,0)),IFERROR(DATE(2000+VALUE(RIGHT(INDEX('Master Stock'!$B$2:$B$100,MATCH($A97,'Master Stock'!$Q$2:$Q$100,0)),2)),VALUE(MID(INDEX('Master Stock'!$B$2:$B$100,MATCH($A97,'Master Stock'!$Q$2:$Q$100,0)),4,2)),VALUE(LEFT(INDEX('Master Stock'!$B$2:$B$100,MATCH($A97,'Master Stock'!$Q$2:$Q$100,0)),2))),"")))</f>
        <v/>
      </c>
      <c r="E97" s="41">
        <f>IF($A97="","",INDEX('Master Stock'!$G$2:$G$100,MATCH($A97,'Master Stock'!$Q$2:$Q$100,0)))</f>
        <v/>
      </c>
      <c r="F97" s="41">
        <f>IF($A97="","",INDEX('Master Stock'!$F$2:$F$100,MATCH($A97,'Master Stock'!$Q$2:$Q$100,0)))</f>
        <v/>
      </c>
      <c r="G97" s="41">
        <f>IF($A97="","","Wheat")</f>
        <v/>
      </c>
      <c r="H97" s="41">
        <f>IF($A97="","","FIFO - Oldest Receipt First")</f>
        <v/>
      </c>
    </row>
    <row r="98" ht="15" customHeight="1" s="42">
      <c r="A98" s="77">
        <f>IFERROR(IF(INDEX('Master Stock'!$Q$2:$Q$100,MATCH(96,'Master Stock'!$Q$2:$Q$100,0))="","",96),"")</f>
        <v/>
      </c>
      <c r="B98" s="41">
        <f>IF($A98="","",INDEX('Master Stock'!$C$2:$C$100,MATCH($A98,'Master Stock'!$Q$2:$Q$100,0)))</f>
        <v/>
      </c>
      <c r="C98" s="41">
        <f>IF($A98="","",INDEX('Master Stock'!$D$2:$D$100,MATCH($A98,'Master Stock'!$Q$2:$Q$100,0)))</f>
        <v/>
      </c>
      <c r="D98" s="77">
        <f>IF($A98="","",IF(ISNUMBER(INDEX('Master Stock'!$B$2:$B$100,MATCH($A98,'Master Stock'!$Q$2:$Q$100,0))),INDEX('Master Stock'!$B$2:$B$100,MATCH($A98,'Master Stock'!$Q$2:$Q$100,0)),IFERROR(DATE(2000+VALUE(RIGHT(INDEX('Master Stock'!$B$2:$B$100,MATCH($A98,'Master Stock'!$Q$2:$Q$100,0)),2)),VALUE(MID(INDEX('Master Stock'!$B$2:$B$100,MATCH($A98,'Master Stock'!$Q$2:$Q$100,0)),4,2)),VALUE(LEFT(INDEX('Master Stock'!$B$2:$B$100,MATCH($A98,'Master Stock'!$Q$2:$Q$100,0)),2))),"")))</f>
        <v/>
      </c>
      <c r="E98" s="41">
        <f>IF($A98="","",INDEX('Master Stock'!$G$2:$G$100,MATCH($A98,'Master Stock'!$Q$2:$Q$100,0)))</f>
        <v/>
      </c>
      <c r="F98" s="41">
        <f>IF($A98="","",INDEX('Master Stock'!$F$2:$F$100,MATCH($A98,'Master Stock'!$Q$2:$Q$100,0)))</f>
        <v/>
      </c>
      <c r="G98" s="41">
        <f>IF($A98="","","Wheat")</f>
        <v/>
      </c>
      <c r="H98" s="41">
        <f>IF($A98="","","FIFO - Oldest Receipt First")</f>
        <v/>
      </c>
    </row>
    <row r="99" ht="15" customHeight="1" s="42">
      <c r="A99" s="77">
        <f>IFERROR(IF(INDEX('Master Stock'!$Q$2:$Q$100,MATCH(97,'Master Stock'!$Q$2:$Q$100,0))="","",97),"")</f>
        <v/>
      </c>
      <c r="B99" s="41">
        <f>IF($A99="","",INDEX('Master Stock'!$C$2:$C$100,MATCH($A99,'Master Stock'!$Q$2:$Q$100,0)))</f>
        <v/>
      </c>
      <c r="C99" s="41">
        <f>IF($A99="","",INDEX('Master Stock'!$D$2:$D$100,MATCH($A99,'Master Stock'!$Q$2:$Q$100,0)))</f>
        <v/>
      </c>
      <c r="D99" s="77">
        <f>IF($A99="","",IF(ISNUMBER(INDEX('Master Stock'!$B$2:$B$100,MATCH($A99,'Master Stock'!$Q$2:$Q$100,0))),INDEX('Master Stock'!$B$2:$B$100,MATCH($A99,'Master Stock'!$Q$2:$Q$100,0)),IFERROR(DATE(2000+VALUE(RIGHT(INDEX('Master Stock'!$B$2:$B$100,MATCH($A99,'Master Stock'!$Q$2:$Q$100,0)),2)),VALUE(MID(INDEX('Master Stock'!$B$2:$B$100,MATCH($A99,'Master Stock'!$Q$2:$Q$100,0)),4,2)),VALUE(LEFT(INDEX('Master Stock'!$B$2:$B$100,MATCH($A99,'Master Stock'!$Q$2:$Q$100,0)),2))),"")))</f>
        <v/>
      </c>
      <c r="E99" s="41">
        <f>IF($A99="","",INDEX('Master Stock'!$G$2:$G$100,MATCH($A99,'Master Stock'!$Q$2:$Q$100,0)))</f>
        <v/>
      </c>
      <c r="F99" s="41">
        <f>IF($A99="","",INDEX('Master Stock'!$F$2:$F$100,MATCH($A99,'Master Stock'!$Q$2:$Q$100,0)))</f>
        <v/>
      </c>
      <c r="G99" s="41">
        <f>IF($A99="","","Wheat")</f>
        <v/>
      </c>
      <c r="H99" s="41">
        <f>IF($A99="","","FIFO - Oldest Receipt First")</f>
        <v/>
      </c>
    </row>
    <row r="100" ht="15" customHeight="1" s="42">
      <c r="A100" s="77">
        <f>IFERROR(IF(INDEX('Master Stock'!$Q$2:$Q$100,MATCH(98,'Master Stock'!$Q$2:$Q$100,0))="","",98),"")</f>
        <v/>
      </c>
      <c r="B100" s="41">
        <f>IF($A100="","",INDEX('Master Stock'!$C$2:$C$100,MATCH($A100,'Master Stock'!$Q$2:$Q$100,0)))</f>
        <v/>
      </c>
      <c r="C100" s="41">
        <f>IF($A100="","",INDEX('Master Stock'!$D$2:$D$100,MATCH($A100,'Master Stock'!$Q$2:$Q$100,0)))</f>
        <v/>
      </c>
      <c r="D100" s="77">
        <f>IF($A100="","",IF(ISNUMBER(INDEX('Master Stock'!$B$2:$B$100,MATCH($A100,'Master Stock'!$Q$2:$Q$100,0))),INDEX('Master Stock'!$B$2:$B$100,MATCH($A100,'Master Stock'!$Q$2:$Q$100,0)),IFERROR(DATE(2000+VALUE(RIGHT(INDEX('Master Stock'!$B$2:$B$100,MATCH($A100,'Master Stock'!$Q$2:$Q$100,0)),2)),VALUE(MID(INDEX('Master Stock'!$B$2:$B$100,MATCH($A100,'Master Stock'!$Q$2:$Q$100,0)),4,2)),VALUE(LEFT(INDEX('Master Stock'!$B$2:$B$100,MATCH($A100,'Master Stock'!$Q$2:$Q$100,0)),2))),"")))</f>
        <v/>
      </c>
      <c r="E100" s="41">
        <f>IF($A100="","",INDEX('Master Stock'!$G$2:$G$100,MATCH($A100,'Master Stock'!$Q$2:$Q$100,0)))</f>
        <v/>
      </c>
      <c r="F100" s="41">
        <f>IF($A100="","",INDEX('Master Stock'!$F$2:$F$100,MATCH($A100,'Master Stock'!$Q$2:$Q$100,0)))</f>
        <v/>
      </c>
      <c r="G100" s="41">
        <f>IF($A100="","","Wheat")</f>
        <v/>
      </c>
      <c r="H100" s="41">
        <f>IF($A100="","","FIFO - Oldest Receipt First")</f>
        <v/>
      </c>
    </row>
  </sheetData>
  <sheetProtection selectLockedCells="1" selectUnlockedCells="1" sheet="1" objects="0" insertRows="1" insertHyperlinks="1" autoFilter="1" scenarios="0" formatColumns="1" deleteColumns="1" insertColumns="1" pivotTables="1" deleteRows="1" formatCells="1" formatRows="1" sort="1"/>
  <autoFilter ref="A2:H100"/>
  <mergeCells count="1">
    <mergeCell ref="A1:H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H10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171875" defaultRowHeight="15" customHeight="1" zeroHeight="0" outlineLevelRow="0"/>
  <cols>
    <col width="9" customWidth="1" style="41" min="1" max="1"/>
    <col width="10" customWidth="1" style="41" min="2" max="2"/>
    <col width="12" customWidth="1" style="41" min="3" max="3"/>
    <col width="18" customWidth="1" style="41" min="4" max="4"/>
    <col width="24" customWidth="1" style="41" min="5" max="5"/>
    <col width="14" customWidth="1" style="41" min="6" max="6"/>
    <col width="18" customWidth="1" style="41" min="7" max="7"/>
    <col width="28" customWidth="1" style="41" min="8" max="8"/>
  </cols>
  <sheetData>
    <row r="1" ht="15" customHeight="1" s="42">
      <c r="A1" s="105" t="inlineStr">
        <is>
          <t>RICE PRIORITY – FIFO (Oldest Receipt Date First)</t>
        </is>
      </c>
      <c r="B1" s="92" t="n"/>
      <c r="C1" s="92" t="n"/>
      <c r="D1" s="93" t="n"/>
      <c r="E1" s="92" t="n"/>
      <c r="F1" s="92" t="n"/>
      <c r="G1" s="92" t="n"/>
      <c r="H1" s="92" t="n"/>
    </row>
    <row r="2" ht="15" customHeight="1" s="42">
      <c r="A2" s="107" t="inlineStr">
        <is>
          <t>Sr No.</t>
        </is>
      </c>
      <c r="B2" s="108" t="inlineStr">
        <is>
          <t>Shed No.</t>
        </is>
      </c>
      <c r="C2" s="108" t="inlineStr">
        <is>
          <t>Stack No.</t>
        </is>
      </c>
      <c r="D2" s="107" t="inlineStr">
        <is>
          <t>RDate of Receipt</t>
        </is>
      </c>
      <c r="E2" s="108" t="inlineStr">
        <is>
          <t>Commodity/Crop Year</t>
        </is>
      </c>
      <c r="F2" s="108" t="inlineStr">
        <is>
          <t>Qty(in MT)</t>
        </is>
      </c>
      <c r="G2" s="108" t="inlineStr">
        <is>
          <t>Cat</t>
        </is>
      </c>
      <c r="H2" s="108" t="inlineStr">
        <is>
          <t>Remarks</t>
        </is>
      </c>
    </row>
    <row r="3" ht="15" customHeight="1" s="42">
      <c r="A3" s="77">
        <f>IFERROR(IF(INDEX('Master Stock'!$R$2:$R$100,MATCH(1,'Master Stock'!$R$2:$R$100,0))="","",1),"")</f>
        <v/>
      </c>
      <c r="B3" s="41">
        <f>IF($A3="","",INDEX('Master Stock'!$C$2:$C$100,MATCH($A3,'Master Stock'!$R$2:$R$100,0)))</f>
        <v/>
      </c>
      <c r="C3" s="41">
        <f>IF($A3="","",INDEX('Master Stock'!$D$2:$D$100,MATCH($A3,'Master Stock'!$R$2:$R$100,0)))</f>
        <v/>
      </c>
      <c r="D3" s="77">
        <f>IF($A3="","",IF(ISNUMBER(INDEX('Master Stock'!$B$2:$B$100,MATCH($A3,'Master Stock'!$R$2:$R$100,0))),INDEX('Master Stock'!$B$2:$B$100,MATCH($A3,'Master Stock'!$R$2:$R$100,0)),IFERROR(DATE(2000+VALUE(RIGHT(INDEX('Master Stock'!$B$2:$B$100,MATCH($A3,'Master Stock'!$R$2:$R$100,0)),2)),VALUE(MID(INDEX('Master Stock'!$B$2:$B$100,MATCH($A3,'Master Stock'!$R$2:$R$100,0)),4,2)),VALUE(LEFT(INDEX('Master Stock'!$B$2:$B$100,MATCH($A3,'Master Stock'!$R$2:$R$100,0)),2))),"")))</f>
        <v/>
      </c>
      <c r="E3" s="41">
        <f>IF($A3="","",INDEX('Master Stock'!$G$2:$G$100,MATCH($A3,'Master Stock'!$R$2:$R$100,0)))</f>
        <v/>
      </c>
      <c r="F3" s="75">
        <f>IF($A3="","",INDEX('Master Stock'!$F$2:$F$100,MATCH($A3,'Master Stock'!$R$2:$R$100,0)))</f>
        <v/>
      </c>
      <c r="G3" s="41">
        <f>IF($A3="","","Rice / FRK RRA")</f>
        <v/>
      </c>
      <c r="H3" s="41">
        <f>IF($A3="","","FIFO - Oldest Receipt First")</f>
        <v/>
      </c>
    </row>
    <row r="4" ht="15" customHeight="1" s="42">
      <c r="A4" s="77">
        <f>IFERROR(IF(INDEX('Master Stock'!$R$2:$R$100,MATCH(2,'Master Stock'!$R$2:$R$100,0))="","",2),"")</f>
        <v/>
      </c>
      <c r="B4" s="41">
        <f>IF($A4="","",INDEX('Master Stock'!$C$2:$C$100,MATCH($A4,'Master Stock'!$R$2:$R$100,0)))</f>
        <v/>
      </c>
      <c r="C4" s="41">
        <f>IF($A4="","",INDEX('Master Stock'!$D$2:$D$100,MATCH($A4,'Master Stock'!$R$2:$R$100,0)))</f>
        <v/>
      </c>
      <c r="D4" s="77">
        <f>IF($A4="","",IF(ISNUMBER(INDEX('Master Stock'!$B$2:$B$100,MATCH($A4,'Master Stock'!$R$2:$R$100,0))),INDEX('Master Stock'!$B$2:$B$100,MATCH($A4,'Master Stock'!$R$2:$R$100,0)),IFERROR(DATE(2000+VALUE(RIGHT(INDEX('Master Stock'!$B$2:$B$100,MATCH($A4,'Master Stock'!$R$2:$R$100,0)),2)),VALUE(MID(INDEX('Master Stock'!$B$2:$B$100,MATCH($A4,'Master Stock'!$R$2:$R$100,0)),4,2)),VALUE(LEFT(INDEX('Master Stock'!$B$2:$B$100,MATCH($A4,'Master Stock'!$R$2:$R$100,0)),2))),"")))</f>
        <v/>
      </c>
      <c r="E4" s="41">
        <f>IF($A4="","",INDEX('Master Stock'!$G$2:$G$100,MATCH($A4,'Master Stock'!$R$2:$R$100,0)))</f>
        <v/>
      </c>
      <c r="F4" s="75">
        <f>IF($A4="","",INDEX('Master Stock'!$F$2:$F$100,MATCH($A4,'Master Stock'!$R$2:$R$100,0)))</f>
        <v/>
      </c>
      <c r="G4" s="41">
        <f>IF($A4="","","Rice / FRK RRA")</f>
        <v/>
      </c>
      <c r="H4" s="41">
        <f>IF($A4="","","FIFO - Oldest Receipt First")</f>
        <v/>
      </c>
    </row>
    <row r="5" ht="15" customHeight="1" s="42">
      <c r="A5" s="77">
        <f>IFERROR(IF(INDEX('Master Stock'!$R$2:$R$100,MATCH(3,'Master Stock'!$R$2:$R$100,0))="","",3),"")</f>
        <v/>
      </c>
      <c r="B5" s="41">
        <f>IF($A5="","",INDEX('Master Stock'!$C$2:$C$100,MATCH($A5,'Master Stock'!$R$2:$R$100,0)))</f>
        <v/>
      </c>
      <c r="C5" s="41">
        <f>IF($A5="","",INDEX('Master Stock'!$D$2:$D$100,MATCH($A5,'Master Stock'!$R$2:$R$100,0)))</f>
        <v/>
      </c>
      <c r="D5" s="77">
        <f>IF($A5="","",IF(ISNUMBER(INDEX('Master Stock'!$B$2:$B$100,MATCH($A5,'Master Stock'!$R$2:$R$100,0))),INDEX('Master Stock'!$B$2:$B$100,MATCH($A5,'Master Stock'!$R$2:$R$100,0)),IFERROR(DATE(2000+VALUE(RIGHT(INDEX('Master Stock'!$B$2:$B$100,MATCH($A5,'Master Stock'!$R$2:$R$100,0)),2)),VALUE(MID(INDEX('Master Stock'!$B$2:$B$100,MATCH($A5,'Master Stock'!$R$2:$R$100,0)),4,2)),VALUE(LEFT(INDEX('Master Stock'!$B$2:$B$100,MATCH($A5,'Master Stock'!$R$2:$R$100,0)),2))),"")))</f>
        <v/>
      </c>
      <c r="E5" s="41">
        <f>IF($A5="","",INDEX('Master Stock'!$G$2:$G$100,MATCH($A5,'Master Stock'!$R$2:$R$100,0)))</f>
        <v/>
      </c>
      <c r="F5" s="75">
        <f>IF($A5="","",INDEX('Master Stock'!$F$2:$F$100,MATCH($A5,'Master Stock'!$R$2:$R$100,0)))</f>
        <v/>
      </c>
      <c r="G5" s="41">
        <f>IF($A5="","","Rice / FRK RRA")</f>
        <v/>
      </c>
      <c r="H5" s="41">
        <f>IF($A5="","","FIFO - Oldest Receipt First")</f>
        <v/>
      </c>
    </row>
    <row r="6" ht="15" customHeight="1" s="42">
      <c r="A6" s="77">
        <f>IFERROR(IF(INDEX('Master Stock'!$R$2:$R$100,MATCH(4,'Master Stock'!$R$2:$R$100,0))="","",4),"")</f>
        <v/>
      </c>
      <c r="B6" s="41">
        <f>IF($A6="","",INDEX('Master Stock'!$C$2:$C$100,MATCH($A6,'Master Stock'!$R$2:$R$100,0)))</f>
        <v/>
      </c>
      <c r="C6" s="41">
        <f>IF($A6="","",INDEX('Master Stock'!$D$2:$D$100,MATCH($A6,'Master Stock'!$R$2:$R$100,0)))</f>
        <v/>
      </c>
      <c r="D6" s="77">
        <f>IF($A6="","",IF(ISNUMBER(INDEX('Master Stock'!$B$2:$B$100,MATCH($A6,'Master Stock'!$R$2:$R$100,0))),INDEX('Master Stock'!$B$2:$B$100,MATCH($A6,'Master Stock'!$R$2:$R$100,0)),IFERROR(DATE(2000+VALUE(RIGHT(INDEX('Master Stock'!$B$2:$B$100,MATCH($A6,'Master Stock'!$R$2:$R$100,0)),2)),VALUE(MID(INDEX('Master Stock'!$B$2:$B$100,MATCH($A6,'Master Stock'!$R$2:$R$100,0)),4,2)),VALUE(LEFT(INDEX('Master Stock'!$B$2:$B$100,MATCH($A6,'Master Stock'!$R$2:$R$100,0)),2))),"")))</f>
        <v/>
      </c>
      <c r="E6" s="41">
        <f>IF($A6="","",INDEX('Master Stock'!$G$2:$G$100,MATCH($A6,'Master Stock'!$R$2:$R$100,0)))</f>
        <v/>
      </c>
      <c r="F6" s="75">
        <f>IF($A6="","",INDEX('Master Stock'!$F$2:$F$100,MATCH($A6,'Master Stock'!$R$2:$R$100,0)))</f>
        <v/>
      </c>
      <c r="G6" s="41">
        <f>IF($A6="","","Rice / FRK RRA")</f>
        <v/>
      </c>
      <c r="H6" s="41">
        <f>IF($A6="","","FIFO - Oldest Receipt First")</f>
        <v/>
      </c>
    </row>
    <row r="7" ht="15" customHeight="1" s="42">
      <c r="A7" s="77">
        <f>IFERROR(IF(INDEX('Master Stock'!$R$2:$R$100,MATCH(5,'Master Stock'!$R$2:$R$100,0))="","",5),"")</f>
        <v/>
      </c>
      <c r="B7" s="41">
        <f>IF($A7="","",INDEX('Master Stock'!$C$2:$C$100,MATCH($A7,'Master Stock'!$R$2:$R$100,0)))</f>
        <v/>
      </c>
      <c r="C7" s="41">
        <f>IF($A7="","",INDEX('Master Stock'!$D$2:$D$100,MATCH($A7,'Master Stock'!$R$2:$R$100,0)))</f>
        <v/>
      </c>
      <c r="D7" s="77">
        <f>IF($A7="","",IF(ISNUMBER(INDEX('Master Stock'!$B$2:$B$100,MATCH($A7,'Master Stock'!$R$2:$R$100,0))),INDEX('Master Stock'!$B$2:$B$100,MATCH($A7,'Master Stock'!$R$2:$R$100,0)),IFERROR(DATE(2000+VALUE(RIGHT(INDEX('Master Stock'!$B$2:$B$100,MATCH($A7,'Master Stock'!$R$2:$R$100,0)),2)),VALUE(MID(INDEX('Master Stock'!$B$2:$B$100,MATCH($A7,'Master Stock'!$R$2:$R$100,0)),4,2)),VALUE(LEFT(INDEX('Master Stock'!$B$2:$B$100,MATCH($A7,'Master Stock'!$R$2:$R$100,0)),2))),"")))</f>
        <v/>
      </c>
      <c r="E7" s="41">
        <f>IF($A7="","",INDEX('Master Stock'!$G$2:$G$100,MATCH($A7,'Master Stock'!$R$2:$R$100,0)))</f>
        <v/>
      </c>
      <c r="F7" s="75">
        <f>IF($A7="","",INDEX('Master Stock'!$F$2:$F$100,MATCH($A7,'Master Stock'!$R$2:$R$100,0)))</f>
        <v/>
      </c>
      <c r="G7" s="41">
        <f>IF($A7="","","Rice / FRK RRA")</f>
        <v/>
      </c>
      <c r="H7" s="41">
        <f>IF($A7="","","FIFO - Oldest Receipt First")</f>
        <v/>
      </c>
    </row>
    <row r="8" ht="15" customHeight="1" s="42">
      <c r="A8" s="77">
        <f>IFERROR(IF(INDEX('Master Stock'!$R$2:$R$100,MATCH(6,'Master Stock'!$R$2:$R$100,0))="","",6),"")</f>
        <v/>
      </c>
      <c r="B8" s="41">
        <f>IF($A8="","",INDEX('Master Stock'!$C$2:$C$100,MATCH($A8,'Master Stock'!$R$2:$R$100,0)))</f>
        <v/>
      </c>
      <c r="C8" s="41">
        <f>IF($A8="","",INDEX('Master Stock'!$D$2:$D$100,MATCH($A8,'Master Stock'!$R$2:$R$100,0)))</f>
        <v/>
      </c>
      <c r="D8" s="77">
        <f>IF($A8="","",IF(ISNUMBER(INDEX('Master Stock'!$B$2:$B$100,MATCH($A8,'Master Stock'!$R$2:$R$100,0))),INDEX('Master Stock'!$B$2:$B$100,MATCH($A8,'Master Stock'!$R$2:$R$100,0)),IFERROR(DATE(2000+VALUE(RIGHT(INDEX('Master Stock'!$B$2:$B$100,MATCH($A8,'Master Stock'!$R$2:$R$100,0)),2)),VALUE(MID(INDEX('Master Stock'!$B$2:$B$100,MATCH($A8,'Master Stock'!$R$2:$R$100,0)),4,2)),VALUE(LEFT(INDEX('Master Stock'!$B$2:$B$100,MATCH($A8,'Master Stock'!$R$2:$R$100,0)),2))),"")))</f>
        <v/>
      </c>
      <c r="E8" s="41">
        <f>IF($A8="","",INDEX('Master Stock'!$G$2:$G$100,MATCH($A8,'Master Stock'!$R$2:$R$100,0)))</f>
        <v/>
      </c>
      <c r="F8" s="75">
        <f>IF($A8="","",INDEX('Master Stock'!$F$2:$F$100,MATCH($A8,'Master Stock'!$R$2:$R$100,0)))</f>
        <v/>
      </c>
      <c r="G8" s="41">
        <f>IF($A8="","","Rice / FRK RRA")</f>
        <v/>
      </c>
      <c r="H8" s="41">
        <f>IF($A8="","","FIFO - Oldest Receipt First")</f>
        <v/>
      </c>
    </row>
    <row r="9" ht="15" customHeight="1" s="42">
      <c r="A9" s="77">
        <f>IFERROR(IF(INDEX('Master Stock'!$R$2:$R$100,MATCH(7,'Master Stock'!$R$2:$R$100,0))="","",7),"")</f>
        <v/>
      </c>
      <c r="B9" s="41">
        <f>IF($A9="","",INDEX('Master Stock'!$C$2:$C$100,MATCH($A9,'Master Stock'!$R$2:$R$100,0)))</f>
        <v/>
      </c>
      <c r="C9" s="41">
        <f>IF($A9="","",INDEX('Master Stock'!$D$2:$D$100,MATCH($A9,'Master Stock'!$R$2:$R$100,0)))</f>
        <v/>
      </c>
      <c r="D9" s="77">
        <f>IF($A9="","",IF(ISNUMBER(INDEX('Master Stock'!$B$2:$B$100,MATCH($A9,'Master Stock'!$R$2:$R$100,0))),INDEX('Master Stock'!$B$2:$B$100,MATCH($A9,'Master Stock'!$R$2:$R$100,0)),IFERROR(DATE(2000+VALUE(RIGHT(INDEX('Master Stock'!$B$2:$B$100,MATCH($A9,'Master Stock'!$R$2:$R$100,0)),2)),VALUE(MID(INDEX('Master Stock'!$B$2:$B$100,MATCH($A9,'Master Stock'!$R$2:$R$100,0)),4,2)),VALUE(LEFT(INDEX('Master Stock'!$B$2:$B$100,MATCH($A9,'Master Stock'!$R$2:$R$100,0)),2))),"")))</f>
        <v/>
      </c>
      <c r="E9" s="41">
        <f>IF($A9="","",INDEX('Master Stock'!$G$2:$G$100,MATCH($A9,'Master Stock'!$R$2:$R$100,0)))</f>
        <v/>
      </c>
      <c r="F9" s="75">
        <f>IF($A9="","",INDEX('Master Stock'!$F$2:$F$100,MATCH($A9,'Master Stock'!$R$2:$R$100,0)))</f>
        <v/>
      </c>
      <c r="G9" s="41">
        <f>IF($A9="","","Rice / FRK RRA")</f>
        <v/>
      </c>
      <c r="H9" s="41">
        <f>IF($A9="","","FIFO - Oldest Receipt First")</f>
        <v/>
      </c>
    </row>
    <row r="10" ht="15" customHeight="1" s="42">
      <c r="A10" s="77">
        <f>IFERROR(IF(INDEX('Master Stock'!$R$2:$R$100,MATCH(8,'Master Stock'!$R$2:$R$100,0))="","",8),"")</f>
        <v/>
      </c>
      <c r="B10" s="41">
        <f>IF($A10="","",INDEX('Master Stock'!$C$2:$C$100,MATCH($A10,'Master Stock'!$R$2:$R$100,0)))</f>
        <v/>
      </c>
      <c r="C10" s="41">
        <f>IF($A10="","",INDEX('Master Stock'!$D$2:$D$100,MATCH($A10,'Master Stock'!$R$2:$R$100,0)))</f>
        <v/>
      </c>
      <c r="D10" s="77">
        <f>IF($A10="","",IF(ISNUMBER(INDEX('Master Stock'!$B$2:$B$100,MATCH($A10,'Master Stock'!$R$2:$R$100,0))),INDEX('Master Stock'!$B$2:$B$100,MATCH($A10,'Master Stock'!$R$2:$R$100,0)),IFERROR(DATE(2000+VALUE(RIGHT(INDEX('Master Stock'!$B$2:$B$100,MATCH($A10,'Master Stock'!$R$2:$R$100,0)),2)),VALUE(MID(INDEX('Master Stock'!$B$2:$B$100,MATCH($A10,'Master Stock'!$R$2:$R$100,0)),4,2)),VALUE(LEFT(INDEX('Master Stock'!$B$2:$B$100,MATCH($A10,'Master Stock'!$R$2:$R$100,0)),2))),"")))</f>
        <v/>
      </c>
      <c r="E10" s="41">
        <f>IF($A10="","",INDEX('Master Stock'!$G$2:$G$100,MATCH($A10,'Master Stock'!$R$2:$R$100,0)))</f>
        <v/>
      </c>
      <c r="F10" s="75">
        <f>IF($A10="","",INDEX('Master Stock'!$F$2:$F$100,MATCH($A10,'Master Stock'!$R$2:$R$100,0)))</f>
        <v/>
      </c>
      <c r="G10" s="41">
        <f>IF($A10="","","Rice / FRK RRA")</f>
        <v/>
      </c>
      <c r="H10" s="41">
        <f>IF($A10="","","FIFO - Oldest Receipt First")</f>
        <v/>
      </c>
    </row>
    <row r="11" ht="15" customHeight="1" s="42">
      <c r="A11" s="77">
        <f>IFERROR(IF(INDEX('Master Stock'!$R$2:$R$100,MATCH(9,'Master Stock'!$R$2:$R$100,0))="","",9),"")</f>
        <v/>
      </c>
      <c r="B11" s="41">
        <f>IF($A11="","",INDEX('Master Stock'!$C$2:$C$100,MATCH($A11,'Master Stock'!$R$2:$R$100,0)))</f>
        <v/>
      </c>
      <c r="C11" s="41">
        <f>IF($A11="","",INDEX('Master Stock'!$D$2:$D$100,MATCH($A11,'Master Stock'!$R$2:$R$100,0)))</f>
        <v/>
      </c>
      <c r="D11" s="77">
        <f>IF($A11="","",IF(ISNUMBER(INDEX('Master Stock'!$B$2:$B$100,MATCH($A11,'Master Stock'!$R$2:$R$100,0))),INDEX('Master Stock'!$B$2:$B$100,MATCH($A11,'Master Stock'!$R$2:$R$100,0)),IFERROR(DATE(2000+VALUE(RIGHT(INDEX('Master Stock'!$B$2:$B$100,MATCH($A11,'Master Stock'!$R$2:$R$100,0)),2)),VALUE(MID(INDEX('Master Stock'!$B$2:$B$100,MATCH($A11,'Master Stock'!$R$2:$R$100,0)),4,2)),VALUE(LEFT(INDEX('Master Stock'!$B$2:$B$100,MATCH($A11,'Master Stock'!$R$2:$R$100,0)),2))),"")))</f>
        <v/>
      </c>
      <c r="E11" s="41">
        <f>IF($A11="","",INDEX('Master Stock'!$G$2:$G$100,MATCH($A11,'Master Stock'!$R$2:$R$100,0)))</f>
        <v/>
      </c>
      <c r="F11" s="75">
        <f>IF($A11="","",INDEX('Master Stock'!$F$2:$F$100,MATCH($A11,'Master Stock'!$R$2:$R$100,0)))</f>
        <v/>
      </c>
      <c r="G11" s="41">
        <f>IF($A11="","","Rice / FRK RRA")</f>
        <v/>
      </c>
      <c r="H11" s="41">
        <f>IF($A11="","","FIFO - Oldest Receipt First")</f>
        <v/>
      </c>
    </row>
    <row r="12" ht="15" customHeight="1" s="42">
      <c r="A12" s="77">
        <f>IFERROR(IF(INDEX('Master Stock'!$R$2:$R$100,MATCH(10,'Master Stock'!$R$2:$R$100,0))="","",10),"")</f>
        <v/>
      </c>
      <c r="B12" s="41">
        <f>IF($A12="","",INDEX('Master Stock'!$C$2:$C$100,MATCH($A12,'Master Stock'!$R$2:$R$100,0)))</f>
        <v/>
      </c>
      <c r="C12" s="41">
        <f>IF($A12="","",INDEX('Master Stock'!$D$2:$D$100,MATCH($A12,'Master Stock'!$R$2:$R$100,0)))</f>
        <v/>
      </c>
      <c r="D12" s="77">
        <f>IF($A12="","",IF(ISNUMBER(INDEX('Master Stock'!$B$2:$B$100,MATCH($A12,'Master Stock'!$R$2:$R$100,0))),INDEX('Master Stock'!$B$2:$B$100,MATCH($A12,'Master Stock'!$R$2:$R$100,0)),IFERROR(DATE(2000+VALUE(RIGHT(INDEX('Master Stock'!$B$2:$B$100,MATCH($A12,'Master Stock'!$R$2:$R$100,0)),2)),VALUE(MID(INDEX('Master Stock'!$B$2:$B$100,MATCH($A12,'Master Stock'!$R$2:$R$100,0)),4,2)),VALUE(LEFT(INDEX('Master Stock'!$B$2:$B$100,MATCH($A12,'Master Stock'!$R$2:$R$100,0)),2))),"")))</f>
        <v/>
      </c>
      <c r="E12" s="41">
        <f>IF($A12="","",INDEX('Master Stock'!$G$2:$G$100,MATCH($A12,'Master Stock'!$R$2:$R$100,0)))</f>
        <v/>
      </c>
      <c r="F12" s="75">
        <f>IF($A12="","",INDEX('Master Stock'!$F$2:$F$100,MATCH($A12,'Master Stock'!$R$2:$R$100,0)))</f>
        <v/>
      </c>
      <c r="G12" s="41">
        <f>IF($A12="","","Rice / FRK RRA")</f>
        <v/>
      </c>
      <c r="H12" s="41">
        <f>IF($A12="","","FIFO - Oldest Receipt First")</f>
        <v/>
      </c>
    </row>
    <row r="13" ht="15" customHeight="1" s="42">
      <c r="A13" s="77">
        <f>IFERROR(IF(INDEX('Master Stock'!$R$2:$R$100,MATCH(11,'Master Stock'!$R$2:$R$100,0))="","",11),"")</f>
        <v/>
      </c>
      <c r="B13" s="41">
        <f>IF($A13="","",INDEX('Master Stock'!$C$2:$C$100,MATCH($A13,'Master Stock'!$R$2:$R$100,0)))</f>
        <v/>
      </c>
      <c r="C13" s="41">
        <f>IF($A13="","",INDEX('Master Stock'!$D$2:$D$100,MATCH($A13,'Master Stock'!$R$2:$R$100,0)))</f>
        <v/>
      </c>
      <c r="D13" s="77">
        <f>IF($A13="","",IF(ISNUMBER(INDEX('Master Stock'!$B$2:$B$100,MATCH($A13,'Master Stock'!$R$2:$R$100,0))),INDEX('Master Stock'!$B$2:$B$100,MATCH($A13,'Master Stock'!$R$2:$R$100,0)),IFERROR(DATE(2000+VALUE(RIGHT(INDEX('Master Stock'!$B$2:$B$100,MATCH($A13,'Master Stock'!$R$2:$R$100,0)),2)),VALUE(MID(INDEX('Master Stock'!$B$2:$B$100,MATCH($A13,'Master Stock'!$R$2:$R$100,0)),4,2)),VALUE(LEFT(INDEX('Master Stock'!$B$2:$B$100,MATCH($A13,'Master Stock'!$R$2:$R$100,0)),2))),"")))</f>
        <v/>
      </c>
      <c r="E13" s="41">
        <f>IF($A13="","",INDEX('Master Stock'!$G$2:$G$100,MATCH($A13,'Master Stock'!$R$2:$R$100,0)))</f>
        <v/>
      </c>
      <c r="F13" s="75">
        <f>IF($A13="","",INDEX('Master Stock'!$F$2:$F$100,MATCH($A13,'Master Stock'!$R$2:$R$100,0)))</f>
        <v/>
      </c>
      <c r="G13" s="41">
        <f>IF($A13="","","Rice / FRK RRA")</f>
        <v/>
      </c>
      <c r="H13" s="41">
        <f>IF($A13="","","FIFO - Oldest Receipt First")</f>
        <v/>
      </c>
    </row>
    <row r="14" ht="15" customHeight="1" s="42">
      <c r="A14" s="77">
        <f>IFERROR(IF(INDEX('Master Stock'!$R$2:$R$100,MATCH(12,'Master Stock'!$R$2:$R$100,0))="","",12),"")</f>
        <v/>
      </c>
      <c r="B14" s="41">
        <f>IF($A14="","",INDEX('Master Stock'!$C$2:$C$100,MATCH($A14,'Master Stock'!$R$2:$R$100,0)))</f>
        <v/>
      </c>
      <c r="C14" s="41">
        <f>IF($A14="","",INDEX('Master Stock'!$D$2:$D$100,MATCH($A14,'Master Stock'!$R$2:$R$100,0)))</f>
        <v/>
      </c>
      <c r="D14" s="77">
        <f>IF($A14="","",IF(ISNUMBER(INDEX('Master Stock'!$B$2:$B$100,MATCH($A14,'Master Stock'!$R$2:$R$100,0))),INDEX('Master Stock'!$B$2:$B$100,MATCH($A14,'Master Stock'!$R$2:$R$100,0)),IFERROR(DATE(2000+VALUE(RIGHT(INDEX('Master Stock'!$B$2:$B$100,MATCH($A14,'Master Stock'!$R$2:$R$100,0)),2)),VALUE(MID(INDEX('Master Stock'!$B$2:$B$100,MATCH($A14,'Master Stock'!$R$2:$R$100,0)),4,2)),VALUE(LEFT(INDEX('Master Stock'!$B$2:$B$100,MATCH($A14,'Master Stock'!$R$2:$R$100,0)),2))),"")))</f>
        <v/>
      </c>
      <c r="E14" s="41">
        <f>IF($A14="","",INDEX('Master Stock'!$G$2:$G$100,MATCH($A14,'Master Stock'!$R$2:$R$100,0)))</f>
        <v/>
      </c>
      <c r="F14" s="75">
        <f>IF($A14="","",INDEX('Master Stock'!$F$2:$F$100,MATCH($A14,'Master Stock'!$R$2:$R$100,0)))</f>
        <v/>
      </c>
      <c r="G14" s="41">
        <f>IF($A14="","","Rice / FRK RRA")</f>
        <v/>
      </c>
      <c r="H14" s="41">
        <f>IF($A14="","","FIFO - Oldest Receipt First")</f>
        <v/>
      </c>
    </row>
    <row r="15" ht="15" customHeight="1" s="42">
      <c r="A15" s="77">
        <f>IFERROR(IF(INDEX('Master Stock'!$R$2:$R$100,MATCH(13,'Master Stock'!$R$2:$R$100,0))="","",13),"")</f>
        <v/>
      </c>
      <c r="B15" s="41">
        <f>IF($A15="","",INDEX('Master Stock'!$C$2:$C$100,MATCH($A15,'Master Stock'!$R$2:$R$100,0)))</f>
        <v/>
      </c>
      <c r="C15" s="41">
        <f>IF($A15="","",INDEX('Master Stock'!$D$2:$D$100,MATCH($A15,'Master Stock'!$R$2:$R$100,0)))</f>
        <v/>
      </c>
      <c r="D15" s="77">
        <f>IF($A15="","",IF(ISNUMBER(INDEX('Master Stock'!$B$2:$B$100,MATCH($A15,'Master Stock'!$R$2:$R$100,0))),INDEX('Master Stock'!$B$2:$B$100,MATCH($A15,'Master Stock'!$R$2:$R$100,0)),IFERROR(DATE(2000+VALUE(RIGHT(INDEX('Master Stock'!$B$2:$B$100,MATCH($A15,'Master Stock'!$R$2:$R$100,0)),2)),VALUE(MID(INDEX('Master Stock'!$B$2:$B$100,MATCH($A15,'Master Stock'!$R$2:$R$100,0)),4,2)),VALUE(LEFT(INDEX('Master Stock'!$B$2:$B$100,MATCH($A15,'Master Stock'!$R$2:$R$100,0)),2))),"")))</f>
        <v/>
      </c>
      <c r="E15" s="41">
        <f>IF($A15="","",INDEX('Master Stock'!$G$2:$G$100,MATCH($A15,'Master Stock'!$R$2:$R$100,0)))</f>
        <v/>
      </c>
      <c r="F15" s="75">
        <f>IF($A15="","",INDEX('Master Stock'!$F$2:$F$100,MATCH($A15,'Master Stock'!$R$2:$R$100,0)))</f>
        <v/>
      </c>
      <c r="G15" s="41">
        <f>IF($A15="","","Rice / FRK RRA")</f>
        <v/>
      </c>
      <c r="H15" s="41">
        <f>IF($A15="","","FIFO - Oldest Receipt First")</f>
        <v/>
      </c>
    </row>
    <row r="16" ht="15" customHeight="1" s="42">
      <c r="A16" s="77">
        <f>IFERROR(IF(INDEX('Master Stock'!$R$2:$R$100,MATCH(14,'Master Stock'!$R$2:$R$100,0))="","",14),"")</f>
        <v/>
      </c>
      <c r="B16" s="41">
        <f>IF($A16="","",INDEX('Master Stock'!$C$2:$C$100,MATCH($A16,'Master Stock'!$R$2:$R$100,0)))</f>
        <v/>
      </c>
      <c r="C16" s="41">
        <f>IF($A16="","",INDEX('Master Stock'!$D$2:$D$100,MATCH($A16,'Master Stock'!$R$2:$R$100,0)))</f>
        <v/>
      </c>
      <c r="D16" s="77">
        <f>IF($A16="","",IF(ISNUMBER(INDEX('Master Stock'!$B$2:$B$100,MATCH($A16,'Master Stock'!$R$2:$R$100,0))),INDEX('Master Stock'!$B$2:$B$100,MATCH($A16,'Master Stock'!$R$2:$R$100,0)),IFERROR(DATE(2000+VALUE(RIGHT(INDEX('Master Stock'!$B$2:$B$100,MATCH($A16,'Master Stock'!$R$2:$R$100,0)),2)),VALUE(MID(INDEX('Master Stock'!$B$2:$B$100,MATCH($A16,'Master Stock'!$R$2:$R$100,0)),4,2)),VALUE(LEFT(INDEX('Master Stock'!$B$2:$B$100,MATCH($A16,'Master Stock'!$R$2:$R$100,0)),2))),"")))</f>
        <v/>
      </c>
      <c r="E16" s="41">
        <f>IF($A16="","",INDEX('Master Stock'!$G$2:$G$100,MATCH($A16,'Master Stock'!$R$2:$R$100,0)))</f>
        <v/>
      </c>
      <c r="F16" s="75">
        <f>IF($A16="","",INDEX('Master Stock'!$F$2:$F$100,MATCH($A16,'Master Stock'!$R$2:$R$100,0)))</f>
        <v/>
      </c>
      <c r="G16" s="41">
        <f>IF($A16="","","Rice / FRK RRA")</f>
        <v/>
      </c>
      <c r="H16" s="41">
        <f>IF($A16="","","FIFO - Oldest Receipt First")</f>
        <v/>
      </c>
    </row>
    <row r="17" ht="15" customHeight="1" s="42">
      <c r="A17" s="77">
        <f>IFERROR(IF(INDEX('Master Stock'!$R$2:$R$100,MATCH(15,'Master Stock'!$R$2:$R$100,0))="","",15),"")</f>
        <v/>
      </c>
      <c r="B17" s="41">
        <f>IF($A17="","",INDEX('Master Stock'!$C$2:$C$100,MATCH($A17,'Master Stock'!$R$2:$R$100,0)))</f>
        <v/>
      </c>
      <c r="C17" s="41">
        <f>IF($A17="","",INDEX('Master Stock'!$D$2:$D$100,MATCH($A17,'Master Stock'!$R$2:$R$100,0)))</f>
        <v/>
      </c>
      <c r="D17" s="77">
        <f>IF($A17="","",IF(ISNUMBER(INDEX('Master Stock'!$B$2:$B$100,MATCH($A17,'Master Stock'!$R$2:$R$100,0))),INDEX('Master Stock'!$B$2:$B$100,MATCH($A17,'Master Stock'!$R$2:$R$100,0)),IFERROR(DATE(2000+VALUE(RIGHT(INDEX('Master Stock'!$B$2:$B$100,MATCH($A17,'Master Stock'!$R$2:$R$100,0)),2)),VALUE(MID(INDEX('Master Stock'!$B$2:$B$100,MATCH($A17,'Master Stock'!$R$2:$R$100,0)),4,2)),VALUE(LEFT(INDEX('Master Stock'!$B$2:$B$100,MATCH($A17,'Master Stock'!$R$2:$R$100,0)),2))),"")))</f>
        <v/>
      </c>
      <c r="E17" s="41">
        <f>IF($A17="","",INDEX('Master Stock'!$G$2:$G$100,MATCH($A17,'Master Stock'!$R$2:$R$100,0)))</f>
        <v/>
      </c>
      <c r="F17" s="75">
        <f>IF($A17="","",INDEX('Master Stock'!$F$2:$F$100,MATCH($A17,'Master Stock'!$R$2:$R$100,0)))</f>
        <v/>
      </c>
      <c r="G17" s="41">
        <f>IF($A17="","","Rice / FRK RRA")</f>
        <v/>
      </c>
      <c r="H17" s="41">
        <f>IF($A17="","","FIFO - Oldest Receipt First")</f>
        <v/>
      </c>
    </row>
    <row r="18" ht="15" customHeight="1" s="42">
      <c r="A18" s="77">
        <f>IFERROR(IF(INDEX('Master Stock'!$R$2:$R$100,MATCH(16,'Master Stock'!$R$2:$R$100,0))="","",16),"")</f>
        <v/>
      </c>
      <c r="B18" s="41">
        <f>IF($A18="","",INDEX('Master Stock'!$C$2:$C$100,MATCH($A18,'Master Stock'!$R$2:$R$100,0)))</f>
        <v/>
      </c>
      <c r="C18" s="41">
        <f>IF($A18="","",INDEX('Master Stock'!$D$2:$D$100,MATCH($A18,'Master Stock'!$R$2:$R$100,0)))</f>
        <v/>
      </c>
      <c r="D18" s="77">
        <f>IF($A18="","",IF(ISNUMBER(INDEX('Master Stock'!$B$2:$B$100,MATCH($A18,'Master Stock'!$R$2:$R$100,0))),INDEX('Master Stock'!$B$2:$B$100,MATCH($A18,'Master Stock'!$R$2:$R$100,0)),IFERROR(DATE(2000+VALUE(RIGHT(INDEX('Master Stock'!$B$2:$B$100,MATCH($A18,'Master Stock'!$R$2:$R$100,0)),2)),VALUE(MID(INDEX('Master Stock'!$B$2:$B$100,MATCH($A18,'Master Stock'!$R$2:$R$100,0)),4,2)),VALUE(LEFT(INDEX('Master Stock'!$B$2:$B$100,MATCH($A18,'Master Stock'!$R$2:$R$100,0)),2))),"")))</f>
        <v/>
      </c>
      <c r="E18" s="41">
        <f>IF($A18="","",INDEX('Master Stock'!$G$2:$G$100,MATCH($A18,'Master Stock'!$R$2:$R$100,0)))</f>
        <v/>
      </c>
      <c r="F18" s="75">
        <f>IF($A18="","",INDEX('Master Stock'!$F$2:$F$100,MATCH($A18,'Master Stock'!$R$2:$R$100,0)))</f>
        <v/>
      </c>
      <c r="G18" s="41">
        <f>IF($A18="","","Rice / FRK RRA")</f>
        <v/>
      </c>
      <c r="H18" s="41">
        <f>IF($A18="","","FIFO - Oldest Receipt First")</f>
        <v/>
      </c>
    </row>
    <row r="19" ht="15" customHeight="1" s="42">
      <c r="A19" s="77">
        <f>IFERROR(IF(INDEX('Master Stock'!$R$2:$R$100,MATCH(17,'Master Stock'!$R$2:$R$100,0))="","",17),"")</f>
        <v/>
      </c>
      <c r="B19" s="41">
        <f>IF($A19="","",INDEX('Master Stock'!$C$2:$C$100,MATCH($A19,'Master Stock'!$R$2:$R$100,0)))</f>
        <v/>
      </c>
      <c r="C19" s="41">
        <f>IF($A19="","",INDEX('Master Stock'!$D$2:$D$100,MATCH($A19,'Master Stock'!$R$2:$R$100,0)))</f>
        <v/>
      </c>
      <c r="D19" s="77">
        <f>IF($A19="","",IF(ISNUMBER(INDEX('Master Stock'!$B$2:$B$100,MATCH($A19,'Master Stock'!$R$2:$R$100,0))),INDEX('Master Stock'!$B$2:$B$100,MATCH($A19,'Master Stock'!$R$2:$R$100,0)),IFERROR(DATE(2000+VALUE(RIGHT(INDEX('Master Stock'!$B$2:$B$100,MATCH($A19,'Master Stock'!$R$2:$R$100,0)),2)),VALUE(MID(INDEX('Master Stock'!$B$2:$B$100,MATCH($A19,'Master Stock'!$R$2:$R$100,0)),4,2)),VALUE(LEFT(INDEX('Master Stock'!$B$2:$B$100,MATCH($A19,'Master Stock'!$R$2:$R$100,0)),2))),"")))</f>
        <v/>
      </c>
      <c r="E19" s="41">
        <f>IF($A19="","",INDEX('Master Stock'!$G$2:$G$100,MATCH($A19,'Master Stock'!$R$2:$R$100,0)))</f>
        <v/>
      </c>
      <c r="F19" s="75">
        <f>IF($A19="","",INDEX('Master Stock'!$F$2:$F$100,MATCH($A19,'Master Stock'!$R$2:$R$100,0)))</f>
        <v/>
      </c>
      <c r="G19" s="41">
        <f>IF($A19="","","Rice / FRK RRA")</f>
        <v/>
      </c>
      <c r="H19" s="41">
        <f>IF($A19="","","FIFO - Oldest Receipt First")</f>
        <v/>
      </c>
    </row>
    <row r="20" ht="15" customHeight="1" s="42">
      <c r="A20" s="77">
        <f>IFERROR(IF(INDEX('Master Stock'!$R$2:$R$100,MATCH(18,'Master Stock'!$R$2:$R$100,0))="","",18),"")</f>
        <v/>
      </c>
      <c r="B20" s="41">
        <f>IF($A20="","",INDEX('Master Stock'!$C$2:$C$100,MATCH($A20,'Master Stock'!$R$2:$R$100,0)))</f>
        <v/>
      </c>
      <c r="C20" s="41">
        <f>IF($A20="","",INDEX('Master Stock'!$D$2:$D$100,MATCH($A20,'Master Stock'!$R$2:$R$100,0)))</f>
        <v/>
      </c>
      <c r="D20" s="77">
        <f>IF($A20="","",IF(ISNUMBER(INDEX('Master Stock'!$B$2:$B$100,MATCH($A20,'Master Stock'!$R$2:$R$100,0))),INDEX('Master Stock'!$B$2:$B$100,MATCH($A20,'Master Stock'!$R$2:$R$100,0)),IFERROR(DATE(2000+VALUE(RIGHT(INDEX('Master Stock'!$B$2:$B$100,MATCH($A20,'Master Stock'!$R$2:$R$100,0)),2)),VALUE(MID(INDEX('Master Stock'!$B$2:$B$100,MATCH($A20,'Master Stock'!$R$2:$R$100,0)),4,2)),VALUE(LEFT(INDEX('Master Stock'!$B$2:$B$100,MATCH($A20,'Master Stock'!$R$2:$R$100,0)),2))),"")))</f>
        <v/>
      </c>
      <c r="E20" s="41">
        <f>IF($A20="","",INDEX('Master Stock'!$G$2:$G$100,MATCH($A20,'Master Stock'!$R$2:$R$100,0)))</f>
        <v/>
      </c>
      <c r="F20" s="75">
        <f>IF($A20="","",INDEX('Master Stock'!$F$2:$F$100,MATCH($A20,'Master Stock'!$R$2:$R$100,0)))</f>
        <v/>
      </c>
      <c r="G20" s="41">
        <f>IF($A20="","","Rice / FRK RRA")</f>
        <v/>
      </c>
      <c r="H20" s="41">
        <f>IF($A20="","","FIFO - Oldest Receipt First")</f>
        <v/>
      </c>
    </row>
    <row r="21" ht="15" customHeight="1" s="42">
      <c r="A21" s="77">
        <f>IFERROR(IF(INDEX('Master Stock'!$R$2:$R$100,MATCH(19,'Master Stock'!$R$2:$R$100,0))="","",19),"")</f>
        <v/>
      </c>
      <c r="B21" s="41">
        <f>IF($A21="","",INDEX('Master Stock'!$C$2:$C$100,MATCH($A21,'Master Stock'!$R$2:$R$100,0)))</f>
        <v/>
      </c>
      <c r="C21" s="41">
        <f>IF($A21="","",INDEX('Master Stock'!$D$2:$D$100,MATCH($A21,'Master Stock'!$R$2:$R$100,0)))</f>
        <v/>
      </c>
      <c r="D21" s="77">
        <f>IF($A21="","",IF(ISNUMBER(INDEX('Master Stock'!$B$2:$B$100,MATCH($A21,'Master Stock'!$R$2:$R$100,0))),INDEX('Master Stock'!$B$2:$B$100,MATCH($A21,'Master Stock'!$R$2:$R$100,0)),IFERROR(DATE(2000+VALUE(RIGHT(INDEX('Master Stock'!$B$2:$B$100,MATCH($A21,'Master Stock'!$R$2:$R$100,0)),2)),VALUE(MID(INDEX('Master Stock'!$B$2:$B$100,MATCH($A21,'Master Stock'!$R$2:$R$100,0)),4,2)),VALUE(LEFT(INDEX('Master Stock'!$B$2:$B$100,MATCH($A21,'Master Stock'!$R$2:$R$100,0)),2))),"")))</f>
        <v/>
      </c>
      <c r="E21" s="41">
        <f>IF($A21="","",INDEX('Master Stock'!$G$2:$G$100,MATCH($A21,'Master Stock'!$R$2:$R$100,0)))</f>
        <v/>
      </c>
      <c r="F21" s="75">
        <f>IF($A21="","",INDEX('Master Stock'!$F$2:$F$100,MATCH($A21,'Master Stock'!$R$2:$R$100,0)))</f>
        <v/>
      </c>
      <c r="G21" s="41">
        <f>IF($A21="","","Rice / FRK RRA")</f>
        <v/>
      </c>
      <c r="H21" s="41">
        <f>IF($A21="","","FIFO - Oldest Receipt First")</f>
        <v/>
      </c>
    </row>
    <row r="22" ht="15" customHeight="1" s="42">
      <c r="A22" s="77">
        <f>IFERROR(IF(INDEX('Master Stock'!$R$2:$R$100,MATCH(20,'Master Stock'!$R$2:$R$100,0))="","",20),"")</f>
        <v/>
      </c>
      <c r="B22" s="41">
        <f>IF($A22="","",INDEX('Master Stock'!$C$2:$C$100,MATCH($A22,'Master Stock'!$R$2:$R$100,0)))</f>
        <v/>
      </c>
      <c r="C22" s="41">
        <f>IF($A22="","",INDEX('Master Stock'!$D$2:$D$100,MATCH($A22,'Master Stock'!$R$2:$R$100,0)))</f>
        <v/>
      </c>
      <c r="D22" s="77">
        <f>IF($A22="","",IF(ISNUMBER(INDEX('Master Stock'!$B$2:$B$100,MATCH($A22,'Master Stock'!$R$2:$R$100,0))),INDEX('Master Stock'!$B$2:$B$100,MATCH($A22,'Master Stock'!$R$2:$R$100,0)),IFERROR(DATE(2000+VALUE(RIGHT(INDEX('Master Stock'!$B$2:$B$100,MATCH($A22,'Master Stock'!$R$2:$R$100,0)),2)),VALUE(MID(INDEX('Master Stock'!$B$2:$B$100,MATCH($A22,'Master Stock'!$R$2:$R$100,0)),4,2)),VALUE(LEFT(INDEX('Master Stock'!$B$2:$B$100,MATCH($A22,'Master Stock'!$R$2:$R$100,0)),2))),"")))</f>
        <v/>
      </c>
      <c r="E22" s="41">
        <f>IF($A22="","",INDEX('Master Stock'!$G$2:$G$100,MATCH($A22,'Master Stock'!$R$2:$R$100,0)))</f>
        <v/>
      </c>
      <c r="F22" s="75">
        <f>IF($A22="","",INDEX('Master Stock'!$F$2:$F$100,MATCH($A22,'Master Stock'!$R$2:$R$100,0)))</f>
        <v/>
      </c>
      <c r="G22" s="41">
        <f>IF($A22="","","Rice / FRK RRA")</f>
        <v/>
      </c>
      <c r="H22" s="41">
        <f>IF($A22="","","FIFO - Oldest Receipt First")</f>
        <v/>
      </c>
    </row>
    <row r="23" ht="15" customHeight="1" s="42">
      <c r="A23" s="77">
        <f>IFERROR(IF(INDEX('Master Stock'!$R$2:$R$100,MATCH(21,'Master Stock'!$R$2:$R$100,0))="","",21),"")</f>
        <v/>
      </c>
      <c r="B23" s="41">
        <f>IF($A23="","",INDEX('Master Stock'!$C$2:$C$100,MATCH($A23,'Master Stock'!$R$2:$R$100,0)))</f>
        <v/>
      </c>
      <c r="C23" s="41">
        <f>IF($A23="","",INDEX('Master Stock'!$D$2:$D$100,MATCH($A23,'Master Stock'!$R$2:$R$100,0)))</f>
        <v/>
      </c>
      <c r="D23" s="77">
        <f>IF($A23="","",IF(ISNUMBER(INDEX('Master Stock'!$B$2:$B$100,MATCH($A23,'Master Stock'!$R$2:$R$100,0))),INDEX('Master Stock'!$B$2:$B$100,MATCH($A23,'Master Stock'!$R$2:$R$100,0)),IFERROR(DATE(2000+VALUE(RIGHT(INDEX('Master Stock'!$B$2:$B$100,MATCH($A23,'Master Stock'!$R$2:$R$100,0)),2)),VALUE(MID(INDEX('Master Stock'!$B$2:$B$100,MATCH($A23,'Master Stock'!$R$2:$R$100,0)),4,2)),VALUE(LEFT(INDEX('Master Stock'!$B$2:$B$100,MATCH($A23,'Master Stock'!$R$2:$R$100,0)),2))),"")))</f>
        <v/>
      </c>
      <c r="E23" s="41">
        <f>IF($A23="","",INDEX('Master Stock'!$G$2:$G$100,MATCH($A23,'Master Stock'!$R$2:$R$100,0)))</f>
        <v/>
      </c>
      <c r="F23" s="75">
        <f>IF($A23="","",INDEX('Master Stock'!$F$2:$F$100,MATCH($A23,'Master Stock'!$R$2:$R$100,0)))</f>
        <v/>
      </c>
      <c r="G23" s="41">
        <f>IF($A23="","","Rice / FRK RRA")</f>
        <v/>
      </c>
      <c r="H23" s="41">
        <f>IF($A23="","","FIFO - Oldest Receipt First")</f>
        <v/>
      </c>
    </row>
    <row r="24" ht="15" customHeight="1" s="42">
      <c r="A24" s="77">
        <f>IFERROR(IF(INDEX('Master Stock'!$R$2:$R$100,MATCH(22,'Master Stock'!$R$2:$R$100,0))="","",22),"")</f>
        <v/>
      </c>
      <c r="B24" s="41">
        <f>IF($A24="","",INDEX('Master Stock'!$C$2:$C$100,MATCH($A24,'Master Stock'!$R$2:$R$100,0)))</f>
        <v/>
      </c>
      <c r="C24" s="41">
        <f>IF($A24="","",INDEX('Master Stock'!$D$2:$D$100,MATCH($A24,'Master Stock'!$R$2:$R$100,0)))</f>
        <v/>
      </c>
      <c r="D24" s="77">
        <f>IF($A24="","",IF(ISNUMBER(INDEX('Master Stock'!$B$2:$B$100,MATCH($A24,'Master Stock'!$R$2:$R$100,0))),INDEX('Master Stock'!$B$2:$B$100,MATCH($A24,'Master Stock'!$R$2:$R$100,0)),IFERROR(DATE(2000+VALUE(RIGHT(INDEX('Master Stock'!$B$2:$B$100,MATCH($A24,'Master Stock'!$R$2:$R$100,0)),2)),VALUE(MID(INDEX('Master Stock'!$B$2:$B$100,MATCH($A24,'Master Stock'!$R$2:$R$100,0)),4,2)),VALUE(LEFT(INDEX('Master Stock'!$B$2:$B$100,MATCH($A24,'Master Stock'!$R$2:$R$100,0)),2))),"")))</f>
        <v/>
      </c>
      <c r="E24" s="41">
        <f>IF($A24="","",INDEX('Master Stock'!$G$2:$G$100,MATCH($A24,'Master Stock'!$R$2:$R$100,0)))</f>
        <v/>
      </c>
      <c r="F24" s="75">
        <f>IF($A24="","",INDEX('Master Stock'!$F$2:$F$100,MATCH($A24,'Master Stock'!$R$2:$R$100,0)))</f>
        <v/>
      </c>
      <c r="G24" s="41">
        <f>IF($A24="","","Rice / FRK RRA")</f>
        <v/>
      </c>
      <c r="H24" s="41">
        <f>IF($A24="","","FIFO - Oldest Receipt First")</f>
        <v/>
      </c>
    </row>
    <row r="25" ht="15" customHeight="1" s="42">
      <c r="A25" s="77">
        <f>IFERROR(IF(INDEX('Master Stock'!$R$2:$R$100,MATCH(23,'Master Stock'!$R$2:$R$100,0))="","",23),"")</f>
        <v/>
      </c>
      <c r="B25" s="41">
        <f>IF($A25="","",INDEX('Master Stock'!$C$2:$C$100,MATCH($A25,'Master Stock'!$R$2:$R$100,0)))</f>
        <v/>
      </c>
      <c r="C25" s="41">
        <f>IF($A25="","",INDEX('Master Stock'!$D$2:$D$100,MATCH($A25,'Master Stock'!$R$2:$R$100,0)))</f>
        <v/>
      </c>
      <c r="D25" s="77">
        <f>IF($A25="","",IF(ISNUMBER(INDEX('Master Stock'!$B$2:$B$100,MATCH($A25,'Master Stock'!$R$2:$R$100,0))),INDEX('Master Stock'!$B$2:$B$100,MATCH($A25,'Master Stock'!$R$2:$R$100,0)),IFERROR(DATE(2000+VALUE(RIGHT(INDEX('Master Stock'!$B$2:$B$100,MATCH($A25,'Master Stock'!$R$2:$R$100,0)),2)),VALUE(MID(INDEX('Master Stock'!$B$2:$B$100,MATCH($A25,'Master Stock'!$R$2:$R$100,0)),4,2)),VALUE(LEFT(INDEX('Master Stock'!$B$2:$B$100,MATCH($A25,'Master Stock'!$R$2:$R$100,0)),2))),"")))</f>
        <v/>
      </c>
      <c r="E25" s="41">
        <f>IF($A25="","",INDEX('Master Stock'!$G$2:$G$100,MATCH($A25,'Master Stock'!$R$2:$R$100,0)))</f>
        <v/>
      </c>
      <c r="F25" s="75">
        <f>IF($A25="","",INDEX('Master Stock'!$F$2:$F$100,MATCH($A25,'Master Stock'!$R$2:$R$100,0)))</f>
        <v/>
      </c>
      <c r="G25" s="41">
        <f>IF($A25="","","Rice / FRK RRA")</f>
        <v/>
      </c>
      <c r="H25" s="41">
        <f>IF($A25="","","FIFO - Oldest Receipt First")</f>
        <v/>
      </c>
    </row>
    <row r="26" ht="15" customHeight="1" s="42">
      <c r="A26" s="77">
        <f>IFERROR(IF(INDEX('Master Stock'!$R$2:$R$100,MATCH(24,'Master Stock'!$R$2:$R$100,0))="","",24),"")</f>
        <v/>
      </c>
      <c r="B26" s="41">
        <f>IF($A26="","",INDEX('Master Stock'!$C$2:$C$100,MATCH($A26,'Master Stock'!$R$2:$R$100,0)))</f>
        <v/>
      </c>
      <c r="C26" s="41">
        <f>IF($A26="","",INDEX('Master Stock'!$D$2:$D$100,MATCH($A26,'Master Stock'!$R$2:$R$100,0)))</f>
        <v/>
      </c>
      <c r="D26" s="77">
        <f>IF($A26="","",IF(ISNUMBER(INDEX('Master Stock'!$B$2:$B$100,MATCH($A26,'Master Stock'!$R$2:$R$100,0))),INDEX('Master Stock'!$B$2:$B$100,MATCH($A26,'Master Stock'!$R$2:$R$100,0)),IFERROR(DATE(2000+VALUE(RIGHT(INDEX('Master Stock'!$B$2:$B$100,MATCH($A26,'Master Stock'!$R$2:$R$100,0)),2)),VALUE(MID(INDEX('Master Stock'!$B$2:$B$100,MATCH($A26,'Master Stock'!$R$2:$R$100,0)),4,2)),VALUE(LEFT(INDEX('Master Stock'!$B$2:$B$100,MATCH($A26,'Master Stock'!$R$2:$R$100,0)),2))),"")))</f>
        <v/>
      </c>
      <c r="E26" s="41">
        <f>IF($A26="","",INDEX('Master Stock'!$G$2:$G$100,MATCH($A26,'Master Stock'!$R$2:$R$100,0)))</f>
        <v/>
      </c>
      <c r="F26" s="75">
        <f>IF($A26="","",INDEX('Master Stock'!$F$2:$F$100,MATCH($A26,'Master Stock'!$R$2:$R$100,0)))</f>
        <v/>
      </c>
      <c r="G26" s="41">
        <f>IF($A26="","","Rice / FRK RRA")</f>
        <v/>
      </c>
      <c r="H26" s="41">
        <f>IF($A26="","","FIFO - Oldest Receipt First")</f>
        <v/>
      </c>
    </row>
    <row r="27" ht="15" customHeight="1" s="42">
      <c r="A27" s="77">
        <f>IFERROR(IF(INDEX('Master Stock'!$R$2:$R$100,MATCH(25,'Master Stock'!$R$2:$R$100,0))="","",25),"")</f>
        <v/>
      </c>
      <c r="B27" s="41">
        <f>IF($A27="","",INDEX('Master Stock'!$C$2:$C$100,MATCH($A27,'Master Stock'!$R$2:$R$100,0)))</f>
        <v/>
      </c>
      <c r="C27" s="41">
        <f>IF($A27="","",INDEX('Master Stock'!$D$2:$D$100,MATCH($A27,'Master Stock'!$R$2:$R$100,0)))</f>
        <v/>
      </c>
      <c r="D27" s="77">
        <f>IF($A27="","",IF(ISNUMBER(INDEX('Master Stock'!$B$2:$B$100,MATCH($A27,'Master Stock'!$R$2:$R$100,0))),INDEX('Master Stock'!$B$2:$B$100,MATCH($A27,'Master Stock'!$R$2:$R$100,0)),IFERROR(DATE(2000+VALUE(RIGHT(INDEX('Master Stock'!$B$2:$B$100,MATCH($A27,'Master Stock'!$R$2:$R$100,0)),2)),VALUE(MID(INDEX('Master Stock'!$B$2:$B$100,MATCH($A27,'Master Stock'!$R$2:$R$100,0)),4,2)),VALUE(LEFT(INDEX('Master Stock'!$B$2:$B$100,MATCH($A27,'Master Stock'!$R$2:$R$100,0)),2))),"")))</f>
        <v/>
      </c>
      <c r="E27" s="41">
        <f>IF($A27="","",INDEX('Master Stock'!$G$2:$G$100,MATCH($A27,'Master Stock'!$R$2:$R$100,0)))</f>
        <v/>
      </c>
      <c r="F27" s="41">
        <f>IF($A27="","",INDEX('Master Stock'!$F$2:$F$100,MATCH($A27,'Master Stock'!$R$2:$R$100,0)))</f>
        <v/>
      </c>
      <c r="G27" s="41">
        <f>IF($A27="","","Rice / FRK RRA")</f>
        <v/>
      </c>
      <c r="H27" s="41">
        <f>IF($A27="","","FIFO - Oldest Receipt First")</f>
        <v/>
      </c>
    </row>
    <row r="28" ht="15" customHeight="1" s="42">
      <c r="A28" s="77">
        <f>IFERROR(IF(INDEX('Master Stock'!$R$2:$R$100,MATCH(26,'Master Stock'!$R$2:$R$100,0))="","",26),"")</f>
        <v/>
      </c>
      <c r="B28" s="41">
        <f>IF($A28="","",INDEX('Master Stock'!$C$2:$C$100,MATCH($A28,'Master Stock'!$R$2:$R$100,0)))</f>
        <v/>
      </c>
      <c r="C28" s="41">
        <f>IF($A28="","",INDEX('Master Stock'!$D$2:$D$100,MATCH($A28,'Master Stock'!$R$2:$R$100,0)))</f>
        <v/>
      </c>
      <c r="D28" s="77">
        <f>IF($A28="","",IF(ISNUMBER(INDEX('Master Stock'!$B$2:$B$100,MATCH($A28,'Master Stock'!$R$2:$R$100,0))),INDEX('Master Stock'!$B$2:$B$100,MATCH($A28,'Master Stock'!$R$2:$R$100,0)),IFERROR(DATE(2000+VALUE(RIGHT(INDEX('Master Stock'!$B$2:$B$100,MATCH($A28,'Master Stock'!$R$2:$R$100,0)),2)),VALUE(MID(INDEX('Master Stock'!$B$2:$B$100,MATCH($A28,'Master Stock'!$R$2:$R$100,0)),4,2)),VALUE(LEFT(INDEX('Master Stock'!$B$2:$B$100,MATCH($A28,'Master Stock'!$R$2:$R$100,0)),2))),"")))</f>
        <v/>
      </c>
      <c r="E28" s="41">
        <f>IF($A28="","",INDEX('Master Stock'!$G$2:$G$100,MATCH($A28,'Master Stock'!$R$2:$R$100,0)))</f>
        <v/>
      </c>
      <c r="F28" s="41">
        <f>IF($A28="","",INDEX('Master Stock'!$F$2:$F$100,MATCH($A28,'Master Stock'!$R$2:$R$100,0)))</f>
        <v/>
      </c>
      <c r="G28" s="41">
        <f>IF($A28="","","Rice / FRK RRA")</f>
        <v/>
      </c>
      <c r="H28" s="41">
        <f>IF($A28="","","FIFO - Oldest Receipt First")</f>
        <v/>
      </c>
    </row>
    <row r="29" ht="15" customHeight="1" s="42">
      <c r="A29" s="77">
        <f>IFERROR(IF(INDEX('Master Stock'!$R$2:$R$100,MATCH(27,'Master Stock'!$R$2:$R$100,0))="","",27),"")</f>
        <v/>
      </c>
      <c r="B29" s="41">
        <f>IF($A29="","",INDEX('Master Stock'!$C$2:$C$100,MATCH($A29,'Master Stock'!$R$2:$R$100,0)))</f>
        <v/>
      </c>
      <c r="C29" s="41">
        <f>IF($A29="","",INDEX('Master Stock'!$D$2:$D$100,MATCH($A29,'Master Stock'!$R$2:$R$100,0)))</f>
        <v/>
      </c>
      <c r="D29" s="77">
        <f>IF($A29="","",IF(ISNUMBER(INDEX('Master Stock'!$B$2:$B$100,MATCH($A29,'Master Stock'!$R$2:$R$100,0))),INDEX('Master Stock'!$B$2:$B$100,MATCH($A29,'Master Stock'!$R$2:$R$100,0)),IFERROR(DATE(2000+VALUE(RIGHT(INDEX('Master Stock'!$B$2:$B$100,MATCH($A29,'Master Stock'!$R$2:$R$100,0)),2)),VALUE(MID(INDEX('Master Stock'!$B$2:$B$100,MATCH($A29,'Master Stock'!$R$2:$R$100,0)),4,2)),VALUE(LEFT(INDEX('Master Stock'!$B$2:$B$100,MATCH($A29,'Master Stock'!$R$2:$R$100,0)),2))),"")))</f>
        <v/>
      </c>
      <c r="E29" s="41">
        <f>IF($A29="","",INDEX('Master Stock'!$G$2:$G$100,MATCH($A29,'Master Stock'!$R$2:$R$100,0)))</f>
        <v/>
      </c>
      <c r="F29" s="41">
        <f>IF($A29="","",INDEX('Master Stock'!$F$2:$F$100,MATCH($A29,'Master Stock'!$R$2:$R$100,0)))</f>
        <v/>
      </c>
      <c r="G29" s="41">
        <f>IF($A29="","","Rice / FRK RRA")</f>
        <v/>
      </c>
      <c r="H29" s="41">
        <f>IF($A29="","","FIFO - Oldest Receipt First")</f>
        <v/>
      </c>
    </row>
    <row r="30" ht="15" customHeight="1" s="42">
      <c r="A30" s="77">
        <f>IFERROR(IF(INDEX('Master Stock'!$R$2:$R$100,MATCH(28,'Master Stock'!$R$2:$R$100,0))="","",28),"")</f>
        <v/>
      </c>
      <c r="B30" s="41">
        <f>IF($A30="","",INDEX('Master Stock'!$C$2:$C$100,MATCH($A30,'Master Stock'!$R$2:$R$100,0)))</f>
        <v/>
      </c>
      <c r="C30" s="41">
        <f>IF($A30="","",INDEX('Master Stock'!$D$2:$D$100,MATCH($A30,'Master Stock'!$R$2:$R$100,0)))</f>
        <v/>
      </c>
      <c r="D30" s="77">
        <f>IF($A30="","",IF(ISNUMBER(INDEX('Master Stock'!$B$2:$B$100,MATCH($A30,'Master Stock'!$R$2:$R$100,0))),INDEX('Master Stock'!$B$2:$B$100,MATCH($A30,'Master Stock'!$R$2:$R$100,0)),IFERROR(DATE(2000+VALUE(RIGHT(INDEX('Master Stock'!$B$2:$B$100,MATCH($A30,'Master Stock'!$R$2:$R$100,0)),2)),VALUE(MID(INDEX('Master Stock'!$B$2:$B$100,MATCH($A30,'Master Stock'!$R$2:$R$100,0)),4,2)),VALUE(LEFT(INDEX('Master Stock'!$B$2:$B$100,MATCH($A30,'Master Stock'!$R$2:$R$100,0)),2))),"")))</f>
        <v/>
      </c>
      <c r="E30" s="41">
        <f>IF($A30="","",INDEX('Master Stock'!$G$2:$G$100,MATCH($A30,'Master Stock'!$R$2:$R$100,0)))</f>
        <v/>
      </c>
      <c r="F30" s="41">
        <f>IF($A30="","",INDEX('Master Stock'!$F$2:$F$100,MATCH($A30,'Master Stock'!$R$2:$R$100,0)))</f>
        <v/>
      </c>
      <c r="G30" s="41">
        <f>IF($A30="","","Rice / FRK RRA")</f>
        <v/>
      </c>
      <c r="H30" s="41">
        <f>IF($A30="","","FIFO - Oldest Receipt First")</f>
        <v/>
      </c>
    </row>
    <row r="31" ht="15" customHeight="1" s="42">
      <c r="A31" s="77">
        <f>IFERROR(IF(INDEX('Master Stock'!$R$2:$R$100,MATCH(29,'Master Stock'!$R$2:$R$100,0))="","",29),"")</f>
        <v/>
      </c>
      <c r="B31" s="41">
        <f>IF($A31="","",INDEX('Master Stock'!$C$2:$C$100,MATCH($A31,'Master Stock'!$R$2:$R$100,0)))</f>
        <v/>
      </c>
      <c r="C31" s="41">
        <f>IF($A31="","",INDEX('Master Stock'!$D$2:$D$100,MATCH($A31,'Master Stock'!$R$2:$R$100,0)))</f>
        <v/>
      </c>
      <c r="D31" s="77">
        <f>IF($A31="","",IF(ISNUMBER(INDEX('Master Stock'!$B$2:$B$100,MATCH($A31,'Master Stock'!$R$2:$R$100,0))),INDEX('Master Stock'!$B$2:$B$100,MATCH($A31,'Master Stock'!$R$2:$R$100,0)),IFERROR(DATE(2000+VALUE(RIGHT(INDEX('Master Stock'!$B$2:$B$100,MATCH($A31,'Master Stock'!$R$2:$R$100,0)),2)),VALUE(MID(INDEX('Master Stock'!$B$2:$B$100,MATCH($A31,'Master Stock'!$R$2:$R$100,0)),4,2)),VALUE(LEFT(INDEX('Master Stock'!$B$2:$B$100,MATCH($A31,'Master Stock'!$R$2:$R$100,0)),2))),"")))</f>
        <v/>
      </c>
      <c r="E31" s="41">
        <f>IF($A31="","",INDEX('Master Stock'!$G$2:$G$100,MATCH($A31,'Master Stock'!$R$2:$R$100,0)))</f>
        <v/>
      </c>
      <c r="F31" s="41">
        <f>IF($A31="","",INDEX('Master Stock'!$F$2:$F$100,MATCH($A31,'Master Stock'!$R$2:$R$100,0)))</f>
        <v/>
      </c>
      <c r="G31" s="41">
        <f>IF($A31="","","Rice / FRK RRA")</f>
        <v/>
      </c>
      <c r="H31" s="41">
        <f>IF($A31="","","FIFO - Oldest Receipt First")</f>
        <v/>
      </c>
    </row>
    <row r="32" ht="15" customHeight="1" s="42">
      <c r="A32" s="77">
        <f>IFERROR(IF(INDEX('Master Stock'!$R$2:$R$100,MATCH(30,'Master Stock'!$R$2:$R$100,0))="","",30),"")</f>
        <v/>
      </c>
      <c r="B32" s="41">
        <f>IF($A32="","",INDEX('Master Stock'!$C$2:$C$100,MATCH($A32,'Master Stock'!$R$2:$R$100,0)))</f>
        <v/>
      </c>
      <c r="C32" s="41">
        <f>IF($A32="","",INDEX('Master Stock'!$D$2:$D$100,MATCH($A32,'Master Stock'!$R$2:$R$100,0)))</f>
        <v/>
      </c>
      <c r="D32" s="77">
        <f>IF($A32="","",IF(ISNUMBER(INDEX('Master Stock'!$B$2:$B$100,MATCH($A32,'Master Stock'!$R$2:$R$100,0))),INDEX('Master Stock'!$B$2:$B$100,MATCH($A32,'Master Stock'!$R$2:$R$100,0)),IFERROR(DATE(2000+VALUE(RIGHT(INDEX('Master Stock'!$B$2:$B$100,MATCH($A32,'Master Stock'!$R$2:$R$100,0)),2)),VALUE(MID(INDEX('Master Stock'!$B$2:$B$100,MATCH($A32,'Master Stock'!$R$2:$R$100,0)),4,2)),VALUE(LEFT(INDEX('Master Stock'!$B$2:$B$100,MATCH($A32,'Master Stock'!$R$2:$R$100,0)),2))),"")))</f>
        <v/>
      </c>
      <c r="E32" s="41">
        <f>IF($A32="","",INDEX('Master Stock'!$G$2:$G$100,MATCH($A32,'Master Stock'!$R$2:$R$100,0)))</f>
        <v/>
      </c>
      <c r="F32" s="41">
        <f>IF($A32="","",INDEX('Master Stock'!$F$2:$F$100,MATCH($A32,'Master Stock'!$R$2:$R$100,0)))</f>
        <v/>
      </c>
      <c r="G32" s="41">
        <f>IF($A32="","","Rice / FRK RRA")</f>
        <v/>
      </c>
      <c r="H32" s="41">
        <f>IF($A32="","","FIFO - Oldest Receipt First")</f>
        <v/>
      </c>
    </row>
    <row r="33" ht="15" customHeight="1" s="42">
      <c r="A33" s="77">
        <f>IFERROR(IF(INDEX('Master Stock'!$R$2:$R$100,MATCH(31,'Master Stock'!$R$2:$R$100,0))="","",31),"")</f>
        <v/>
      </c>
      <c r="B33" s="41">
        <f>IF($A33="","",INDEX('Master Stock'!$C$2:$C$100,MATCH($A33,'Master Stock'!$R$2:$R$100,0)))</f>
        <v/>
      </c>
      <c r="C33" s="41">
        <f>IF($A33="","",INDEX('Master Stock'!$D$2:$D$100,MATCH($A33,'Master Stock'!$R$2:$R$100,0)))</f>
        <v/>
      </c>
      <c r="D33" s="77">
        <f>IF($A33="","",IF(ISNUMBER(INDEX('Master Stock'!$B$2:$B$100,MATCH($A33,'Master Stock'!$R$2:$R$100,0))),INDEX('Master Stock'!$B$2:$B$100,MATCH($A33,'Master Stock'!$R$2:$R$100,0)),IFERROR(DATE(2000+VALUE(RIGHT(INDEX('Master Stock'!$B$2:$B$100,MATCH($A33,'Master Stock'!$R$2:$R$100,0)),2)),VALUE(MID(INDEX('Master Stock'!$B$2:$B$100,MATCH($A33,'Master Stock'!$R$2:$R$100,0)),4,2)),VALUE(LEFT(INDEX('Master Stock'!$B$2:$B$100,MATCH($A33,'Master Stock'!$R$2:$R$100,0)),2))),"")))</f>
        <v/>
      </c>
      <c r="E33" s="41">
        <f>IF($A33="","",INDEX('Master Stock'!$G$2:$G$100,MATCH($A33,'Master Stock'!$R$2:$R$100,0)))</f>
        <v/>
      </c>
      <c r="F33" s="41">
        <f>IF($A33="","",INDEX('Master Stock'!$F$2:$F$100,MATCH($A33,'Master Stock'!$R$2:$R$100,0)))</f>
        <v/>
      </c>
      <c r="G33" s="41">
        <f>IF($A33="","","Rice / FRK RRA")</f>
        <v/>
      </c>
      <c r="H33" s="41">
        <f>IF($A33="","","FIFO - Oldest Receipt First")</f>
        <v/>
      </c>
    </row>
    <row r="34" ht="15" customHeight="1" s="42">
      <c r="A34" s="77">
        <f>IFERROR(IF(INDEX('Master Stock'!$R$2:$R$100,MATCH(32,'Master Stock'!$R$2:$R$100,0))="","",32),"")</f>
        <v/>
      </c>
      <c r="B34" s="41">
        <f>IF($A34="","",INDEX('Master Stock'!$C$2:$C$100,MATCH($A34,'Master Stock'!$R$2:$R$100,0)))</f>
        <v/>
      </c>
      <c r="C34" s="41">
        <f>IF($A34="","",INDEX('Master Stock'!$D$2:$D$100,MATCH($A34,'Master Stock'!$R$2:$R$100,0)))</f>
        <v/>
      </c>
      <c r="D34" s="77">
        <f>IF($A34="","",IF(ISNUMBER(INDEX('Master Stock'!$B$2:$B$100,MATCH($A34,'Master Stock'!$R$2:$R$100,0))),INDEX('Master Stock'!$B$2:$B$100,MATCH($A34,'Master Stock'!$R$2:$R$100,0)),IFERROR(DATE(2000+VALUE(RIGHT(INDEX('Master Stock'!$B$2:$B$100,MATCH($A34,'Master Stock'!$R$2:$R$100,0)),2)),VALUE(MID(INDEX('Master Stock'!$B$2:$B$100,MATCH($A34,'Master Stock'!$R$2:$R$100,0)),4,2)),VALUE(LEFT(INDEX('Master Stock'!$B$2:$B$100,MATCH($A34,'Master Stock'!$R$2:$R$100,0)),2))),"")))</f>
        <v/>
      </c>
      <c r="E34" s="41">
        <f>IF($A34="","",INDEX('Master Stock'!$G$2:$G$100,MATCH($A34,'Master Stock'!$R$2:$R$100,0)))</f>
        <v/>
      </c>
      <c r="F34" s="41">
        <f>IF($A34="","",INDEX('Master Stock'!$F$2:$F$100,MATCH($A34,'Master Stock'!$R$2:$R$100,0)))</f>
        <v/>
      </c>
      <c r="G34" s="41">
        <f>IF($A34="","","Rice / FRK RRA")</f>
        <v/>
      </c>
      <c r="H34" s="41">
        <f>IF($A34="","","FIFO - Oldest Receipt First")</f>
        <v/>
      </c>
    </row>
    <row r="35" ht="15" customHeight="1" s="42">
      <c r="A35" s="77">
        <f>IFERROR(IF(INDEX('Master Stock'!$R$2:$R$100,MATCH(33,'Master Stock'!$R$2:$R$100,0))="","",33),"")</f>
        <v/>
      </c>
      <c r="B35" s="41">
        <f>IF($A35="","",INDEX('Master Stock'!$C$2:$C$100,MATCH($A35,'Master Stock'!$R$2:$R$100,0)))</f>
        <v/>
      </c>
      <c r="C35" s="41">
        <f>IF($A35="","",INDEX('Master Stock'!$D$2:$D$100,MATCH($A35,'Master Stock'!$R$2:$R$100,0)))</f>
        <v/>
      </c>
      <c r="D35" s="77">
        <f>IF($A35="","",IF(ISNUMBER(INDEX('Master Stock'!$B$2:$B$100,MATCH($A35,'Master Stock'!$R$2:$R$100,0))),INDEX('Master Stock'!$B$2:$B$100,MATCH($A35,'Master Stock'!$R$2:$R$100,0)),IFERROR(DATE(2000+VALUE(RIGHT(INDEX('Master Stock'!$B$2:$B$100,MATCH($A35,'Master Stock'!$R$2:$R$100,0)),2)),VALUE(MID(INDEX('Master Stock'!$B$2:$B$100,MATCH($A35,'Master Stock'!$R$2:$R$100,0)),4,2)),VALUE(LEFT(INDEX('Master Stock'!$B$2:$B$100,MATCH($A35,'Master Stock'!$R$2:$R$100,0)),2))),"")))</f>
        <v/>
      </c>
      <c r="E35" s="41">
        <f>IF($A35="","",INDEX('Master Stock'!$G$2:$G$100,MATCH($A35,'Master Stock'!$R$2:$R$100,0)))</f>
        <v/>
      </c>
      <c r="F35" s="41">
        <f>IF($A35="","",INDEX('Master Stock'!$F$2:$F$100,MATCH($A35,'Master Stock'!$R$2:$R$100,0)))</f>
        <v/>
      </c>
      <c r="G35" s="41">
        <f>IF($A35="","","Rice / FRK RRA")</f>
        <v/>
      </c>
      <c r="H35" s="41">
        <f>IF($A35="","","FIFO - Oldest Receipt First")</f>
        <v/>
      </c>
    </row>
    <row r="36" ht="15" customHeight="1" s="42">
      <c r="A36" s="77">
        <f>IFERROR(IF(INDEX('Master Stock'!$R$2:$R$100,MATCH(34,'Master Stock'!$R$2:$R$100,0))="","",34),"")</f>
        <v/>
      </c>
      <c r="B36" s="41">
        <f>IF($A36="","",INDEX('Master Stock'!$C$2:$C$100,MATCH($A36,'Master Stock'!$R$2:$R$100,0)))</f>
        <v/>
      </c>
      <c r="C36" s="41">
        <f>IF($A36="","",INDEX('Master Stock'!$D$2:$D$100,MATCH($A36,'Master Stock'!$R$2:$R$100,0)))</f>
        <v/>
      </c>
      <c r="D36" s="77">
        <f>IF($A36="","",IF(ISNUMBER(INDEX('Master Stock'!$B$2:$B$100,MATCH($A36,'Master Stock'!$R$2:$R$100,0))),INDEX('Master Stock'!$B$2:$B$100,MATCH($A36,'Master Stock'!$R$2:$R$100,0)),IFERROR(DATE(2000+VALUE(RIGHT(INDEX('Master Stock'!$B$2:$B$100,MATCH($A36,'Master Stock'!$R$2:$R$100,0)),2)),VALUE(MID(INDEX('Master Stock'!$B$2:$B$100,MATCH($A36,'Master Stock'!$R$2:$R$100,0)),4,2)),VALUE(LEFT(INDEX('Master Stock'!$B$2:$B$100,MATCH($A36,'Master Stock'!$R$2:$R$100,0)),2))),"")))</f>
        <v/>
      </c>
      <c r="E36" s="41">
        <f>IF($A36="","",INDEX('Master Stock'!$G$2:$G$100,MATCH($A36,'Master Stock'!$R$2:$R$100,0)))</f>
        <v/>
      </c>
      <c r="F36" s="41">
        <f>IF($A36="","",INDEX('Master Stock'!$F$2:$F$100,MATCH($A36,'Master Stock'!$R$2:$R$100,0)))</f>
        <v/>
      </c>
      <c r="G36" s="41">
        <f>IF($A36="","","Rice / FRK RRA")</f>
        <v/>
      </c>
      <c r="H36" s="41">
        <f>IF($A36="","","FIFO - Oldest Receipt First")</f>
        <v/>
      </c>
    </row>
    <row r="37" ht="15" customHeight="1" s="42">
      <c r="A37" s="77">
        <f>IFERROR(IF(INDEX('Master Stock'!$R$2:$R$100,MATCH(35,'Master Stock'!$R$2:$R$100,0))="","",35),"")</f>
        <v/>
      </c>
      <c r="B37" s="41">
        <f>IF($A37="","",INDEX('Master Stock'!$C$2:$C$100,MATCH($A37,'Master Stock'!$R$2:$R$100,0)))</f>
        <v/>
      </c>
      <c r="C37" s="41">
        <f>IF($A37="","",INDEX('Master Stock'!$D$2:$D$100,MATCH($A37,'Master Stock'!$R$2:$R$100,0)))</f>
        <v/>
      </c>
      <c r="D37" s="77">
        <f>IF($A37="","",IF(ISNUMBER(INDEX('Master Stock'!$B$2:$B$100,MATCH($A37,'Master Stock'!$R$2:$R$100,0))),INDEX('Master Stock'!$B$2:$B$100,MATCH($A37,'Master Stock'!$R$2:$R$100,0)),IFERROR(DATE(2000+VALUE(RIGHT(INDEX('Master Stock'!$B$2:$B$100,MATCH($A37,'Master Stock'!$R$2:$R$100,0)),2)),VALUE(MID(INDEX('Master Stock'!$B$2:$B$100,MATCH($A37,'Master Stock'!$R$2:$R$100,0)),4,2)),VALUE(LEFT(INDEX('Master Stock'!$B$2:$B$100,MATCH($A37,'Master Stock'!$R$2:$R$100,0)),2))),"")))</f>
        <v/>
      </c>
      <c r="E37" s="41">
        <f>IF($A37="","",INDEX('Master Stock'!$G$2:$G$100,MATCH($A37,'Master Stock'!$R$2:$R$100,0)))</f>
        <v/>
      </c>
      <c r="F37" s="41">
        <f>IF($A37="","",INDEX('Master Stock'!$F$2:$F$100,MATCH($A37,'Master Stock'!$R$2:$R$100,0)))</f>
        <v/>
      </c>
      <c r="G37" s="41">
        <f>IF($A37="","","Rice / FRK RRA")</f>
        <v/>
      </c>
      <c r="H37" s="41">
        <f>IF($A37="","","FIFO - Oldest Receipt First")</f>
        <v/>
      </c>
    </row>
    <row r="38" ht="15" customHeight="1" s="42">
      <c r="A38" s="77">
        <f>IFERROR(IF(INDEX('Master Stock'!$R$2:$R$100,MATCH(36,'Master Stock'!$R$2:$R$100,0))="","",36),"")</f>
        <v/>
      </c>
      <c r="B38" s="41">
        <f>IF($A38="","",INDEX('Master Stock'!$C$2:$C$100,MATCH($A38,'Master Stock'!$R$2:$R$100,0)))</f>
        <v/>
      </c>
      <c r="C38" s="41">
        <f>IF($A38="","",INDEX('Master Stock'!$D$2:$D$100,MATCH($A38,'Master Stock'!$R$2:$R$100,0)))</f>
        <v/>
      </c>
      <c r="D38" s="77">
        <f>IF($A38="","",IF(ISNUMBER(INDEX('Master Stock'!$B$2:$B$100,MATCH($A38,'Master Stock'!$R$2:$R$100,0))),INDEX('Master Stock'!$B$2:$B$100,MATCH($A38,'Master Stock'!$R$2:$R$100,0)),IFERROR(DATE(2000+VALUE(RIGHT(INDEX('Master Stock'!$B$2:$B$100,MATCH($A38,'Master Stock'!$R$2:$R$100,0)),2)),VALUE(MID(INDEX('Master Stock'!$B$2:$B$100,MATCH($A38,'Master Stock'!$R$2:$R$100,0)),4,2)),VALUE(LEFT(INDEX('Master Stock'!$B$2:$B$100,MATCH($A38,'Master Stock'!$R$2:$R$100,0)),2))),"")))</f>
        <v/>
      </c>
      <c r="E38" s="41">
        <f>IF($A38="","",INDEX('Master Stock'!$G$2:$G$100,MATCH($A38,'Master Stock'!$R$2:$R$100,0)))</f>
        <v/>
      </c>
      <c r="F38" s="41">
        <f>IF($A38="","",INDEX('Master Stock'!$F$2:$F$100,MATCH($A38,'Master Stock'!$R$2:$R$100,0)))</f>
        <v/>
      </c>
      <c r="G38" s="41">
        <f>IF($A38="","","Rice / FRK RRA")</f>
        <v/>
      </c>
      <c r="H38" s="41">
        <f>IF($A38="","","FIFO - Oldest Receipt First")</f>
        <v/>
      </c>
    </row>
    <row r="39" ht="15" customHeight="1" s="42">
      <c r="A39" s="77">
        <f>IFERROR(IF(INDEX('Master Stock'!$R$2:$R$100,MATCH(37,'Master Stock'!$R$2:$R$100,0))="","",37),"")</f>
        <v/>
      </c>
      <c r="B39" s="41">
        <f>IF($A39="","",INDEX('Master Stock'!$C$2:$C$100,MATCH($A39,'Master Stock'!$R$2:$R$100,0)))</f>
        <v/>
      </c>
      <c r="C39" s="41">
        <f>IF($A39="","",INDEX('Master Stock'!$D$2:$D$100,MATCH($A39,'Master Stock'!$R$2:$R$100,0)))</f>
        <v/>
      </c>
      <c r="D39" s="77">
        <f>IF($A39="","",IF(ISNUMBER(INDEX('Master Stock'!$B$2:$B$100,MATCH($A39,'Master Stock'!$R$2:$R$100,0))),INDEX('Master Stock'!$B$2:$B$100,MATCH($A39,'Master Stock'!$R$2:$R$100,0)),IFERROR(DATE(2000+VALUE(RIGHT(INDEX('Master Stock'!$B$2:$B$100,MATCH($A39,'Master Stock'!$R$2:$R$100,0)),2)),VALUE(MID(INDEX('Master Stock'!$B$2:$B$100,MATCH($A39,'Master Stock'!$R$2:$R$100,0)),4,2)),VALUE(LEFT(INDEX('Master Stock'!$B$2:$B$100,MATCH($A39,'Master Stock'!$R$2:$R$100,0)),2))),"")))</f>
        <v/>
      </c>
      <c r="E39" s="41">
        <f>IF($A39="","",INDEX('Master Stock'!$G$2:$G$100,MATCH($A39,'Master Stock'!$R$2:$R$100,0)))</f>
        <v/>
      </c>
      <c r="F39" s="41">
        <f>IF($A39="","",INDEX('Master Stock'!$F$2:$F$100,MATCH($A39,'Master Stock'!$R$2:$R$100,0)))</f>
        <v/>
      </c>
      <c r="G39" s="41">
        <f>IF($A39="","","Rice / FRK RRA")</f>
        <v/>
      </c>
      <c r="H39" s="41">
        <f>IF($A39="","","FIFO - Oldest Receipt First")</f>
        <v/>
      </c>
    </row>
    <row r="40" ht="15" customHeight="1" s="42">
      <c r="A40" s="77">
        <f>IFERROR(IF(INDEX('Master Stock'!$R$2:$R$100,MATCH(38,'Master Stock'!$R$2:$R$100,0))="","",38),"")</f>
        <v/>
      </c>
      <c r="B40" s="41">
        <f>IF($A40="","",INDEX('Master Stock'!$C$2:$C$100,MATCH($A40,'Master Stock'!$R$2:$R$100,0)))</f>
        <v/>
      </c>
      <c r="C40" s="41">
        <f>IF($A40="","",INDEX('Master Stock'!$D$2:$D$100,MATCH($A40,'Master Stock'!$R$2:$R$100,0)))</f>
        <v/>
      </c>
      <c r="D40" s="77">
        <f>IF($A40="","",IF(ISNUMBER(INDEX('Master Stock'!$B$2:$B$100,MATCH($A40,'Master Stock'!$R$2:$R$100,0))),INDEX('Master Stock'!$B$2:$B$100,MATCH($A40,'Master Stock'!$R$2:$R$100,0)),IFERROR(DATE(2000+VALUE(RIGHT(INDEX('Master Stock'!$B$2:$B$100,MATCH($A40,'Master Stock'!$R$2:$R$100,0)),2)),VALUE(MID(INDEX('Master Stock'!$B$2:$B$100,MATCH($A40,'Master Stock'!$R$2:$R$100,0)),4,2)),VALUE(LEFT(INDEX('Master Stock'!$B$2:$B$100,MATCH($A40,'Master Stock'!$R$2:$R$100,0)),2))),"")))</f>
        <v/>
      </c>
      <c r="E40" s="41">
        <f>IF($A40="","",INDEX('Master Stock'!$G$2:$G$100,MATCH($A40,'Master Stock'!$R$2:$R$100,0)))</f>
        <v/>
      </c>
      <c r="F40" s="41">
        <f>IF($A40="","",INDEX('Master Stock'!$F$2:$F$100,MATCH($A40,'Master Stock'!$R$2:$R$100,0)))</f>
        <v/>
      </c>
      <c r="G40" s="41">
        <f>IF($A40="","","Rice / FRK RRA")</f>
        <v/>
      </c>
      <c r="H40" s="41">
        <f>IF($A40="","","FIFO - Oldest Receipt First")</f>
        <v/>
      </c>
    </row>
    <row r="41" ht="15" customHeight="1" s="42">
      <c r="A41" s="77">
        <f>IFERROR(IF(INDEX('Master Stock'!$R$2:$R$100,MATCH(39,'Master Stock'!$R$2:$R$100,0))="","",39),"")</f>
        <v/>
      </c>
      <c r="B41" s="41">
        <f>IF($A41="","",INDEX('Master Stock'!$C$2:$C$100,MATCH($A41,'Master Stock'!$R$2:$R$100,0)))</f>
        <v/>
      </c>
      <c r="C41" s="41">
        <f>IF($A41="","",INDEX('Master Stock'!$D$2:$D$100,MATCH($A41,'Master Stock'!$R$2:$R$100,0)))</f>
        <v/>
      </c>
      <c r="D41" s="77">
        <f>IF($A41="","",IF(ISNUMBER(INDEX('Master Stock'!$B$2:$B$100,MATCH($A41,'Master Stock'!$R$2:$R$100,0))),INDEX('Master Stock'!$B$2:$B$100,MATCH($A41,'Master Stock'!$R$2:$R$100,0)),IFERROR(DATE(2000+VALUE(RIGHT(INDEX('Master Stock'!$B$2:$B$100,MATCH($A41,'Master Stock'!$R$2:$R$100,0)),2)),VALUE(MID(INDEX('Master Stock'!$B$2:$B$100,MATCH($A41,'Master Stock'!$R$2:$R$100,0)),4,2)),VALUE(LEFT(INDEX('Master Stock'!$B$2:$B$100,MATCH($A41,'Master Stock'!$R$2:$R$100,0)),2))),"")))</f>
        <v/>
      </c>
      <c r="E41" s="41">
        <f>IF($A41="","",INDEX('Master Stock'!$G$2:$G$100,MATCH($A41,'Master Stock'!$R$2:$R$100,0)))</f>
        <v/>
      </c>
      <c r="F41" s="41">
        <f>IF($A41="","",INDEX('Master Stock'!$F$2:$F$100,MATCH($A41,'Master Stock'!$R$2:$R$100,0)))</f>
        <v/>
      </c>
      <c r="G41" s="41">
        <f>IF($A41="","","Rice / FRK RRA")</f>
        <v/>
      </c>
      <c r="H41" s="41">
        <f>IF($A41="","","FIFO - Oldest Receipt First")</f>
        <v/>
      </c>
    </row>
    <row r="42" ht="15" customHeight="1" s="42">
      <c r="A42" s="77">
        <f>IFERROR(IF(INDEX('Master Stock'!$R$2:$R$100,MATCH(40,'Master Stock'!$R$2:$R$100,0))="","",40),"")</f>
        <v/>
      </c>
      <c r="B42" s="41">
        <f>IF($A42="","",INDEX('Master Stock'!$C$2:$C$100,MATCH($A42,'Master Stock'!$R$2:$R$100,0)))</f>
        <v/>
      </c>
      <c r="C42" s="41">
        <f>IF($A42="","",INDEX('Master Stock'!$D$2:$D$100,MATCH($A42,'Master Stock'!$R$2:$R$100,0)))</f>
        <v/>
      </c>
      <c r="D42" s="77">
        <f>IF($A42="","",IF(ISNUMBER(INDEX('Master Stock'!$B$2:$B$100,MATCH($A42,'Master Stock'!$R$2:$R$100,0))),INDEX('Master Stock'!$B$2:$B$100,MATCH($A42,'Master Stock'!$R$2:$R$100,0)),IFERROR(DATE(2000+VALUE(RIGHT(INDEX('Master Stock'!$B$2:$B$100,MATCH($A42,'Master Stock'!$R$2:$R$100,0)),2)),VALUE(MID(INDEX('Master Stock'!$B$2:$B$100,MATCH($A42,'Master Stock'!$R$2:$R$100,0)),4,2)),VALUE(LEFT(INDEX('Master Stock'!$B$2:$B$100,MATCH($A42,'Master Stock'!$R$2:$R$100,0)),2))),"")))</f>
        <v/>
      </c>
      <c r="E42" s="41">
        <f>IF($A42="","",INDEX('Master Stock'!$G$2:$G$100,MATCH($A42,'Master Stock'!$R$2:$R$100,0)))</f>
        <v/>
      </c>
      <c r="F42" s="41">
        <f>IF($A42="","",INDEX('Master Stock'!$F$2:$F$100,MATCH($A42,'Master Stock'!$R$2:$R$100,0)))</f>
        <v/>
      </c>
      <c r="G42" s="41">
        <f>IF($A42="","","Rice / FRK RRA")</f>
        <v/>
      </c>
      <c r="H42" s="41">
        <f>IF($A42="","","FIFO - Oldest Receipt First")</f>
        <v/>
      </c>
    </row>
    <row r="43" ht="15" customHeight="1" s="42">
      <c r="A43" s="77">
        <f>IFERROR(IF(INDEX('Master Stock'!$R$2:$R$100,MATCH(41,'Master Stock'!$R$2:$R$100,0))="","",41),"")</f>
        <v/>
      </c>
      <c r="B43" s="41">
        <f>IF($A43="","",INDEX('Master Stock'!$C$2:$C$100,MATCH($A43,'Master Stock'!$R$2:$R$100,0)))</f>
        <v/>
      </c>
      <c r="C43" s="41">
        <f>IF($A43="","",INDEX('Master Stock'!$D$2:$D$100,MATCH($A43,'Master Stock'!$R$2:$R$100,0)))</f>
        <v/>
      </c>
      <c r="D43" s="77">
        <f>IF($A43="","",IF(ISNUMBER(INDEX('Master Stock'!$B$2:$B$100,MATCH($A43,'Master Stock'!$R$2:$R$100,0))),INDEX('Master Stock'!$B$2:$B$100,MATCH($A43,'Master Stock'!$R$2:$R$100,0)),IFERROR(DATE(2000+VALUE(RIGHT(INDEX('Master Stock'!$B$2:$B$100,MATCH($A43,'Master Stock'!$R$2:$R$100,0)),2)),VALUE(MID(INDEX('Master Stock'!$B$2:$B$100,MATCH($A43,'Master Stock'!$R$2:$R$100,0)),4,2)),VALUE(LEFT(INDEX('Master Stock'!$B$2:$B$100,MATCH($A43,'Master Stock'!$R$2:$R$100,0)),2))),"")))</f>
        <v/>
      </c>
      <c r="E43" s="41">
        <f>IF($A43="","",INDEX('Master Stock'!$G$2:$G$100,MATCH($A43,'Master Stock'!$R$2:$R$100,0)))</f>
        <v/>
      </c>
      <c r="F43" s="41">
        <f>IF($A43="","",INDEX('Master Stock'!$F$2:$F$100,MATCH($A43,'Master Stock'!$R$2:$R$100,0)))</f>
        <v/>
      </c>
      <c r="G43" s="41">
        <f>IF($A43="","","Rice / FRK RRA")</f>
        <v/>
      </c>
      <c r="H43" s="41">
        <f>IF($A43="","","FIFO - Oldest Receipt First")</f>
        <v/>
      </c>
    </row>
    <row r="44" ht="15" customHeight="1" s="42">
      <c r="A44" s="77">
        <f>IFERROR(IF(INDEX('Master Stock'!$R$2:$R$100,MATCH(42,'Master Stock'!$R$2:$R$100,0))="","",42),"")</f>
        <v/>
      </c>
      <c r="B44" s="41">
        <f>IF($A44="","",INDEX('Master Stock'!$C$2:$C$100,MATCH($A44,'Master Stock'!$R$2:$R$100,0)))</f>
        <v/>
      </c>
      <c r="C44" s="41">
        <f>IF($A44="","",INDEX('Master Stock'!$D$2:$D$100,MATCH($A44,'Master Stock'!$R$2:$R$100,0)))</f>
        <v/>
      </c>
      <c r="D44" s="77">
        <f>IF($A44="","",IF(ISNUMBER(INDEX('Master Stock'!$B$2:$B$100,MATCH($A44,'Master Stock'!$R$2:$R$100,0))),INDEX('Master Stock'!$B$2:$B$100,MATCH($A44,'Master Stock'!$R$2:$R$100,0)),IFERROR(DATE(2000+VALUE(RIGHT(INDEX('Master Stock'!$B$2:$B$100,MATCH($A44,'Master Stock'!$R$2:$R$100,0)),2)),VALUE(MID(INDEX('Master Stock'!$B$2:$B$100,MATCH($A44,'Master Stock'!$R$2:$R$100,0)),4,2)),VALUE(LEFT(INDEX('Master Stock'!$B$2:$B$100,MATCH($A44,'Master Stock'!$R$2:$R$100,0)),2))),"")))</f>
        <v/>
      </c>
      <c r="E44" s="41">
        <f>IF($A44="","",INDEX('Master Stock'!$G$2:$G$100,MATCH($A44,'Master Stock'!$R$2:$R$100,0)))</f>
        <v/>
      </c>
      <c r="F44" s="41">
        <f>IF($A44="","",INDEX('Master Stock'!$F$2:$F$100,MATCH($A44,'Master Stock'!$R$2:$R$100,0)))</f>
        <v/>
      </c>
      <c r="G44" s="41">
        <f>IF($A44="","","Rice / FRK RRA")</f>
        <v/>
      </c>
      <c r="H44" s="41">
        <f>IF($A44="","","FIFO - Oldest Receipt First")</f>
        <v/>
      </c>
    </row>
    <row r="45" ht="15" customHeight="1" s="42">
      <c r="A45" s="77">
        <f>IFERROR(IF(INDEX('Master Stock'!$R$2:$R$100,MATCH(43,'Master Stock'!$R$2:$R$100,0))="","",43),"")</f>
        <v/>
      </c>
      <c r="B45" s="41">
        <f>IF($A45="","",INDEX('Master Stock'!$C$2:$C$100,MATCH($A45,'Master Stock'!$R$2:$R$100,0)))</f>
        <v/>
      </c>
      <c r="C45" s="41">
        <f>IF($A45="","",INDEX('Master Stock'!$D$2:$D$100,MATCH($A45,'Master Stock'!$R$2:$R$100,0)))</f>
        <v/>
      </c>
      <c r="D45" s="77">
        <f>IF($A45="","",IF(ISNUMBER(INDEX('Master Stock'!$B$2:$B$100,MATCH($A45,'Master Stock'!$R$2:$R$100,0))),INDEX('Master Stock'!$B$2:$B$100,MATCH($A45,'Master Stock'!$R$2:$R$100,0)),IFERROR(DATE(2000+VALUE(RIGHT(INDEX('Master Stock'!$B$2:$B$100,MATCH($A45,'Master Stock'!$R$2:$R$100,0)),2)),VALUE(MID(INDEX('Master Stock'!$B$2:$B$100,MATCH($A45,'Master Stock'!$R$2:$R$100,0)),4,2)),VALUE(LEFT(INDEX('Master Stock'!$B$2:$B$100,MATCH($A45,'Master Stock'!$R$2:$R$100,0)),2))),"")))</f>
        <v/>
      </c>
      <c r="E45" s="41">
        <f>IF($A45="","",INDEX('Master Stock'!$G$2:$G$100,MATCH($A45,'Master Stock'!$R$2:$R$100,0)))</f>
        <v/>
      </c>
      <c r="F45" s="41">
        <f>IF($A45="","",INDEX('Master Stock'!$F$2:$F$100,MATCH($A45,'Master Stock'!$R$2:$R$100,0)))</f>
        <v/>
      </c>
      <c r="G45" s="41">
        <f>IF($A45="","","Rice / FRK RRA")</f>
        <v/>
      </c>
      <c r="H45" s="41">
        <f>IF($A45="","","FIFO - Oldest Receipt First")</f>
        <v/>
      </c>
    </row>
    <row r="46" ht="15" customHeight="1" s="42">
      <c r="A46" s="77">
        <f>IFERROR(IF(INDEX('Master Stock'!$R$2:$R$100,MATCH(44,'Master Stock'!$R$2:$R$100,0))="","",44),"")</f>
        <v/>
      </c>
      <c r="B46" s="41">
        <f>IF($A46="","",INDEX('Master Stock'!$C$2:$C$100,MATCH($A46,'Master Stock'!$R$2:$R$100,0)))</f>
        <v/>
      </c>
      <c r="C46" s="41">
        <f>IF($A46="","",INDEX('Master Stock'!$D$2:$D$100,MATCH($A46,'Master Stock'!$R$2:$R$100,0)))</f>
        <v/>
      </c>
      <c r="D46" s="77">
        <f>IF($A46="","",IF(ISNUMBER(INDEX('Master Stock'!$B$2:$B$100,MATCH($A46,'Master Stock'!$R$2:$R$100,0))),INDEX('Master Stock'!$B$2:$B$100,MATCH($A46,'Master Stock'!$R$2:$R$100,0)),IFERROR(DATE(2000+VALUE(RIGHT(INDEX('Master Stock'!$B$2:$B$100,MATCH($A46,'Master Stock'!$R$2:$R$100,0)),2)),VALUE(MID(INDEX('Master Stock'!$B$2:$B$100,MATCH($A46,'Master Stock'!$R$2:$R$100,0)),4,2)),VALUE(LEFT(INDEX('Master Stock'!$B$2:$B$100,MATCH($A46,'Master Stock'!$R$2:$R$100,0)),2))),"")))</f>
        <v/>
      </c>
      <c r="E46" s="41">
        <f>IF($A46="","",INDEX('Master Stock'!$G$2:$G$100,MATCH($A46,'Master Stock'!$R$2:$R$100,0)))</f>
        <v/>
      </c>
      <c r="F46" s="41">
        <f>IF($A46="","",INDEX('Master Stock'!$F$2:$F$100,MATCH($A46,'Master Stock'!$R$2:$R$100,0)))</f>
        <v/>
      </c>
      <c r="G46" s="41">
        <f>IF($A46="","","Rice / FRK RRA")</f>
        <v/>
      </c>
      <c r="H46" s="41">
        <f>IF($A46="","","FIFO - Oldest Receipt First")</f>
        <v/>
      </c>
    </row>
    <row r="47" ht="15" customHeight="1" s="42">
      <c r="A47" s="77">
        <f>IFERROR(IF(INDEX('Master Stock'!$R$2:$R$100,MATCH(45,'Master Stock'!$R$2:$R$100,0))="","",45),"")</f>
        <v/>
      </c>
      <c r="B47" s="41">
        <f>IF($A47="","",INDEX('Master Stock'!$C$2:$C$100,MATCH($A47,'Master Stock'!$R$2:$R$100,0)))</f>
        <v/>
      </c>
      <c r="C47" s="41">
        <f>IF($A47="","",INDEX('Master Stock'!$D$2:$D$100,MATCH($A47,'Master Stock'!$R$2:$R$100,0)))</f>
        <v/>
      </c>
      <c r="D47" s="77">
        <f>IF($A47="","",IF(ISNUMBER(INDEX('Master Stock'!$B$2:$B$100,MATCH($A47,'Master Stock'!$R$2:$R$100,0))),INDEX('Master Stock'!$B$2:$B$100,MATCH($A47,'Master Stock'!$R$2:$R$100,0)),IFERROR(DATE(2000+VALUE(RIGHT(INDEX('Master Stock'!$B$2:$B$100,MATCH($A47,'Master Stock'!$R$2:$R$100,0)),2)),VALUE(MID(INDEX('Master Stock'!$B$2:$B$100,MATCH($A47,'Master Stock'!$R$2:$R$100,0)),4,2)),VALUE(LEFT(INDEX('Master Stock'!$B$2:$B$100,MATCH($A47,'Master Stock'!$R$2:$R$100,0)),2))),"")))</f>
        <v/>
      </c>
      <c r="E47" s="41">
        <f>IF($A47="","",INDEX('Master Stock'!$G$2:$G$100,MATCH($A47,'Master Stock'!$R$2:$R$100,0)))</f>
        <v/>
      </c>
      <c r="F47" s="41">
        <f>IF($A47="","",INDEX('Master Stock'!$F$2:$F$100,MATCH($A47,'Master Stock'!$R$2:$R$100,0)))</f>
        <v/>
      </c>
      <c r="G47" s="41">
        <f>IF($A47="","","Rice / FRK RRA")</f>
        <v/>
      </c>
      <c r="H47" s="41">
        <f>IF($A47="","","FIFO - Oldest Receipt First")</f>
        <v/>
      </c>
    </row>
    <row r="48" ht="15" customHeight="1" s="42">
      <c r="A48" s="77">
        <f>IFERROR(IF(INDEX('Master Stock'!$R$2:$R$100,MATCH(46,'Master Stock'!$R$2:$R$100,0))="","",46),"")</f>
        <v/>
      </c>
      <c r="B48" s="41">
        <f>IF($A48="","",INDEX('Master Stock'!$C$2:$C$100,MATCH($A48,'Master Stock'!$R$2:$R$100,0)))</f>
        <v/>
      </c>
      <c r="C48" s="41">
        <f>IF($A48="","",INDEX('Master Stock'!$D$2:$D$100,MATCH($A48,'Master Stock'!$R$2:$R$100,0)))</f>
        <v/>
      </c>
      <c r="D48" s="77">
        <f>IF($A48="","",IF(ISNUMBER(INDEX('Master Stock'!$B$2:$B$100,MATCH($A48,'Master Stock'!$R$2:$R$100,0))),INDEX('Master Stock'!$B$2:$B$100,MATCH($A48,'Master Stock'!$R$2:$R$100,0)),IFERROR(DATE(2000+VALUE(RIGHT(INDEX('Master Stock'!$B$2:$B$100,MATCH($A48,'Master Stock'!$R$2:$R$100,0)),2)),VALUE(MID(INDEX('Master Stock'!$B$2:$B$100,MATCH($A48,'Master Stock'!$R$2:$R$100,0)),4,2)),VALUE(LEFT(INDEX('Master Stock'!$B$2:$B$100,MATCH($A48,'Master Stock'!$R$2:$R$100,0)),2))),"")))</f>
        <v/>
      </c>
      <c r="E48" s="41">
        <f>IF($A48="","",INDEX('Master Stock'!$G$2:$G$100,MATCH($A48,'Master Stock'!$R$2:$R$100,0)))</f>
        <v/>
      </c>
      <c r="F48" s="41">
        <f>IF($A48="","",INDEX('Master Stock'!$F$2:$F$100,MATCH($A48,'Master Stock'!$R$2:$R$100,0)))</f>
        <v/>
      </c>
      <c r="G48" s="41">
        <f>IF($A48="","","Rice / FRK RRA")</f>
        <v/>
      </c>
      <c r="H48" s="41">
        <f>IF($A48="","","FIFO - Oldest Receipt First")</f>
        <v/>
      </c>
    </row>
    <row r="49" ht="15" customHeight="1" s="42">
      <c r="A49" s="77">
        <f>IFERROR(IF(INDEX('Master Stock'!$R$2:$R$100,MATCH(47,'Master Stock'!$R$2:$R$100,0))="","",47),"")</f>
        <v/>
      </c>
      <c r="B49" s="41">
        <f>IF($A49="","",INDEX('Master Stock'!$C$2:$C$100,MATCH($A49,'Master Stock'!$R$2:$R$100,0)))</f>
        <v/>
      </c>
      <c r="C49" s="41">
        <f>IF($A49="","",INDEX('Master Stock'!$D$2:$D$100,MATCH($A49,'Master Stock'!$R$2:$R$100,0)))</f>
        <v/>
      </c>
      <c r="D49" s="77">
        <f>IF($A49="","",IF(ISNUMBER(INDEX('Master Stock'!$B$2:$B$100,MATCH($A49,'Master Stock'!$R$2:$R$100,0))),INDEX('Master Stock'!$B$2:$B$100,MATCH($A49,'Master Stock'!$R$2:$R$100,0)),IFERROR(DATE(2000+VALUE(RIGHT(INDEX('Master Stock'!$B$2:$B$100,MATCH($A49,'Master Stock'!$R$2:$R$100,0)),2)),VALUE(MID(INDEX('Master Stock'!$B$2:$B$100,MATCH($A49,'Master Stock'!$R$2:$R$100,0)),4,2)),VALUE(LEFT(INDEX('Master Stock'!$B$2:$B$100,MATCH($A49,'Master Stock'!$R$2:$R$100,0)),2))),"")))</f>
        <v/>
      </c>
      <c r="E49" s="41">
        <f>IF($A49="","",INDEX('Master Stock'!$G$2:$G$100,MATCH($A49,'Master Stock'!$R$2:$R$100,0)))</f>
        <v/>
      </c>
      <c r="F49" s="41">
        <f>IF($A49="","",INDEX('Master Stock'!$F$2:$F$100,MATCH($A49,'Master Stock'!$R$2:$R$100,0)))</f>
        <v/>
      </c>
      <c r="G49" s="41">
        <f>IF($A49="","","Rice / FRK RRA")</f>
        <v/>
      </c>
      <c r="H49" s="41">
        <f>IF($A49="","","FIFO - Oldest Receipt First")</f>
        <v/>
      </c>
    </row>
    <row r="50" ht="15" customHeight="1" s="42">
      <c r="A50" s="77">
        <f>IFERROR(IF(INDEX('Master Stock'!$R$2:$R$100,MATCH(48,'Master Stock'!$R$2:$R$100,0))="","",48),"")</f>
        <v/>
      </c>
      <c r="B50" s="41">
        <f>IF($A50="","",INDEX('Master Stock'!$C$2:$C$100,MATCH($A50,'Master Stock'!$R$2:$R$100,0)))</f>
        <v/>
      </c>
      <c r="C50" s="41">
        <f>IF($A50="","",INDEX('Master Stock'!$D$2:$D$100,MATCH($A50,'Master Stock'!$R$2:$R$100,0)))</f>
        <v/>
      </c>
      <c r="D50" s="77">
        <f>IF($A50="","",IF(ISNUMBER(INDEX('Master Stock'!$B$2:$B$100,MATCH($A50,'Master Stock'!$R$2:$R$100,0))),INDEX('Master Stock'!$B$2:$B$100,MATCH($A50,'Master Stock'!$R$2:$R$100,0)),IFERROR(DATE(2000+VALUE(RIGHT(INDEX('Master Stock'!$B$2:$B$100,MATCH($A50,'Master Stock'!$R$2:$R$100,0)),2)),VALUE(MID(INDEX('Master Stock'!$B$2:$B$100,MATCH($A50,'Master Stock'!$R$2:$R$100,0)),4,2)),VALUE(LEFT(INDEX('Master Stock'!$B$2:$B$100,MATCH($A50,'Master Stock'!$R$2:$R$100,0)),2))),"")))</f>
        <v/>
      </c>
      <c r="E50" s="41">
        <f>IF($A50="","",INDEX('Master Stock'!$G$2:$G$100,MATCH($A50,'Master Stock'!$R$2:$R$100,0)))</f>
        <v/>
      </c>
      <c r="F50" s="41">
        <f>IF($A50="","",INDEX('Master Stock'!$F$2:$F$100,MATCH($A50,'Master Stock'!$R$2:$R$100,0)))</f>
        <v/>
      </c>
      <c r="G50" s="41">
        <f>IF($A50="","","Rice / FRK RRA")</f>
        <v/>
      </c>
      <c r="H50" s="41">
        <f>IF($A50="","","FIFO - Oldest Receipt First")</f>
        <v/>
      </c>
    </row>
    <row r="51" ht="15" customHeight="1" s="42">
      <c r="A51" s="77">
        <f>IFERROR(IF(INDEX('Master Stock'!$R$2:$R$100,MATCH(49,'Master Stock'!$R$2:$R$100,0))="","",49),"")</f>
        <v/>
      </c>
      <c r="B51" s="41">
        <f>IF($A51="","",INDEX('Master Stock'!$C$2:$C$100,MATCH($A51,'Master Stock'!$R$2:$R$100,0)))</f>
        <v/>
      </c>
      <c r="C51" s="41">
        <f>IF($A51="","",INDEX('Master Stock'!$D$2:$D$100,MATCH($A51,'Master Stock'!$R$2:$R$100,0)))</f>
        <v/>
      </c>
      <c r="D51" s="77">
        <f>IF($A51="","",IF(ISNUMBER(INDEX('Master Stock'!$B$2:$B$100,MATCH($A51,'Master Stock'!$R$2:$R$100,0))),INDEX('Master Stock'!$B$2:$B$100,MATCH($A51,'Master Stock'!$R$2:$R$100,0)),IFERROR(DATE(2000+VALUE(RIGHT(INDEX('Master Stock'!$B$2:$B$100,MATCH($A51,'Master Stock'!$R$2:$R$100,0)),2)),VALUE(MID(INDEX('Master Stock'!$B$2:$B$100,MATCH($A51,'Master Stock'!$R$2:$R$100,0)),4,2)),VALUE(LEFT(INDEX('Master Stock'!$B$2:$B$100,MATCH($A51,'Master Stock'!$R$2:$R$100,0)),2))),"")))</f>
        <v/>
      </c>
      <c r="E51" s="41">
        <f>IF($A51="","",INDEX('Master Stock'!$G$2:$G$100,MATCH($A51,'Master Stock'!$R$2:$R$100,0)))</f>
        <v/>
      </c>
      <c r="F51" s="41">
        <f>IF($A51="","",INDEX('Master Stock'!$F$2:$F$100,MATCH($A51,'Master Stock'!$R$2:$R$100,0)))</f>
        <v/>
      </c>
      <c r="G51" s="41">
        <f>IF($A51="","","Rice / FRK RRA")</f>
        <v/>
      </c>
      <c r="H51" s="41">
        <f>IF($A51="","","FIFO - Oldest Receipt First")</f>
        <v/>
      </c>
    </row>
    <row r="52" ht="15" customHeight="1" s="42">
      <c r="A52" s="77">
        <f>IFERROR(IF(INDEX('Master Stock'!$R$2:$R$100,MATCH(50,'Master Stock'!$R$2:$R$100,0))="","",50),"")</f>
        <v/>
      </c>
      <c r="B52" s="41">
        <f>IF($A52="","",INDEX('Master Stock'!$C$2:$C$100,MATCH($A52,'Master Stock'!$R$2:$R$100,0)))</f>
        <v/>
      </c>
      <c r="C52" s="41">
        <f>IF($A52="","",INDEX('Master Stock'!$D$2:$D$100,MATCH($A52,'Master Stock'!$R$2:$R$100,0)))</f>
        <v/>
      </c>
      <c r="D52" s="77">
        <f>IF($A52="","",IF(ISNUMBER(INDEX('Master Stock'!$B$2:$B$100,MATCH($A52,'Master Stock'!$R$2:$R$100,0))),INDEX('Master Stock'!$B$2:$B$100,MATCH($A52,'Master Stock'!$R$2:$R$100,0)),IFERROR(DATE(2000+VALUE(RIGHT(INDEX('Master Stock'!$B$2:$B$100,MATCH($A52,'Master Stock'!$R$2:$R$100,0)),2)),VALUE(MID(INDEX('Master Stock'!$B$2:$B$100,MATCH($A52,'Master Stock'!$R$2:$R$100,0)),4,2)),VALUE(LEFT(INDEX('Master Stock'!$B$2:$B$100,MATCH($A52,'Master Stock'!$R$2:$R$100,0)),2))),"")))</f>
        <v/>
      </c>
      <c r="E52" s="41">
        <f>IF($A52="","",INDEX('Master Stock'!$G$2:$G$100,MATCH($A52,'Master Stock'!$R$2:$R$100,0)))</f>
        <v/>
      </c>
      <c r="F52" s="41">
        <f>IF($A52="","",INDEX('Master Stock'!$F$2:$F$100,MATCH($A52,'Master Stock'!$R$2:$R$100,0)))</f>
        <v/>
      </c>
      <c r="G52" s="41">
        <f>IF($A52="","","Rice / FRK RRA")</f>
        <v/>
      </c>
      <c r="H52" s="41">
        <f>IF($A52="","","FIFO - Oldest Receipt First")</f>
        <v/>
      </c>
    </row>
    <row r="53" ht="15" customHeight="1" s="42">
      <c r="A53" s="77">
        <f>IFERROR(IF(INDEX('Master Stock'!$R$2:$R$100,MATCH(51,'Master Stock'!$R$2:$R$100,0))="","",51),"")</f>
        <v/>
      </c>
      <c r="B53" s="41">
        <f>IF($A53="","",INDEX('Master Stock'!$C$2:$C$100,MATCH($A53,'Master Stock'!$R$2:$R$100,0)))</f>
        <v/>
      </c>
      <c r="C53" s="41">
        <f>IF($A53="","",INDEX('Master Stock'!$D$2:$D$100,MATCH($A53,'Master Stock'!$R$2:$R$100,0)))</f>
        <v/>
      </c>
      <c r="D53" s="77">
        <f>IF($A53="","",IF(ISNUMBER(INDEX('Master Stock'!$B$2:$B$100,MATCH($A53,'Master Stock'!$R$2:$R$100,0))),INDEX('Master Stock'!$B$2:$B$100,MATCH($A53,'Master Stock'!$R$2:$R$100,0)),IFERROR(DATE(2000+VALUE(RIGHT(INDEX('Master Stock'!$B$2:$B$100,MATCH($A53,'Master Stock'!$R$2:$R$100,0)),2)),VALUE(MID(INDEX('Master Stock'!$B$2:$B$100,MATCH($A53,'Master Stock'!$R$2:$R$100,0)),4,2)),VALUE(LEFT(INDEX('Master Stock'!$B$2:$B$100,MATCH($A53,'Master Stock'!$R$2:$R$100,0)),2))),"")))</f>
        <v/>
      </c>
      <c r="E53" s="41">
        <f>IF($A53="","",INDEX('Master Stock'!$G$2:$G$100,MATCH($A53,'Master Stock'!$R$2:$R$100,0)))</f>
        <v/>
      </c>
      <c r="F53" s="41">
        <f>IF($A53="","",INDEX('Master Stock'!$F$2:$F$100,MATCH($A53,'Master Stock'!$R$2:$R$100,0)))</f>
        <v/>
      </c>
      <c r="G53" s="41">
        <f>IF($A53="","","Rice / FRK RRA")</f>
        <v/>
      </c>
      <c r="H53" s="41">
        <f>IF($A53="","","FIFO - Oldest Receipt First")</f>
        <v/>
      </c>
    </row>
    <row r="54" ht="15" customHeight="1" s="42">
      <c r="A54" s="77">
        <f>IFERROR(IF(INDEX('Master Stock'!$R$2:$R$100,MATCH(52,'Master Stock'!$R$2:$R$100,0))="","",52),"")</f>
        <v/>
      </c>
      <c r="B54" s="41">
        <f>IF($A54="","",INDEX('Master Stock'!$C$2:$C$100,MATCH($A54,'Master Stock'!$R$2:$R$100,0)))</f>
        <v/>
      </c>
      <c r="C54" s="41">
        <f>IF($A54="","",INDEX('Master Stock'!$D$2:$D$100,MATCH($A54,'Master Stock'!$R$2:$R$100,0)))</f>
        <v/>
      </c>
      <c r="D54" s="77">
        <f>IF($A54="","",IF(ISNUMBER(INDEX('Master Stock'!$B$2:$B$100,MATCH($A54,'Master Stock'!$R$2:$R$100,0))),INDEX('Master Stock'!$B$2:$B$100,MATCH($A54,'Master Stock'!$R$2:$R$100,0)),IFERROR(DATE(2000+VALUE(RIGHT(INDEX('Master Stock'!$B$2:$B$100,MATCH($A54,'Master Stock'!$R$2:$R$100,0)),2)),VALUE(MID(INDEX('Master Stock'!$B$2:$B$100,MATCH($A54,'Master Stock'!$R$2:$R$100,0)),4,2)),VALUE(LEFT(INDEX('Master Stock'!$B$2:$B$100,MATCH($A54,'Master Stock'!$R$2:$R$100,0)),2))),"")))</f>
        <v/>
      </c>
      <c r="E54" s="41">
        <f>IF($A54="","",INDEX('Master Stock'!$G$2:$G$100,MATCH($A54,'Master Stock'!$R$2:$R$100,0)))</f>
        <v/>
      </c>
      <c r="F54" s="41">
        <f>IF($A54="","",INDEX('Master Stock'!$F$2:$F$100,MATCH($A54,'Master Stock'!$R$2:$R$100,0)))</f>
        <v/>
      </c>
      <c r="G54" s="41">
        <f>IF($A54="","","Rice / FRK RRA")</f>
        <v/>
      </c>
      <c r="H54" s="41">
        <f>IF($A54="","","FIFO - Oldest Receipt First")</f>
        <v/>
      </c>
    </row>
    <row r="55" ht="15" customHeight="1" s="42">
      <c r="A55" s="77">
        <f>IFERROR(IF(INDEX('Master Stock'!$R$2:$R$100,MATCH(53,'Master Stock'!$R$2:$R$100,0))="","",53),"")</f>
        <v/>
      </c>
      <c r="B55" s="41">
        <f>IF($A55="","",INDEX('Master Stock'!$C$2:$C$100,MATCH($A55,'Master Stock'!$R$2:$R$100,0)))</f>
        <v/>
      </c>
      <c r="C55" s="41">
        <f>IF($A55="","",INDEX('Master Stock'!$D$2:$D$100,MATCH($A55,'Master Stock'!$R$2:$R$100,0)))</f>
        <v/>
      </c>
      <c r="D55" s="77">
        <f>IF($A55="","",IF(ISNUMBER(INDEX('Master Stock'!$B$2:$B$100,MATCH($A55,'Master Stock'!$R$2:$R$100,0))),INDEX('Master Stock'!$B$2:$B$100,MATCH($A55,'Master Stock'!$R$2:$R$100,0)),IFERROR(DATE(2000+VALUE(RIGHT(INDEX('Master Stock'!$B$2:$B$100,MATCH($A55,'Master Stock'!$R$2:$R$100,0)),2)),VALUE(MID(INDEX('Master Stock'!$B$2:$B$100,MATCH($A55,'Master Stock'!$R$2:$R$100,0)),4,2)),VALUE(LEFT(INDEX('Master Stock'!$B$2:$B$100,MATCH($A55,'Master Stock'!$R$2:$R$100,0)),2))),"")))</f>
        <v/>
      </c>
      <c r="E55" s="41">
        <f>IF($A55="","",INDEX('Master Stock'!$G$2:$G$100,MATCH($A55,'Master Stock'!$R$2:$R$100,0)))</f>
        <v/>
      </c>
      <c r="F55" s="41">
        <f>IF($A55="","",INDEX('Master Stock'!$F$2:$F$100,MATCH($A55,'Master Stock'!$R$2:$R$100,0)))</f>
        <v/>
      </c>
      <c r="G55" s="41">
        <f>IF($A55="","","Rice / FRK RRA")</f>
        <v/>
      </c>
      <c r="H55" s="41">
        <f>IF($A55="","","FIFO - Oldest Receipt First")</f>
        <v/>
      </c>
    </row>
    <row r="56" ht="15" customHeight="1" s="42">
      <c r="A56" s="77">
        <f>IFERROR(IF(INDEX('Master Stock'!$R$2:$R$100,MATCH(54,'Master Stock'!$R$2:$R$100,0))="","",54),"")</f>
        <v/>
      </c>
      <c r="B56" s="41">
        <f>IF($A56="","",INDEX('Master Stock'!$C$2:$C$100,MATCH($A56,'Master Stock'!$R$2:$R$100,0)))</f>
        <v/>
      </c>
      <c r="C56" s="41">
        <f>IF($A56="","",INDEX('Master Stock'!$D$2:$D$100,MATCH($A56,'Master Stock'!$R$2:$R$100,0)))</f>
        <v/>
      </c>
      <c r="D56" s="77">
        <f>IF($A56="","",IF(ISNUMBER(INDEX('Master Stock'!$B$2:$B$100,MATCH($A56,'Master Stock'!$R$2:$R$100,0))),INDEX('Master Stock'!$B$2:$B$100,MATCH($A56,'Master Stock'!$R$2:$R$100,0)),IFERROR(DATE(2000+VALUE(RIGHT(INDEX('Master Stock'!$B$2:$B$100,MATCH($A56,'Master Stock'!$R$2:$R$100,0)),2)),VALUE(MID(INDEX('Master Stock'!$B$2:$B$100,MATCH($A56,'Master Stock'!$R$2:$R$100,0)),4,2)),VALUE(LEFT(INDEX('Master Stock'!$B$2:$B$100,MATCH($A56,'Master Stock'!$R$2:$R$100,0)),2))),"")))</f>
        <v/>
      </c>
      <c r="E56" s="41">
        <f>IF($A56="","",INDEX('Master Stock'!$G$2:$G$100,MATCH($A56,'Master Stock'!$R$2:$R$100,0)))</f>
        <v/>
      </c>
      <c r="F56" s="41">
        <f>IF($A56="","",INDEX('Master Stock'!$F$2:$F$100,MATCH($A56,'Master Stock'!$R$2:$R$100,0)))</f>
        <v/>
      </c>
      <c r="G56" s="41">
        <f>IF($A56="","","Rice / FRK RRA")</f>
        <v/>
      </c>
      <c r="H56" s="41">
        <f>IF($A56="","","FIFO - Oldest Receipt First")</f>
        <v/>
      </c>
    </row>
    <row r="57" ht="15" customHeight="1" s="42">
      <c r="A57" s="77">
        <f>IFERROR(IF(INDEX('Master Stock'!$R$2:$R$100,MATCH(55,'Master Stock'!$R$2:$R$100,0))="","",55),"")</f>
        <v/>
      </c>
      <c r="B57" s="41">
        <f>IF($A57="","",INDEX('Master Stock'!$C$2:$C$100,MATCH($A57,'Master Stock'!$R$2:$R$100,0)))</f>
        <v/>
      </c>
      <c r="C57" s="41">
        <f>IF($A57="","",INDEX('Master Stock'!$D$2:$D$100,MATCH($A57,'Master Stock'!$R$2:$R$100,0)))</f>
        <v/>
      </c>
      <c r="D57" s="77">
        <f>IF($A57="","",IF(ISNUMBER(INDEX('Master Stock'!$B$2:$B$100,MATCH($A57,'Master Stock'!$R$2:$R$100,0))),INDEX('Master Stock'!$B$2:$B$100,MATCH($A57,'Master Stock'!$R$2:$R$100,0)),IFERROR(DATE(2000+VALUE(RIGHT(INDEX('Master Stock'!$B$2:$B$100,MATCH($A57,'Master Stock'!$R$2:$R$100,0)),2)),VALUE(MID(INDEX('Master Stock'!$B$2:$B$100,MATCH($A57,'Master Stock'!$R$2:$R$100,0)),4,2)),VALUE(LEFT(INDEX('Master Stock'!$B$2:$B$100,MATCH($A57,'Master Stock'!$R$2:$R$100,0)),2))),"")))</f>
        <v/>
      </c>
      <c r="E57" s="41">
        <f>IF($A57="","",INDEX('Master Stock'!$G$2:$G$100,MATCH($A57,'Master Stock'!$R$2:$R$100,0)))</f>
        <v/>
      </c>
      <c r="F57" s="41">
        <f>IF($A57="","",INDEX('Master Stock'!$F$2:$F$100,MATCH($A57,'Master Stock'!$R$2:$R$100,0)))</f>
        <v/>
      </c>
      <c r="G57" s="41">
        <f>IF($A57="","","Rice / FRK RRA")</f>
        <v/>
      </c>
      <c r="H57" s="41">
        <f>IF($A57="","","FIFO - Oldest Receipt First")</f>
        <v/>
      </c>
    </row>
    <row r="58" ht="15" customHeight="1" s="42">
      <c r="A58" s="77">
        <f>IFERROR(IF(INDEX('Master Stock'!$R$2:$R$100,MATCH(56,'Master Stock'!$R$2:$R$100,0))="","",56),"")</f>
        <v/>
      </c>
      <c r="B58" s="41">
        <f>IF($A58="","",INDEX('Master Stock'!$C$2:$C$100,MATCH($A58,'Master Stock'!$R$2:$R$100,0)))</f>
        <v/>
      </c>
      <c r="C58" s="41">
        <f>IF($A58="","",INDEX('Master Stock'!$D$2:$D$100,MATCH($A58,'Master Stock'!$R$2:$R$100,0)))</f>
        <v/>
      </c>
      <c r="D58" s="77">
        <f>IF($A58="","",IF(ISNUMBER(INDEX('Master Stock'!$B$2:$B$100,MATCH($A58,'Master Stock'!$R$2:$R$100,0))),INDEX('Master Stock'!$B$2:$B$100,MATCH($A58,'Master Stock'!$R$2:$R$100,0)),IFERROR(DATE(2000+VALUE(RIGHT(INDEX('Master Stock'!$B$2:$B$100,MATCH($A58,'Master Stock'!$R$2:$R$100,0)),2)),VALUE(MID(INDEX('Master Stock'!$B$2:$B$100,MATCH($A58,'Master Stock'!$R$2:$R$100,0)),4,2)),VALUE(LEFT(INDEX('Master Stock'!$B$2:$B$100,MATCH($A58,'Master Stock'!$R$2:$R$100,0)),2))),"")))</f>
        <v/>
      </c>
      <c r="E58" s="41">
        <f>IF($A58="","",INDEX('Master Stock'!$G$2:$G$100,MATCH($A58,'Master Stock'!$R$2:$R$100,0)))</f>
        <v/>
      </c>
      <c r="F58" s="41">
        <f>IF($A58="","",INDEX('Master Stock'!$F$2:$F$100,MATCH($A58,'Master Stock'!$R$2:$R$100,0)))</f>
        <v/>
      </c>
      <c r="G58" s="41">
        <f>IF($A58="","","Rice / FRK RRA")</f>
        <v/>
      </c>
      <c r="H58" s="41">
        <f>IF($A58="","","FIFO - Oldest Receipt First")</f>
        <v/>
      </c>
    </row>
    <row r="59" ht="15" customHeight="1" s="42">
      <c r="A59" s="77">
        <f>IFERROR(IF(INDEX('Master Stock'!$R$2:$R$100,MATCH(57,'Master Stock'!$R$2:$R$100,0))="","",57),"")</f>
        <v/>
      </c>
      <c r="B59" s="41">
        <f>IF($A59="","",INDEX('Master Stock'!$C$2:$C$100,MATCH($A59,'Master Stock'!$R$2:$R$100,0)))</f>
        <v/>
      </c>
      <c r="C59" s="41">
        <f>IF($A59="","",INDEX('Master Stock'!$D$2:$D$100,MATCH($A59,'Master Stock'!$R$2:$R$100,0)))</f>
        <v/>
      </c>
      <c r="D59" s="77">
        <f>IF($A59="","",IF(ISNUMBER(INDEX('Master Stock'!$B$2:$B$100,MATCH($A59,'Master Stock'!$R$2:$R$100,0))),INDEX('Master Stock'!$B$2:$B$100,MATCH($A59,'Master Stock'!$R$2:$R$100,0)),IFERROR(DATE(2000+VALUE(RIGHT(INDEX('Master Stock'!$B$2:$B$100,MATCH($A59,'Master Stock'!$R$2:$R$100,0)),2)),VALUE(MID(INDEX('Master Stock'!$B$2:$B$100,MATCH($A59,'Master Stock'!$R$2:$R$100,0)),4,2)),VALUE(LEFT(INDEX('Master Stock'!$B$2:$B$100,MATCH($A59,'Master Stock'!$R$2:$R$100,0)),2))),"")))</f>
        <v/>
      </c>
      <c r="E59" s="41">
        <f>IF($A59="","",INDEX('Master Stock'!$G$2:$G$100,MATCH($A59,'Master Stock'!$R$2:$R$100,0)))</f>
        <v/>
      </c>
      <c r="F59" s="41">
        <f>IF($A59="","",INDEX('Master Stock'!$F$2:$F$100,MATCH($A59,'Master Stock'!$R$2:$R$100,0)))</f>
        <v/>
      </c>
      <c r="G59" s="41">
        <f>IF($A59="","","Rice / FRK RRA")</f>
        <v/>
      </c>
      <c r="H59" s="41">
        <f>IF($A59="","","FIFO - Oldest Receipt First")</f>
        <v/>
      </c>
    </row>
    <row r="60" ht="15" customHeight="1" s="42">
      <c r="A60" s="77">
        <f>IFERROR(IF(INDEX('Master Stock'!$R$2:$R$100,MATCH(58,'Master Stock'!$R$2:$R$100,0))="","",58),"")</f>
        <v/>
      </c>
      <c r="B60" s="41">
        <f>IF($A60="","",INDEX('Master Stock'!$C$2:$C$100,MATCH($A60,'Master Stock'!$R$2:$R$100,0)))</f>
        <v/>
      </c>
      <c r="C60" s="41">
        <f>IF($A60="","",INDEX('Master Stock'!$D$2:$D$100,MATCH($A60,'Master Stock'!$R$2:$R$100,0)))</f>
        <v/>
      </c>
      <c r="D60" s="77">
        <f>IF($A60="","",IF(ISNUMBER(INDEX('Master Stock'!$B$2:$B$100,MATCH($A60,'Master Stock'!$R$2:$R$100,0))),INDEX('Master Stock'!$B$2:$B$100,MATCH($A60,'Master Stock'!$R$2:$R$100,0)),IFERROR(DATE(2000+VALUE(RIGHT(INDEX('Master Stock'!$B$2:$B$100,MATCH($A60,'Master Stock'!$R$2:$R$100,0)),2)),VALUE(MID(INDEX('Master Stock'!$B$2:$B$100,MATCH($A60,'Master Stock'!$R$2:$R$100,0)),4,2)),VALUE(LEFT(INDEX('Master Stock'!$B$2:$B$100,MATCH($A60,'Master Stock'!$R$2:$R$100,0)),2))),"")))</f>
        <v/>
      </c>
      <c r="E60" s="41">
        <f>IF($A60="","",INDEX('Master Stock'!$G$2:$G$100,MATCH($A60,'Master Stock'!$R$2:$R$100,0)))</f>
        <v/>
      </c>
      <c r="F60" s="41">
        <f>IF($A60="","",INDEX('Master Stock'!$F$2:$F$100,MATCH($A60,'Master Stock'!$R$2:$R$100,0)))</f>
        <v/>
      </c>
      <c r="G60" s="41">
        <f>IF($A60="","","Rice / FRK RRA")</f>
        <v/>
      </c>
      <c r="H60" s="41">
        <f>IF($A60="","","FIFO - Oldest Receipt First")</f>
        <v/>
      </c>
    </row>
    <row r="61" ht="15" customHeight="1" s="42">
      <c r="A61" s="77">
        <f>IFERROR(IF(INDEX('Master Stock'!$R$2:$R$100,MATCH(59,'Master Stock'!$R$2:$R$100,0))="","",59),"")</f>
        <v/>
      </c>
      <c r="B61" s="41">
        <f>IF($A61="","",INDEX('Master Stock'!$C$2:$C$100,MATCH($A61,'Master Stock'!$R$2:$R$100,0)))</f>
        <v/>
      </c>
      <c r="C61" s="41">
        <f>IF($A61="","",INDEX('Master Stock'!$D$2:$D$100,MATCH($A61,'Master Stock'!$R$2:$R$100,0)))</f>
        <v/>
      </c>
      <c r="D61" s="77">
        <f>IF($A61="","",IF(ISNUMBER(INDEX('Master Stock'!$B$2:$B$100,MATCH($A61,'Master Stock'!$R$2:$R$100,0))),INDEX('Master Stock'!$B$2:$B$100,MATCH($A61,'Master Stock'!$R$2:$R$100,0)),IFERROR(DATE(2000+VALUE(RIGHT(INDEX('Master Stock'!$B$2:$B$100,MATCH($A61,'Master Stock'!$R$2:$R$100,0)),2)),VALUE(MID(INDEX('Master Stock'!$B$2:$B$100,MATCH($A61,'Master Stock'!$R$2:$R$100,0)),4,2)),VALUE(LEFT(INDEX('Master Stock'!$B$2:$B$100,MATCH($A61,'Master Stock'!$R$2:$R$100,0)),2))),"")))</f>
        <v/>
      </c>
      <c r="E61" s="41">
        <f>IF($A61="","",INDEX('Master Stock'!$G$2:$G$100,MATCH($A61,'Master Stock'!$R$2:$R$100,0)))</f>
        <v/>
      </c>
      <c r="F61" s="41">
        <f>IF($A61="","",INDEX('Master Stock'!$F$2:$F$100,MATCH($A61,'Master Stock'!$R$2:$R$100,0)))</f>
        <v/>
      </c>
      <c r="G61" s="41">
        <f>IF($A61="","","Rice / FRK RRA")</f>
        <v/>
      </c>
      <c r="H61" s="41">
        <f>IF($A61="","","FIFO - Oldest Receipt First")</f>
        <v/>
      </c>
    </row>
    <row r="62" ht="15" customHeight="1" s="42">
      <c r="A62" s="77">
        <f>IFERROR(IF(INDEX('Master Stock'!$R$2:$R$100,MATCH(60,'Master Stock'!$R$2:$R$100,0))="","",60),"")</f>
        <v/>
      </c>
      <c r="B62" s="41">
        <f>IF($A62="","",INDEX('Master Stock'!$C$2:$C$100,MATCH($A62,'Master Stock'!$R$2:$R$100,0)))</f>
        <v/>
      </c>
      <c r="C62" s="41">
        <f>IF($A62="","",INDEX('Master Stock'!$D$2:$D$100,MATCH($A62,'Master Stock'!$R$2:$R$100,0)))</f>
        <v/>
      </c>
      <c r="D62" s="77">
        <f>IF($A62="","",IF(ISNUMBER(INDEX('Master Stock'!$B$2:$B$100,MATCH($A62,'Master Stock'!$R$2:$R$100,0))),INDEX('Master Stock'!$B$2:$B$100,MATCH($A62,'Master Stock'!$R$2:$R$100,0)),IFERROR(DATE(2000+VALUE(RIGHT(INDEX('Master Stock'!$B$2:$B$100,MATCH($A62,'Master Stock'!$R$2:$R$100,0)),2)),VALUE(MID(INDEX('Master Stock'!$B$2:$B$100,MATCH($A62,'Master Stock'!$R$2:$R$100,0)),4,2)),VALUE(LEFT(INDEX('Master Stock'!$B$2:$B$100,MATCH($A62,'Master Stock'!$R$2:$R$100,0)),2))),"")))</f>
        <v/>
      </c>
      <c r="E62" s="41">
        <f>IF($A62="","",INDEX('Master Stock'!$G$2:$G$100,MATCH($A62,'Master Stock'!$R$2:$R$100,0)))</f>
        <v/>
      </c>
      <c r="F62" s="41">
        <f>IF($A62="","",INDEX('Master Stock'!$F$2:$F$100,MATCH($A62,'Master Stock'!$R$2:$R$100,0)))</f>
        <v/>
      </c>
      <c r="G62" s="41">
        <f>IF($A62="","","Rice / FRK RRA")</f>
        <v/>
      </c>
      <c r="H62" s="41">
        <f>IF($A62="","","FIFO - Oldest Receipt First")</f>
        <v/>
      </c>
    </row>
    <row r="63" ht="15" customHeight="1" s="42">
      <c r="A63" s="77">
        <f>IFERROR(IF(INDEX('Master Stock'!$R$2:$R$100,MATCH(61,'Master Stock'!$R$2:$R$100,0))="","",61),"")</f>
        <v/>
      </c>
      <c r="B63" s="41">
        <f>IF($A63="","",INDEX('Master Stock'!$C$2:$C$100,MATCH($A63,'Master Stock'!$R$2:$R$100,0)))</f>
        <v/>
      </c>
      <c r="C63" s="41">
        <f>IF($A63="","",INDEX('Master Stock'!$D$2:$D$100,MATCH($A63,'Master Stock'!$R$2:$R$100,0)))</f>
        <v/>
      </c>
      <c r="D63" s="77">
        <f>IF($A63="","",IF(ISNUMBER(INDEX('Master Stock'!$B$2:$B$100,MATCH($A63,'Master Stock'!$R$2:$R$100,0))),INDEX('Master Stock'!$B$2:$B$100,MATCH($A63,'Master Stock'!$R$2:$R$100,0)),IFERROR(DATE(2000+VALUE(RIGHT(INDEX('Master Stock'!$B$2:$B$100,MATCH($A63,'Master Stock'!$R$2:$R$100,0)),2)),VALUE(MID(INDEX('Master Stock'!$B$2:$B$100,MATCH($A63,'Master Stock'!$R$2:$R$100,0)),4,2)),VALUE(LEFT(INDEX('Master Stock'!$B$2:$B$100,MATCH($A63,'Master Stock'!$R$2:$R$100,0)),2))),"")))</f>
        <v/>
      </c>
      <c r="E63" s="41">
        <f>IF($A63="","",INDEX('Master Stock'!$G$2:$G$100,MATCH($A63,'Master Stock'!$R$2:$R$100,0)))</f>
        <v/>
      </c>
      <c r="F63" s="41">
        <f>IF($A63="","",INDEX('Master Stock'!$F$2:$F$100,MATCH($A63,'Master Stock'!$R$2:$R$100,0)))</f>
        <v/>
      </c>
      <c r="G63" s="41">
        <f>IF($A63="","","Rice / FRK RRA")</f>
        <v/>
      </c>
      <c r="H63" s="41">
        <f>IF($A63="","","FIFO - Oldest Receipt First")</f>
        <v/>
      </c>
    </row>
    <row r="64" ht="15" customHeight="1" s="42">
      <c r="A64" s="77">
        <f>IFERROR(IF(INDEX('Master Stock'!$R$2:$R$100,MATCH(62,'Master Stock'!$R$2:$R$100,0))="","",62),"")</f>
        <v/>
      </c>
      <c r="B64" s="41">
        <f>IF($A64="","",INDEX('Master Stock'!$C$2:$C$100,MATCH($A64,'Master Stock'!$R$2:$R$100,0)))</f>
        <v/>
      </c>
      <c r="C64" s="41">
        <f>IF($A64="","",INDEX('Master Stock'!$D$2:$D$100,MATCH($A64,'Master Stock'!$R$2:$R$100,0)))</f>
        <v/>
      </c>
      <c r="D64" s="77">
        <f>IF($A64="","",IF(ISNUMBER(INDEX('Master Stock'!$B$2:$B$100,MATCH($A64,'Master Stock'!$R$2:$R$100,0))),INDEX('Master Stock'!$B$2:$B$100,MATCH($A64,'Master Stock'!$R$2:$R$100,0)),IFERROR(DATE(2000+VALUE(RIGHT(INDEX('Master Stock'!$B$2:$B$100,MATCH($A64,'Master Stock'!$R$2:$R$100,0)),2)),VALUE(MID(INDEX('Master Stock'!$B$2:$B$100,MATCH($A64,'Master Stock'!$R$2:$R$100,0)),4,2)),VALUE(LEFT(INDEX('Master Stock'!$B$2:$B$100,MATCH($A64,'Master Stock'!$R$2:$R$100,0)),2))),"")))</f>
        <v/>
      </c>
      <c r="E64" s="41">
        <f>IF($A64="","",INDEX('Master Stock'!$G$2:$G$100,MATCH($A64,'Master Stock'!$R$2:$R$100,0)))</f>
        <v/>
      </c>
      <c r="F64" s="41">
        <f>IF($A64="","",INDEX('Master Stock'!$F$2:$F$100,MATCH($A64,'Master Stock'!$R$2:$R$100,0)))</f>
        <v/>
      </c>
      <c r="G64" s="41">
        <f>IF($A64="","","Rice / FRK RRA")</f>
        <v/>
      </c>
      <c r="H64" s="41">
        <f>IF($A64="","","FIFO - Oldest Receipt First")</f>
        <v/>
      </c>
    </row>
    <row r="65" ht="15" customHeight="1" s="42">
      <c r="A65" s="77">
        <f>IFERROR(IF(INDEX('Master Stock'!$R$2:$R$100,MATCH(63,'Master Stock'!$R$2:$R$100,0))="","",63),"")</f>
        <v/>
      </c>
      <c r="B65" s="41">
        <f>IF($A65="","",INDEX('Master Stock'!$C$2:$C$100,MATCH($A65,'Master Stock'!$R$2:$R$100,0)))</f>
        <v/>
      </c>
      <c r="C65" s="41">
        <f>IF($A65="","",INDEX('Master Stock'!$D$2:$D$100,MATCH($A65,'Master Stock'!$R$2:$R$100,0)))</f>
        <v/>
      </c>
      <c r="D65" s="77">
        <f>IF($A65="","",IF(ISNUMBER(INDEX('Master Stock'!$B$2:$B$100,MATCH($A65,'Master Stock'!$R$2:$R$100,0))),INDEX('Master Stock'!$B$2:$B$100,MATCH($A65,'Master Stock'!$R$2:$R$100,0)),IFERROR(DATE(2000+VALUE(RIGHT(INDEX('Master Stock'!$B$2:$B$100,MATCH($A65,'Master Stock'!$R$2:$R$100,0)),2)),VALUE(MID(INDEX('Master Stock'!$B$2:$B$100,MATCH($A65,'Master Stock'!$R$2:$R$100,0)),4,2)),VALUE(LEFT(INDEX('Master Stock'!$B$2:$B$100,MATCH($A65,'Master Stock'!$R$2:$R$100,0)),2))),"")))</f>
        <v/>
      </c>
      <c r="E65" s="41">
        <f>IF($A65="","",INDEX('Master Stock'!$G$2:$G$100,MATCH($A65,'Master Stock'!$R$2:$R$100,0)))</f>
        <v/>
      </c>
      <c r="F65" s="41">
        <f>IF($A65="","",INDEX('Master Stock'!$F$2:$F$100,MATCH($A65,'Master Stock'!$R$2:$R$100,0)))</f>
        <v/>
      </c>
      <c r="G65" s="41">
        <f>IF($A65="","","Rice / FRK RRA")</f>
        <v/>
      </c>
      <c r="H65" s="41">
        <f>IF($A65="","","FIFO - Oldest Receipt First")</f>
        <v/>
      </c>
    </row>
    <row r="66" ht="15" customHeight="1" s="42">
      <c r="A66" s="77">
        <f>IFERROR(IF(INDEX('Master Stock'!$R$2:$R$100,MATCH(64,'Master Stock'!$R$2:$R$100,0))="","",64),"")</f>
        <v/>
      </c>
      <c r="B66" s="41">
        <f>IF($A66="","",INDEX('Master Stock'!$C$2:$C$100,MATCH($A66,'Master Stock'!$R$2:$R$100,0)))</f>
        <v/>
      </c>
      <c r="C66" s="41">
        <f>IF($A66="","",INDEX('Master Stock'!$D$2:$D$100,MATCH($A66,'Master Stock'!$R$2:$R$100,0)))</f>
        <v/>
      </c>
      <c r="D66" s="77">
        <f>IF($A66="","",IF(ISNUMBER(INDEX('Master Stock'!$B$2:$B$100,MATCH($A66,'Master Stock'!$R$2:$R$100,0))),INDEX('Master Stock'!$B$2:$B$100,MATCH($A66,'Master Stock'!$R$2:$R$100,0)),IFERROR(DATE(2000+VALUE(RIGHT(INDEX('Master Stock'!$B$2:$B$100,MATCH($A66,'Master Stock'!$R$2:$R$100,0)),2)),VALUE(MID(INDEX('Master Stock'!$B$2:$B$100,MATCH($A66,'Master Stock'!$R$2:$R$100,0)),4,2)),VALUE(LEFT(INDEX('Master Stock'!$B$2:$B$100,MATCH($A66,'Master Stock'!$R$2:$R$100,0)),2))),"")))</f>
        <v/>
      </c>
      <c r="E66" s="41">
        <f>IF($A66="","",INDEX('Master Stock'!$G$2:$G$100,MATCH($A66,'Master Stock'!$R$2:$R$100,0)))</f>
        <v/>
      </c>
      <c r="F66" s="41">
        <f>IF($A66="","",INDEX('Master Stock'!$F$2:$F$100,MATCH($A66,'Master Stock'!$R$2:$R$100,0)))</f>
        <v/>
      </c>
      <c r="G66" s="41">
        <f>IF($A66="","","Rice / FRK RRA")</f>
        <v/>
      </c>
      <c r="H66" s="41">
        <f>IF($A66="","","FIFO - Oldest Receipt First")</f>
        <v/>
      </c>
    </row>
    <row r="67" ht="15" customHeight="1" s="42">
      <c r="A67" s="77">
        <f>IFERROR(IF(INDEX('Master Stock'!$R$2:$R$100,MATCH(65,'Master Stock'!$R$2:$R$100,0))="","",65),"")</f>
        <v/>
      </c>
      <c r="B67" s="41">
        <f>IF($A67="","",INDEX('Master Stock'!$C$2:$C$100,MATCH($A67,'Master Stock'!$R$2:$R$100,0)))</f>
        <v/>
      </c>
      <c r="C67" s="41">
        <f>IF($A67="","",INDEX('Master Stock'!$D$2:$D$100,MATCH($A67,'Master Stock'!$R$2:$R$100,0)))</f>
        <v/>
      </c>
      <c r="D67" s="77">
        <f>IF($A67="","",IF(ISNUMBER(INDEX('Master Stock'!$B$2:$B$100,MATCH($A67,'Master Stock'!$R$2:$R$100,0))),INDEX('Master Stock'!$B$2:$B$100,MATCH($A67,'Master Stock'!$R$2:$R$100,0)),IFERROR(DATE(2000+VALUE(RIGHT(INDEX('Master Stock'!$B$2:$B$100,MATCH($A67,'Master Stock'!$R$2:$R$100,0)),2)),VALUE(MID(INDEX('Master Stock'!$B$2:$B$100,MATCH($A67,'Master Stock'!$R$2:$R$100,0)),4,2)),VALUE(LEFT(INDEX('Master Stock'!$B$2:$B$100,MATCH($A67,'Master Stock'!$R$2:$R$100,0)),2))),"")))</f>
        <v/>
      </c>
      <c r="E67" s="41">
        <f>IF($A67="","",INDEX('Master Stock'!$G$2:$G$100,MATCH($A67,'Master Stock'!$R$2:$R$100,0)))</f>
        <v/>
      </c>
      <c r="F67" s="41">
        <f>IF($A67="","",INDEX('Master Stock'!$F$2:$F$100,MATCH($A67,'Master Stock'!$R$2:$R$100,0)))</f>
        <v/>
      </c>
      <c r="G67" s="41">
        <f>IF($A67="","","Rice / FRK RRA")</f>
        <v/>
      </c>
      <c r="H67" s="41">
        <f>IF($A67="","","FIFO - Oldest Receipt First")</f>
        <v/>
      </c>
    </row>
    <row r="68" ht="15" customHeight="1" s="42">
      <c r="A68" s="77">
        <f>IFERROR(IF(INDEX('Master Stock'!$R$2:$R$100,MATCH(66,'Master Stock'!$R$2:$R$100,0))="","",66),"")</f>
        <v/>
      </c>
      <c r="B68" s="41">
        <f>IF($A68="","",INDEX('Master Stock'!$C$2:$C$100,MATCH($A68,'Master Stock'!$R$2:$R$100,0)))</f>
        <v/>
      </c>
      <c r="C68" s="41">
        <f>IF($A68="","",INDEX('Master Stock'!$D$2:$D$100,MATCH($A68,'Master Stock'!$R$2:$R$100,0)))</f>
        <v/>
      </c>
      <c r="D68" s="77">
        <f>IF($A68="","",IF(ISNUMBER(INDEX('Master Stock'!$B$2:$B$100,MATCH($A68,'Master Stock'!$R$2:$R$100,0))),INDEX('Master Stock'!$B$2:$B$100,MATCH($A68,'Master Stock'!$R$2:$R$100,0)),IFERROR(DATE(2000+VALUE(RIGHT(INDEX('Master Stock'!$B$2:$B$100,MATCH($A68,'Master Stock'!$R$2:$R$100,0)),2)),VALUE(MID(INDEX('Master Stock'!$B$2:$B$100,MATCH($A68,'Master Stock'!$R$2:$R$100,0)),4,2)),VALUE(LEFT(INDEX('Master Stock'!$B$2:$B$100,MATCH($A68,'Master Stock'!$R$2:$R$100,0)),2))),"")))</f>
        <v/>
      </c>
      <c r="E68" s="41">
        <f>IF($A68="","",INDEX('Master Stock'!$G$2:$G$100,MATCH($A68,'Master Stock'!$R$2:$R$100,0)))</f>
        <v/>
      </c>
      <c r="F68" s="41">
        <f>IF($A68="","",INDEX('Master Stock'!$F$2:$F$100,MATCH($A68,'Master Stock'!$R$2:$R$100,0)))</f>
        <v/>
      </c>
      <c r="G68" s="41">
        <f>IF($A68="","","Rice / FRK RRA")</f>
        <v/>
      </c>
      <c r="H68" s="41">
        <f>IF($A68="","","FIFO - Oldest Receipt First")</f>
        <v/>
      </c>
    </row>
    <row r="69" ht="15" customHeight="1" s="42">
      <c r="A69" s="77">
        <f>IFERROR(IF(INDEX('Master Stock'!$R$2:$R$100,MATCH(67,'Master Stock'!$R$2:$R$100,0))="","",67),"")</f>
        <v/>
      </c>
      <c r="B69" s="41">
        <f>IF($A69="","",INDEX('Master Stock'!$C$2:$C$100,MATCH($A69,'Master Stock'!$R$2:$R$100,0)))</f>
        <v/>
      </c>
      <c r="C69" s="41">
        <f>IF($A69="","",INDEX('Master Stock'!$D$2:$D$100,MATCH($A69,'Master Stock'!$R$2:$R$100,0)))</f>
        <v/>
      </c>
      <c r="D69" s="77">
        <f>IF($A69="","",IF(ISNUMBER(INDEX('Master Stock'!$B$2:$B$100,MATCH($A69,'Master Stock'!$R$2:$R$100,0))),INDEX('Master Stock'!$B$2:$B$100,MATCH($A69,'Master Stock'!$R$2:$R$100,0)),IFERROR(DATE(2000+VALUE(RIGHT(INDEX('Master Stock'!$B$2:$B$100,MATCH($A69,'Master Stock'!$R$2:$R$100,0)),2)),VALUE(MID(INDEX('Master Stock'!$B$2:$B$100,MATCH($A69,'Master Stock'!$R$2:$R$100,0)),4,2)),VALUE(LEFT(INDEX('Master Stock'!$B$2:$B$100,MATCH($A69,'Master Stock'!$R$2:$R$100,0)),2))),"")))</f>
        <v/>
      </c>
      <c r="E69" s="41">
        <f>IF($A69="","",INDEX('Master Stock'!$G$2:$G$100,MATCH($A69,'Master Stock'!$R$2:$R$100,0)))</f>
        <v/>
      </c>
      <c r="F69" s="41">
        <f>IF($A69="","",INDEX('Master Stock'!$F$2:$F$100,MATCH($A69,'Master Stock'!$R$2:$R$100,0)))</f>
        <v/>
      </c>
      <c r="G69" s="41">
        <f>IF($A69="","","Rice / FRK RRA")</f>
        <v/>
      </c>
      <c r="H69" s="41">
        <f>IF($A69="","","FIFO - Oldest Receipt First")</f>
        <v/>
      </c>
    </row>
    <row r="70" ht="15" customHeight="1" s="42">
      <c r="A70" s="77">
        <f>IFERROR(IF(INDEX('Master Stock'!$R$2:$R$100,MATCH(68,'Master Stock'!$R$2:$R$100,0))="","",68),"")</f>
        <v/>
      </c>
      <c r="B70" s="41">
        <f>IF($A70="","",INDEX('Master Stock'!$C$2:$C$100,MATCH($A70,'Master Stock'!$R$2:$R$100,0)))</f>
        <v/>
      </c>
      <c r="C70" s="41">
        <f>IF($A70="","",INDEX('Master Stock'!$D$2:$D$100,MATCH($A70,'Master Stock'!$R$2:$R$100,0)))</f>
        <v/>
      </c>
      <c r="D70" s="77">
        <f>IF($A70="","",IF(ISNUMBER(INDEX('Master Stock'!$B$2:$B$100,MATCH($A70,'Master Stock'!$R$2:$R$100,0))),INDEX('Master Stock'!$B$2:$B$100,MATCH($A70,'Master Stock'!$R$2:$R$100,0)),IFERROR(DATE(2000+VALUE(RIGHT(INDEX('Master Stock'!$B$2:$B$100,MATCH($A70,'Master Stock'!$R$2:$R$100,0)),2)),VALUE(MID(INDEX('Master Stock'!$B$2:$B$100,MATCH($A70,'Master Stock'!$R$2:$R$100,0)),4,2)),VALUE(LEFT(INDEX('Master Stock'!$B$2:$B$100,MATCH($A70,'Master Stock'!$R$2:$R$100,0)),2))),"")))</f>
        <v/>
      </c>
      <c r="E70" s="41">
        <f>IF($A70="","",INDEX('Master Stock'!$G$2:$G$100,MATCH($A70,'Master Stock'!$R$2:$R$100,0)))</f>
        <v/>
      </c>
      <c r="F70" s="41">
        <f>IF($A70="","",INDEX('Master Stock'!$F$2:$F$100,MATCH($A70,'Master Stock'!$R$2:$R$100,0)))</f>
        <v/>
      </c>
      <c r="G70" s="41">
        <f>IF($A70="","","Rice / FRK RRA")</f>
        <v/>
      </c>
      <c r="H70" s="41">
        <f>IF($A70="","","FIFO - Oldest Receipt First")</f>
        <v/>
      </c>
    </row>
    <row r="71" ht="15" customHeight="1" s="42">
      <c r="A71" s="77">
        <f>IFERROR(IF(INDEX('Master Stock'!$R$2:$R$100,MATCH(69,'Master Stock'!$R$2:$R$100,0))="","",69),"")</f>
        <v/>
      </c>
      <c r="B71" s="41">
        <f>IF($A71="","",INDEX('Master Stock'!$C$2:$C$100,MATCH($A71,'Master Stock'!$R$2:$R$100,0)))</f>
        <v/>
      </c>
      <c r="C71" s="41">
        <f>IF($A71="","",INDEX('Master Stock'!$D$2:$D$100,MATCH($A71,'Master Stock'!$R$2:$R$100,0)))</f>
        <v/>
      </c>
      <c r="D71" s="77">
        <f>IF($A71="","",IF(ISNUMBER(INDEX('Master Stock'!$B$2:$B$100,MATCH($A71,'Master Stock'!$R$2:$R$100,0))),INDEX('Master Stock'!$B$2:$B$100,MATCH($A71,'Master Stock'!$R$2:$R$100,0)),IFERROR(DATE(2000+VALUE(RIGHT(INDEX('Master Stock'!$B$2:$B$100,MATCH($A71,'Master Stock'!$R$2:$R$100,0)),2)),VALUE(MID(INDEX('Master Stock'!$B$2:$B$100,MATCH($A71,'Master Stock'!$R$2:$R$100,0)),4,2)),VALUE(LEFT(INDEX('Master Stock'!$B$2:$B$100,MATCH($A71,'Master Stock'!$R$2:$R$100,0)),2))),"")))</f>
        <v/>
      </c>
      <c r="E71" s="41">
        <f>IF($A71="","",INDEX('Master Stock'!$G$2:$G$100,MATCH($A71,'Master Stock'!$R$2:$R$100,0)))</f>
        <v/>
      </c>
      <c r="F71" s="41">
        <f>IF($A71="","",INDEX('Master Stock'!$F$2:$F$100,MATCH($A71,'Master Stock'!$R$2:$R$100,0)))</f>
        <v/>
      </c>
      <c r="G71" s="41">
        <f>IF($A71="","","Rice / FRK RRA")</f>
        <v/>
      </c>
      <c r="H71" s="41">
        <f>IF($A71="","","FIFO - Oldest Receipt First")</f>
        <v/>
      </c>
    </row>
    <row r="72" ht="15" customHeight="1" s="42">
      <c r="A72" s="77">
        <f>IFERROR(IF(INDEX('Master Stock'!$R$2:$R$100,MATCH(70,'Master Stock'!$R$2:$R$100,0))="","",70),"")</f>
        <v/>
      </c>
      <c r="B72" s="41">
        <f>IF($A72="","",INDEX('Master Stock'!$C$2:$C$100,MATCH($A72,'Master Stock'!$R$2:$R$100,0)))</f>
        <v/>
      </c>
      <c r="C72" s="41">
        <f>IF($A72="","",INDEX('Master Stock'!$D$2:$D$100,MATCH($A72,'Master Stock'!$R$2:$R$100,0)))</f>
        <v/>
      </c>
      <c r="D72" s="77">
        <f>IF($A72="","",IF(ISNUMBER(INDEX('Master Stock'!$B$2:$B$100,MATCH($A72,'Master Stock'!$R$2:$R$100,0))),INDEX('Master Stock'!$B$2:$B$100,MATCH($A72,'Master Stock'!$R$2:$R$100,0)),IFERROR(DATE(2000+VALUE(RIGHT(INDEX('Master Stock'!$B$2:$B$100,MATCH($A72,'Master Stock'!$R$2:$R$100,0)),2)),VALUE(MID(INDEX('Master Stock'!$B$2:$B$100,MATCH($A72,'Master Stock'!$R$2:$R$100,0)),4,2)),VALUE(LEFT(INDEX('Master Stock'!$B$2:$B$100,MATCH($A72,'Master Stock'!$R$2:$R$100,0)),2))),"")))</f>
        <v/>
      </c>
      <c r="E72" s="41">
        <f>IF($A72="","",INDEX('Master Stock'!$G$2:$G$100,MATCH($A72,'Master Stock'!$R$2:$R$100,0)))</f>
        <v/>
      </c>
      <c r="F72" s="41">
        <f>IF($A72="","",INDEX('Master Stock'!$F$2:$F$100,MATCH($A72,'Master Stock'!$R$2:$R$100,0)))</f>
        <v/>
      </c>
      <c r="G72" s="41">
        <f>IF($A72="","","Rice / FRK RRA")</f>
        <v/>
      </c>
      <c r="H72" s="41">
        <f>IF($A72="","","FIFO - Oldest Receipt First")</f>
        <v/>
      </c>
    </row>
    <row r="73" ht="15" customHeight="1" s="42">
      <c r="A73" s="77">
        <f>IFERROR(IF(INDEX('Master Stock'!$R$2:$R$100,MATCH(71,'Master Stock'!$R$2:$R$100,0))="","",71),"")</f>
        <v/>
      </c>
      <c r="B73" s="41">
        <f>IF($A73="","",INDEX('Master Stock'!$C$2:$C$100,MATCH($A73,'Master Stock'!$R$2:$R$100,0)))</f>
        <v/>
      </c>
      <c r="C73" s="41">
        <f>IF($A73="","",INDEX('Master Stock'!$D$2:$D$100,MATCH($A73,'Master Stock'!$R$2:$R$100,0)))</f>
        <v/>
      </c>
      <c r="D73" s="77">
        <f>IF($A73="","",IF(ISNUMBER(INDEX('Master Stock'!$B$2:$B$100,MATCH($A73,'Master Stock'!$R$2:$R$100,0))),INDEX('Master Stock'!$B$2:$B$100,MATCH($A73,'Master Stock'!$R$2:$R$100,0)),IFERROR(DATE(2000+VALUE(RIGHT(INDEX('Master Stock'!$B$2:$B$100,MATCH($A73,'Master Stock'!$R$2:$R$100,0)),2)),VALUE(MID(INDEX('Master Stock'!$B$2:$B$100,MATCH($A73,'Master Stock'!$R$2:$R$100,0)),4,2)),VALUE(LEFT(INDEX('Master Stock'!$B$2:$B$100,MATCH($A73,'Master Stock'!$R$2:$R$100,0)),2))),"")))</f>
        <v/>
      </c>
      <c r="E73" s="41">
        <f>IF($A73="","",INDEX('Master Stock'!$G$2:$G$100,MATCH($A73,'Master Stock'!$R$2:$R$100,0)))</f>
        <v/>
      </c>
      <c r="F73" s="41">
        <f>IF($A73="","",INDEX('Master Stock'!$F$2:$F$100,MATCH($A73,'Master Stock'!$R$2:$R$100,0)))</f>
        <v/>
      </c>
      <c r="G73" s="41">
        <f>IF($A73="","","Rice / FRK RRA")</f>
        <v/>
      </c>
      <c r="H73" s="41">
        <f>IF($A73="","","FIFO - Oldest Receipt First")</f>
        <v/>
      </c>
    </row>
    <row r="74" ht="15" customHeight="1" s="42">
      <c r="A74" s="77">
        <f>IFERROR(IF(INDEX('Master Stock'!$R$2:$R$100,MATCH(72,'Master Stock'!$R$2:$R$100,0))="","",72),"")</f>
        <v/>
      </c>
      <c r="B74" s="41">
        <f>IF($A74="","",INDEX('Master Stock'!$C$2:$C$100,MATCH($A74,'Master Stock'!$R$2:$R$100,0)))</f>
        <v/>
      </c>
      <c r="C74" s="41">
        <f>IF($A74="","",INDEX('Master Stock'!$D$2:$D$100,MATCH($A74,'Master Stock'!$R$2:$R$100,0)))</f>
        <v/>
      </c>
      <c r="D74" s="77">
        <f>IF($A74="","",IF(ISNUMBER(INDEX('Master Stock'!$B$2:$B$100,MATCH($A74,'Master Stock'!$R$2:$R$100,0))),INDEX('Master Stock'!$B$2:$B$100,MATCH($A74,'Master Stock'!$R$2:$R$100,0)),IFERROR(DATE(2000+VALUE(RIGHT(INDEX('Master Stock'!$B$2:$B$100,MATCH($A74,'Master Stock'!$R$2:$R$100,0)),2)),VALUE(MID(INDEX('Master Stock'!$B$2:$B$100,MATCH($A74,'Master Stock'!$R$2:$R$100,0)),4,2)),VALUE(LEFT(INDEX('Master Stock'!$B$2:$B$100,MATCH($A74,'Master Stock'!$R$2:$R$100,0)),2))),"")))</f>
        <v/>
      </c>
      <c r="E74" s="41">
        <f>IF($A74="","",INDEX('Master Stock'!$G$2:$G$100,MATCH($A74,'Master Stock'!$R$2:$R$100,0)))</f>
        <v/>
      </c>
      <c r="F74" s="41">
        <f>IF($A74="","",INDEX('Master Stock'!$F$2:$F$100,MATCH($A74,'Master Stock'!$R$2:$R$100,0)))</f>
        <v/>
      </c>
      <c r="G74" s="41">
        <f>IF($A74="","","Rice / FRK RRA")</f>
        <v/>
      </c>
      <c r="H74" s="41">
        <f>IF($A74="","","FIFO - Oldest Receipt First")</f>
        <v/>
      </c>
    </row>
    <row r="75" ht="15" customHeight="1" s="42">
      <c r="A75" s="77">
        <f>IFERROR(IF(INDEX('Master Stock'!$R$2:$R$100,MATCH(73,'Master Stock'!$R$2:$R$100,0))="","",73),"")</f>
        <v/>
      </c>
      <c r="B75" s="41">
        <f>IF($A75="","",INDEX('Master Stock'!$C$2:$C$100,MATCH($A75,'Master Stock'!$R$2:$R$100,0)))</f>
        <v/>
      </c>
      <c r="C75" s="41">
        <f>IF($A75="","",INDEX('Master Stock'!$D$2:$D$100,MATCH($A75,'Master Stock'!$R$2:$R$100,0)))</f>
        <v/>
      </c>
      <c r="D75" s="77">
        <f>IF($A75="","",IF(ISNUMBER(INDEX('Master Stock'!$B$2:$B$100,MATCH($A75,'Master Stock'!$R$2:$R$100,0))),INDEX('Master Stock'!$B$2:$B$100,MATCH($A75,'Master Stock'!$R$2:$R$100,0)),IFERROR(DATE(2000+VALUE(RIGHT(INDEX('Master Stock'!$B$2:$B$100,MATCH($A75,'Master Stock'!$R$2:$R$100,0)),2)),VALUE(MID(INDEX('Master Stock'!$B$2:$B$100,MATCH($A75,'Master Stock'!$R$2:$R$100,0)),4,2)),VALUE(LEFT(INDEX('Master Stock'!$B$2:$B$100,MATCH($A75,'Master Stock'!$R$2:$R$100,0)),2))),"")))</f>
        <v/>
      </c>
      <c r="E75" s="41">
        <f>IF($A75="","",INDEX('Master Stock'!$G$2:$G$100,MATCH($A75,'Master Stock'!$R$2:$R$100,0)))</f>
        <v/>
      </c>
      <c r="F75" s="41">
        <f>IF($A75="","",INDEX('Master Stock'!$F$2:$F$100,MATCH($A75,'Master Stock'!$R$2:$R$100,0)))</f>
        <v/>
      </c>
      <c r="G75" s="41">
        <f>IF($A75="","","Rice / FRK RRA")</f>
        <v/>
      </c>
      <c r="H75" s="41">
        <f>IF($A75="","","FIFO - Oldest Receipt First")</f>
        <v/>
      </c>
    </row>
    <row r="76" ht="15" customHeight="1" s="42">
      <c r="A76" s="77">
        <f>IFERROR(IF(INDEX('Master Stock'!$R$2:$R$100,MATCH(74,'Master Stock'!$R$2:$R$100,0))="","",74),"")</f>
        <v/>
      </c>
      <c r="B76" s="41">
        <f>IF($A76="","",INDEX('Master Stock'!$C$2:$C$100,MATCH($A76,'Master Stock'!$R$2:$R$100,0)))</f>
        <v/>
      </c>
      <c r="C76" s="41">
        <f>IF($A76="","",INDEX('Master Stock'!$D$2:$D$100,MATCH($A76,'Master Stock'!$R$2:$R$100,0)))</f>
        <v/>
      </c>
      <c r="D76" s="77">
        <f>IF($A76="","",IF(ISNUMBER(INDEX('Master Stock'!$B$2:$B$100,MATCH($A76,'Master Stock'!$R$2:$R$100,0))),INDEX('Master Stock'!$B$2:$B$100,MATCH($A76,'Master Stock'!$R$2:$R$100,0)),IFERROR(DATE(2000+VALUE(RIGHT(INDEX('Master Stock'!$B$2:$B$100,MATCH($A76,'Master Stock'!$R$2:$R$100,0)),2)),VALUE(MID(INDEX('Master Stock'!$B$2:$B$100,MATCH($A76,'Master Stock'!$R$2:$R$100,0)),4,2)),VALUE(LEFT(INDEX('Master Stock'!$B$2:$B$100,MATCH($A76,'Master Stock'!$R$2:$R$100,0)),2))),"")))</f>
        <v/>
      </c>
      <c r="E76" s="41">
        <f>IF($A76="","",INDEX('Master Stock'!$G$2:$G$100,MATCH($A76,'Master Stock'!$R$2:$R$100,0)))</f>
        <v/>
      </c>
      <c r="F76" s="41">
        <f>IF($A76="","",INDEX('Master Stock'!$F$2:$F$100,MATCH($A76,'Master Stock'!$R$2:$R$100,0)))</f>
        <v/>
      </c>
      <c r="G76" s="41">
        <f>IF($A76="","","Rice / FRK RRA")</f>
        <v/>
      </c>
      <c r="H76" s="41">
        <f>IF($A76="","","FIFO - Oldest Receipt First")</f>
        <v/>
      </c>
    </row>
    <row r="77" ht="15" customHeight="1" s="42">
      <c r="A77" s="77">
        <f>IFERROR(IF(INDEX('Master Stock'!$R$2:$R$100,MATCH(75,'Master Stock'!$R$2:$R$100,0))="","",75),"")</f>
        <v/>
      </c>
      <c r="B77" s="41">
        <f>IF($A77="","",INDEX('Master Stock'!$C$2:$C$100,MATCH($A77,'Master Stock'!$R$2:$R$100,0)))</f>
        <v/>
      </c>
      <c r="C77" s="41">
        <f>IF($A77="","",INDEX('Master Stock'!$D$2:$D$100,MATCH($A77,'Master Stock'!$R$2:$R$100,0)))</f>
        <v/>
      </c>
      <c r="D77" s="77">
        <f>IF($A77="","",IF(ISNUMBER(INDEX('Master Stock'!$B$2:$B$100,MATCH($A77,'Master Stock'!$R$2:$R$100,0))),INDEX('Master Stock'!$B$2:$B$100,MATCH($A77,'Master Stock'!$R$2:$R$100,0)),IFERROR(DATE(2000+VALUE(RIGHT(INDEX('Master Stock'!$B$2:$B$100,MATCH($A77,'Master Stock'!$R$2:$R$100,0)),2)),VALUE(MID(INDEX('Master Stock'!$B$2:$B$100,MATCH($A77,'Master Stock'!$R$2:$R$100,0)),4,2)),VALUE(LEFT(INDEX('Master Stock'!$B$2:$B$100,MATCH($A77,'Master Stock'!$R$2:$R$100,0)),2))),"")))</f>
        <v/>
      </c>
      <c r="E77" s="41">
        <f>IF($A77="","",INDEX('Master Stock'!$G$2:$G$100,MATCH($A77,'Master Stock'!$R$2:$R$100,0)))</f>
        <v/>
      </c>
      <c r="F77" s="41">
        <f>IF($A77="","",INDEX('Master Stock'!$F$2:$F$100,MATCH($A77,'Master Stock'!$R$2:$R$100,0)))</f>
        <v/>
      </c>
      <c r="G77" s="41">
        <f>IF($A77="","","Rice / FRK RRA")</f>
        <v/>
      </c>
      <c r="H77" s="41">
        <f>IF($A77="","","FIFO - Oldest Receipt First")</f>
        <v/>
      </c>
    </row>
    <row r="78" ht="15" customHeight="1" s="42">
      <c r="A78" s="77">
        <f>IFERROR(IF(INDEX('Master Stock'!$R$2:$R$100,MATCH(76,'Master Stock'!$R$2:$R$100,0))="","",76),"")</f>
        <v/>
      </c>
      <c r="B78" s="41">
        <f>IF($A78="","",INDEX('Master Stock'!$C$2:$C$100,MATCH($A78,'Master Stock'!$R$2:$R$100,0)))</f>
        <v/>
      </c>
      <c r="C78" s="41">
        <f>IF($A78="","",INDEX('Master Stock'!$D$2:$D$100,MATCH($A78,'Master Stock'!$R$2:$R$100,0)))</f>
        <v/>
      </c>
      <c r="D78" s="77">
        <f>IF($A78="","",IF(ISNUMBER(INDEX('Master Stock'!$B$2:$B$100,MATCH($A78,'Master Stock'!$R$2:$R$100,0))),INDEX('Master Stock'!$B$2:$B$100,MATCH($A78,'Master Stock'!$R$2:$R$100,0)),IFERROR(DATE(2000+VALUE(RIGHT(INDEX('Master Stock'!$B$2:$B$100,MATCH($A78,'Master Stock'!$R$2:$R$100,0)),2)),VALUE(MID(INDEX('Master Stock'!$B$2:$B$100,MATCH($A78,'Master Stock'!$R$2:$R$100,0)),4,2)),VALUE(LEFT(INDEX('Master Stock'!$B$2:$B$100,MATCH($A78,'Master Stock'!$R$2:$R$100,0)),2))),"")))</f>
        <v/>
      </c>
      <c r="E78" s="41">
        <f>IF($A78="","",INDEX('Master Stock'!$G$2:$G$100,MATCH($A78,'Master Stock'!$R$2:$R$100,0)))</f>
        <v/>
      </c>
      <c r="F78" s="41">
        <f>IF($A78="","",INDEX('Master Stock'!$F$2:$F$100,MATCH($A78,'Master Stock'!$R$2:$R$100,0)))</f>
        <v/>
      </c>
      <c r="G78" s="41">
        <f>IF($A78="","","Rice / FRK RRA")</f>
        <v/>
      </c>
      <c r="H78" s="41">
        <f>IF($A78="","","FIFO - Oldest Receipt First")</f>
        <v/>
      </c>
    </row>
    <row r="79" ht="15" customHeight="1" s="42">
      <c r="A79" s="77">
        <f>IFERROR(IF(INDEX('Master Stock'!$R$2:$R$100,MATCH(77,'Master Stock'!$R$2:$R$100,0))="","",77),"")</f>
        <v/>
      </c>
      <c r="B79" s="41">
        <f>IF($A79="","",INDEX('Master Stock'!$C$2:$C$100,MATCH($A79,'Master Stock'!$R$2:$R$100,0)))</f>
        <v/>
      </c>
      <c r="C79" s="41">
        <f>IF($A79="","",INDEX('Master Stock'!$D$2:$D$100,MATCH($A79,'Master Stock'!$R$2:$R$100,0)))</f>
        <v/>
      </c>
      <c r="D79" s="77">
        <f>IF($A79="","",IF(ISNUMBER(INDEX('Master Stock'!$B$2:$B$100,MATCH($A79,'Master Stock'!$R$2:$R$100,0))),INDEX('Master Stock'!$B$2:$B$100,MATCH($A79,'Master Stock'!$R$2:$R$100,0)),IFERROR(DATE(2000+VALUE(RIGHT(INDEX('Master Stock'!$B$2:$B$100,MATCH($A79,'Master Stock'!$R$2:$R$100,0)),2)),VALUE(MID(INDEX('Master Stock'!$B$2:$B$100,MATCH($A79,'Master Stock'!$R$2:$R$100,0)),4,2)),VALUE(LEFT(INDEX('Master Stock'!$B$2:$B$100,MATCH($A79,'Master Stock'!$R$2:$R$100,0)),2))),"")))</f>
        <v/>
      </c>
      <c r="E79" s="41">
        <f>IF($A79="","",INDEX('Master Stock'!$G$2:$G$100,MATCH($A79,'Master Stock'!$R$2:$R$100,0)))</f>
        <v/>
      </c>
      <c r="F79" s="41">
        <f>IF($A79="","",INDEX('Master Stock'!$F$2:$F$100,MATCH($A79,'Master Stock'!$R$2:$R$100,0)))</f>
        <v/>
      </c>
      <c r="G79" s="41">
        <f>IF($A79="","","Rice / FRK RRA")</f>
        <v/>
      </c>
      <c r="H79" s="41">
        <f>IF($A79="","","FIFO - Oldest Receipt First")</f>
        <v/>
      </c>
    </row>
    <row r="80" ht="15" customHeight="1" s="42">
      <c r="A80" s="77">
        <f>IFERROR(IF(INDEX('Master Stock'!$R$2:$R$100,MATCH(78,'Master Stock'!$R$2:$R$100,0))="","",78),"")</f>
        <v/>
      </c>
      <c r="B80" s="41">
        <f>IF($A80="","",INDEX('Master Stock'!$C$2:$C$100,MATCH($A80,'Master Stock'!$R$2:$R$100,0)))</f>
        <v/>
      </c>
      <c r="C80" s="41">
        <f>IF($A80="","",INDEX('Master Stock'!$D$2:$D$100,MATCH($A80,'Master Stock'!$R$2:$R$100,0)))</f>
        <v/>
      </c>
      <c r="D80" s="77">
        <f>IF($A80="","",IF(ISNUMBER(INDEX('Master Stock'!$B$2:$B$100,MATCH($A80,'Master Stock'!$R$2:$R$100,0))),INDEX('Master Stock'!$B$2:$B$100,MATCH($A80,'Master Stock'!$R$2:$R$100,0)),IFERROR(DATE(2000+VALUE(RIGHT(INDEX('Master Stock'!$B$2:$B$100,MATCH($A80,'Master Stock'!$R$2:$R$100,0)),2)),VALUE(MID(INDEX('Master Stock'!$B$2:$B$100,MATCH($A80,'Master Stock'!$R$2:$R$100,0)),4,2)),VALUE(LEFT(INDEX('Master Stock'!$B$2:$B$100,MATCH($A80,'Master Stock'!$R$2:$R$100,0)),2))),"")))</f>
        <v/>
      </c>
      <c r="E80" s="41">
        <f>IF($A80="","",INDEX('Master Stock'!$G$2:$G$100,MATCH($A80,'Master Stock'!$R$2:$R$100,0)))</f>
        <v/>
      </c>
      <c r="F80" s="41">
        <f>IF($A80="","",INDEX('Master Stock'!$F$2:$F$100,MATCH($A80,'Master Stock'!$R$2:$R$100,0)))</f>
        <v/>
      </c>
      <c r="G80" s="41">
        <f>IF($A80="","","Rice / FRK RRA")</f>
        <v/>
      </c>
      <c r="H80" s="41">
        <f>IF($A80="","","FIFO - Oldest Receipt First")</f>
        <v/>
      </c>
    </row>
    <row r="81" ht="15" customHeight="1" s="42">
      <c r="A81" s="77">
        <f>IFERROR(IF(INDEX('Master Stock'!$R$2:$R$100,MATCH(79,'Master Stock'!$R$2:$R$100,0))="","",79),"")</f>
        <v/>
      </c>
      <c r="B81" s="41">
        <f>IF($A81="","",INDEX('Master Stock'!$C$2:$C$100,MATCH($A81,'Master Stock'!$R$2:$R$100,0)))</f>
        <v/>
      </c>
      <c r="C81" s="41">
        <f>IF($A81="","",INDEX('Master Stock'!$D$2:$D$100,MATCH($A81,'Master Stock'!$R$2:$R$100,0)))</f>
        <v/>
      </c>
      <c r="D81" s="77">
        <f>IF($A81="","",IF(ISNUMBER(INDEX('Master Stock'!$B$2:$B$100,MATCH($A81,'Master Stock'!$R$2:$R$100,0))),INDEX('Master Stock'!$B$2:$B$100,MATCH($A81,'Master Stock'!$R$2:$R$100,0)),IFERROR(DATE(2000+VALUE(RIGHT(INDEX('Master Stock'!$B$2:$B$100,MATCH($A81,'Master Stock'!$R$2:$R$100,0)),2)),VALUE(MID(INDEX('Master Stock'!$B$2:$B$100,MATCH($A81,'Master Stock'!$R$2:$R$100,0)),4,2)),VALUE(LEFT(INDEX('Master Stock'!$B$2:$B$100,MATCH($A81,'Master Stock'!$R$2:$R$100,0)),2))),"")))</f>
        <v/>
      </c>
      <c r="E81" s="41">
        <f>IF($A81="","",INDEX('Master Stock'!$G$2:$G$100,MATCH($A81,'Master Stock'!$R$2:$R$100,0)))</f>
        <v/>
      </c>
      <c r="F81" s="41">
        <f>IF($A81="","",INDEX('Master Stock'!$F$2:$F$100,MATCH($A81,'Master Stock'!$R$2:$R$100,0)))</f>
        <v/>
      </c>
      <c r="G81" s="41">
        <f>IF($A81="","","Rice / FRK RRA")</f>
        <v/>
      </c>
      <c r="H81" s="41">
        <f>IF($A81="","","FIFO - Oldest Receipt First")</f>
        <v/>
      </c>
    </row>
    <row r="82" ht="15" customHeight="1" s="42">
      <c r="A82" s="77">
        <f>IFERROR(IF(INDEX('Master Stock'!$R$2:$R$100,MATCH(80,'Master Stock'!$R$2:$R$100,0))="","",80),"")</f>
        <v/>
      </c>
      <c r="B82" s="41">
        <f>IF($A82="","",INDEX('Master Stock'!$C$2:$C$100,MATCH($A82,'Master Stock'!$R$2:$R$100,0)))</f>
        <v/>
      </c>
      <c r="C82" s="41">
        <f>IF($A82="","",INDEX('Master Stock'!$D$2:$D$100,MATCH($A82,'Master Stock'!$R$2:$R$100,0)))</f>
        <v/>
      </c>
      <c r="D82" s="77">
        <f>IF($A82="","",IF(ISNUMBER(INDEX('Master Stock'!$B$2:$B$100,MATCH($A82,'Master Stock'!$R$2:$R$100,0))),INDEX('Master Stock'!$B$2:$B$100,MATCH($A82,'Master Stock'!$R$2:$R$100,0)),IFERROR(DATE(2000+VALUE(RIGHT(INDEX('Master Stock'!$B$2:$B$100,MATCH($A82,'Master Stock'!$R$2:$R$100,0)),2)),VALUE(MID(INDEX('Master Stock'!$B$2:$B$100,MATCH($A82,'Master Stock'!$R$2:$R$100,0)),4,2)),VALUE(LEFT(INDEX('Master Stock'!$B$2:$B$100,MATCH($A82,'Master Stock'!$R$2:$R$100,0)),2))),"")))</f>
        <v/>
      </c>
      <c r="E82" s="41">
        <f>IF($A82="","",INDEX('Master Stock'!$G$2:$G$100,MATCH($A82,'Master Stock'!$R$2:$R$100,0)))</f>
        <v/>
      </c>
      <c r="F82" s="41">
        <f>IF($A82="","",INDEX('Master Stock'!$F$2:$F$100,MATCH($A82,'Master Stock'!$R$2:$R$100,0)))</f>
        <v/>
      </c>
      <c r="G82" s="41">
        <f>IF($A82="","","Rice / FRK RRA")</f>
        <v/>
      </c>
      <c r="H82" s="41">
        <f>IF($A82="","","FIFO - Oldest Receipt First")</f>
        <v/>
      </c>
    </row>
    <row r="83" ht="15" customHeight="1" s="42">
      <c r="A83" s="77">
        <f>IFERROR(IF(INDEX('Master Stock'!$R$2:$R$100,MATCH(81,'Master Stock'!$R$2:$R$100,0))="","",81),"")</f>
        <v/>
      </c>
      <c r="B83" s="41">
        <f>IF($A83="","",INDEX('Master Stock'!$C$2:$C$100,MATCH($A83,'Master Stock'!$R$2:$R$100,0)))</f>
        <v/>
      </c>
      <c r="C83" s="41">
        <f>IF($A83="","",INDEX('Master Stock'!$D$2:$D$100,MATCH($A83,'Master Stock'!$R$2:$R$100,0)))</f>
        <v/>
      </c>
      <c r="D83" s="77">
        <f>IF($A83="","",IF(ISNUMBER(INDEX('Master Stock'!$B$2:$B$100,MATCH($A83,'Master Stock'!$R$2:$R$100,0))),INDEX('Master Stock'!$B$2:$B$100,MATCH($A83,'Master Stock'!$R$2:$R$100,0)),IFERROR(DATE(2000+VALUE(RIGHT(INDEX('Master Stock'!$B$2:$B$100,MATCH($A83,'Master Stock'!$R$2:$R$100,0)),2)),VALUE(MID(INDEX('Master Stock'!$B$2:$B$100,MATCH($A83,'Master Stock'!$R$2:$R$100,0)),4,2)),VALUE(LEFT(INDEX('Master Stock'!$B$2:$B$100,MATCH($A83,'Master Stock'!$R$2:$R$100,0)),2))),"")))</f>
        <v/>
      </c>
      <c r="E83" s="41">
        <f>IF($A83="","",INDEX('Master Stock'!$G$2:$G$100,MATCH($A83,'Master Stock'!$R$2:$R$100,0)))</f>
        <v/>
      </c>
      <c r="F83" s="41">
        <f>IF($A83="","",INDEX('Master Stock'!$F$2:$F$100,MATCH($A83,'Master Stock'!$R$2:$R$100,0)))</f>
        <v/>
      </c>
      <c r="G83" s="41">
        <f>IF($A83="","","Rice / FRK RRA")</f>
        <v/>
      </c>
      <c r="H83" s="41">
        <f>IF($A83="","","FIFO - Oldest Receipt First")</f>
        <v/>
      </c>
    </row>
    <row r="84" ht="15" customHeight="1" s="42">
      <c r="A84" s="77">
        <f>IFERROR(IF(INDEX('Master Stock'!$R$2:$R$100,MATCH(82,'Master Stock'!$R$2:$R$100,0))="","",82),"")</f>
        <v/>
      </c>
      <c r="B84" s="41">
        <f>IF($A84="","",INDEX('Master Stock'!$C$2:$C$100,MATCH($A84,'Master Stock'!$R$2:$R$100,0)))</f>
        <v/>
      </c>
      <c r="C84" s="41">
        <f>IF($A84="","",INDEX('Master Stock'!$D$2:$D$100,MATCH($A84,'Master Stock'!$R$2:$R$100,0)))</f>
        <v/>
      </c>
      <c r="D84" s="77">
        <f>IF($A84="","",IF(ISNUMBER(INDEX('Master Stock'!$B$2:$B$100,MATCH($A84,'Master Stock'!$R$2:$R$100,0))),INDEX('Master Stock'!$B$2:$B$100,MATCH($A84,'Master Stock'!$R$2:$R$100,0)),IFERROR(DATE(2000+VALUE(RIGHT(INDEX('Master Stock'!$B$2:$B$100,MATCH($A84,'Master Stock'!$R$2:$R$100,0)),2)),VALUE(MID(INDEX('Master Stock'!$B$2:$B$100,MATCH($A84,'Master Stock'!$R$2:$R$100,0)),4,2)),VALUE(LEFT(INDEX('Master Stock'!$B$2:$B$100,MATCH($A84,'Master Stock'!$R$2:$R$100,0)),2))),"")))</f>
        <v/>
      </c>
      <c r="E84" s="41">
        <f>IF($A84="","",INDEX('Master Stock'!$G$2:$G$100,MATCH($A84,'Master Stock'!$R$2:$R$100,0)))</f>
        <v/>
      </c>
      <c r="F84" s="41">
        <f>IF($A84="","",INDEX('Master Stock'!$F$2:$F$100,MATCH($A84,'Master Stock'!$R$2:$R$100,0)))</f>
        <v/>
      </c>
      <c r="G84" s="41">
        <f>IF($A84="","","Rice / FRK RRA")</f>
        <v/>
      </c>
      <c r="H84" s="41">
        <f>IF($A84="","","FIFO - Oldest Receipt First")</f>
        <v/>
      </c>
    </row>
    <row r="85" ht="15" customHeight="1" s="42">
      <c r="A85" s="77">
        <f>IFERROR(IF(INDEX('Master Stock'!$R$2:$R$100,MATCH(83,'Master Stock'!$R$2:$R$100,0))="","",83),"")</f>
        <v/>
      </c>
      <c r="B85" s="41">
        <f>IF($A85="","",INDEX('Master Stock'!$C$2:$C$100,MATCH($A85,'Master Stock'!$R$2:$R$100,0)))</f>
        <v/>
      </c>
      <c r="C85" s="41">
        <f>IF($A85="","",INDEX('Master Stock'!$D$2:$D$100,MATCH($A85,'Master Stock'!$R$2:$R$100,0)))</f>
        <v/>
      </c>
      <c r="D85" s="77">
        <f>IF($A85="","",IF(ISNUMBER(INDEX('Master Stock'!$B$2:$B$100,MATCH($A85,'Master Stock'!$R$2:$R$100,0))),INDEX('Master Stock'!$B$2:$B$100,MATCH($A85,'Master Stock'!$R$2:$R$100,0)),IFERROR(DATE(2000+VALUE(RIGHT(INDEX('Master Stock'!$B$2:$B$100,MATCH($A85,'Master Stock'!$R$2:$R$100,0)),2)),VALUE(MID(INDEX('Master Stock'!$B$2:$B$100,MATCH($A85,'Master Stock'!$R$2:$R$100,0)),4,2)),VALUE(LEFT(INDEX('Master Stock'!$B$2:$B$100,MATCH($A85,'Master Stock'!$R$2:$R$100,0)),2))),"")))</f>
        <v/>
      </c>
      <c r="E85" s="41">
        <f>IF($A85="","",INDEX('Master Stock'!$G$2:$G$100,MATCH($A85,'Master Stock'!$R$2:$R$100,0)))</f>
        <v/>
      </c>
      <c r="F85" s="41">
        <f>IF($A85="","",INDEX('Master Stock'!$F$2:$F$100,MATCH($A85,'Master Stock'!$R$2:$R$100,0)))</f>
        <v/>
      </c>
      <c r="G85" s="41">
        <f>IF($A85="","","Rice / FRK RRA")</f>
        <v/>
      </c>
      <c r="H85" s="41">
        <f>IF($A85="","","FIFO - Oldest Receipt First")</f>
        <v/>
      </c>
    </row>
    <row r="86" ht="15" customHeight="1" s="42">
      <c r="A86" s="77">
        <f>IFERROR(IF(INDEX('Master Stock'!$R$2:$R$100,MATCH(84,'Master Stock'!$R$2:$R$100,0))="","",84),"")</f>
        <v/>
      </c>
      <c r="B86" s="41">
        <f>IF($A86="","",INDEX('Master Stock'!$C$2:$C$100,MATCH($A86,'Master Stock'!$R$2:$R$100,0)))</f>
        <v/>
      </c>
      <c r="C86" s="41">
        <f>IF($A86="","",INDEX('Master Stock'!$D$2:$D$100,MATCH($A86,'Master Stock'!$R$2:$R$100,0)))</f>
        <v/>
      </c>
      <c r="D86" s="77">
        <f>IF($A86="","",IF(ISNUMBER(INDEX('Master Stock'!$B$2:$B$100,MATCH($A86,'Master Stock'!$R$2:$R$100,0))),INDEX('Master Stock'!$B$2:$B$100,MATCH($A86,'Master Stock'!$R$2:$R$100,0)),IFERROR(DATE(2000+VALUE(RIGHT(INDEX('Master Stock'!$B$2:$B$100,MATCH($A86,'Master Stock'!$R$2:$R$100,0)),2)),VALUE(MID(INDEX('Master Stock'!$B$2:$B$100,MATCH($A86,'Master Stock'!$R$2:$R$100,0)),4,2)),VALUE(LEFT(INDEX('Master Stock'!$B$2:$B$100,MATCH($A86,'Master Stock'!$R$2:$R$100,0)),2))),"")))</f>
        <v/>
      </c>
      <c r="E86" s="41">
        <f>IF($A86="","",INDEX('Master Stock'!$G$2:$G$100,MATCH($A86,'Master Stock'!$R$2:$R$100,0)))</f>
        <v/>
      </c>
      <c r="F86" s="41">
        <f>IF($A86="","",INDEX('Master Stock'!$F$2:$F$100,MATCH($A86,'Master Stock'!$R$2:$R$100,0)))</f>
        <v/>
      </c>
      <c r="G86" s="41">
        <f>IF($A86="","","Rice / FRK RRA")</f>
        <v/>
      </c>
      <c r="H86" s="41">
        <f>IF($A86="","","FIFO - Oldest Receipt First")</f>
        <v/>
      </c>
    </row>
    <row r="87" ht="15" customHeight="1" s="42">
      <c r="A87" s="77">
        <f>IFERROR(IF(INDEX('Master Stock'!$R$2:$R$100,MATCH(85,'Master Stock'!$R$2:$R$100,0))="","",85),"")</f>
        <v/>
      </c>
      <c r="B87" s="41">
        <f>IF($A87="","",INDEX('Master Stock'!$C$2:$C$100,MATCH($A87,'Master Stock'!$R$2:$R$100,0)))</f>
        <v/>
      </c>
      <c r="C87" s="41">
        <f>IF($A87="","",INDEX('Master Stock'!$D$2:$D$100,MATCH($A87,'Master Stock'!$R$2:$R$100,0)))</f>
        <v/>
      </c>
      <c r="D87" s="77">
        <f>IF($A87="","",IF(ISNUMBER(INDEX('Master Stock'!$B$2:$B$100,MATCH($A87,'Master Stock'!$R$2:$R$100,0))),INDEX('Master Stock'!$B$2:$B$100,MATCH($A87,'Master Stock'!$R$2:$R$100,0)),IFERROR(DATE(2000+VALUE(RIGHT(INDEX('Master Stock'!$B$2:$B$100,MATCH($A87,'Master Stock'!$R$2:$R$100,0)),2)),VALUE(MID(INDEX('Master Stock'!$B$2:$B$100,MATCH($A87,'Master Stock'!$R$2:$R$100,0)),4,2)),VALUE(LEFT(INDEX('Master Stock'!$B$2:$B$100,MATCH($A87,'Master Stock'!$R$2:$R$100,0)),2))),"")))</f>
        <v/>
      </c>
      <c r="E87" s="41">
        <f>IF($A87="","",INDEX('Master Stock'!$G$2:$G$100,MATCH($A87,'Master Stock'!$R$2:$R$100,0)))</f>
        <v/>
      </c>
      <c r="F87" s="41">
        <f>IF($A87="","",INDEX('Master Stock'!$F$2:$F$100,MATCH($A87,'Master Stock'!$R$2:$R$100,0)))</f>
        <v/>
      </c>
      <c r="G87" s="41">
        <f>IF($A87="","","Rice / FRK RRA")</f>
        <v/>
      </c>
      <c r="H87" s="41">
        <f>IF($A87="","","FIFO - Oldest Receipt First")</f>
        <v/>
      </c>
    </row>
    <row r="88" ht="15" customHeight="1" s="42">
      <c r="A88" s="77">
        <f>IFERROR(IF(INDEX('Master Stock'!$R$2:$R$100,MATCH(86,'Master Stock'!$R$2:$R$100,0))="","",86),"")</f>
        <v/>
      </c>
      <c r="B88" s="41">
        <f>IF($A88="","",INDEX('Master Stock'!$C$2:$C$100,MATCH($A88,'Master Stock'!$R$2:$R$100,0)))</f>
        <v/>
      </c>
      <c r="C88" s="41">
        <f>IF($A88="","",INDEX('Master Stock'!$D$2:$D$100,MATCH($A88,'Master Stock'!$R$2:$R$100,0)))</f>
        <v/>
      </c>
      <c r="D88" s="77">
        <f>IF($A88="","",IF(ISNUMBER(INDEX('Master Stock'!$B$2:$B$100,MATCH($A88,'Master Stock'!$R$2:$R$100,0))),INDEX('Master Stock'!$B$2:$B$100,MATCH($A88,'Master Stock'!$R$2:$R$100,0)),IFERROR(DATE(2000+VALUE(RIGHT(INDEX('Master Stock'!$B$2:$B$100,MATCH($A88,'Master Stock'!$R$2:$R$100,0)),2)),VALUE(MID(INDEX('Master Stock'!$B$2:$B$100,MATCH($A88,'Master Stock'!$R$2:$R$100,0)),4,2)),VALUE(LEFT(INDEX('Master Stock'!$B$2:$B$100,MATCH($A88,'Master Stock'!$R$2:$R$100,0)),2))),"")))</f>
        <v/>
      </c>
      <c r="E88" s="41">
        <f>IF($A88="","",INDEX('Master Stock'!$G$2:$G$100,MATCH($A88,'Master Stock'!$R$2:$R$100,0)))</f>
        <v/>
      </c>
      <c r="F88" s="41">
        <f>IF($A88="","",INDEX('Master Stock'!$F$2:$F$100,MATCH($A88,'Master Stock'!$R$2:$R$100,0)))</f>
        <v/>
      </c>
      <c r="G88" s="41">
        <f>IF($A88="","","Rice / FRK RRA")</f>
        <v/>
      </c>
      <c r="H88" s="41">
        <f>IF($A88="","","FIFO - Oldest Receipt First")</f>
        <v/>
      </c>
    </row>
    <row r="89" ht="15" customHeight="1" s="42">
      <c r="A89" s="77">
        <f>IFERROR(IF(INDEX('Master Stock'!$R$2:$R$100,MATCH(87,'Master Stock'!$R$2:$R$100,0))="","",87),"")</f>
        <v/>
      </c>
      <c r="B89" s="41">
        <f>IF($A89="","",INDEX('Master Stock'!$C$2:$C$100,MATCH($A89,'Master Stock'!$R$2:$R$100,0)))</f>
        <v/>
      </c>
      <c r="C89" s="41">
        <f>IF($A89="","",INDEX('Master Stock'!$D$2:$D$100,MATCH($A89,'Master Stock'!$R$2:$R$100,0)))</f>
        <v/>
      </c>
      <c r="D89" s="77">
        <f>IF($A89="","",IF(ISNUMBER(INDEX('Master Stock'!$B$2:$B$100,MATCH($A89,'Master Stock'!$R$2:$R$100,0))),INDEX('Master Stock'!$B$2:$B$100,MATCH($A89,'Master Stock'!$R$2:$R$100,0)),IFERROR(DATE(2000+VALUE(RIGHT(INDEX('Master Stock'!$B$2:$B$100,MATCH($A89,'Master Stock'!$R$2:$R$100,0)),2)),VALUE(MID(INDEX('Master Stock'!$B$2:$B$100,MATCH($A89,'Master Stock'!$R$2:$R$100,0)),4,2)),VALUE(LEFT(INDEX('Master Stock'!$B$2:$B$100,MATCH($A89,'Master Stock'!$R$2:$R$100,0)),2))),"")))</f>
        <v/>
      </c>
      <c r="E89" s="41">
        <f>IF($A89="","",INDEX('Master Stock'!$G$2:$G$100,MATCH($A89,'Master Stock'!$R$2:$R$100,0)))</f>
        <v/>
      </c>
      <c r="F89" s="41">
        <f>IF($A89="","",INDEX('Master Stock'!$F$2:$F$100,MATCH($A89,'Master Stock'!$R$2:$R$100,0)))</f>
        <v/>
      </c>
      <c r="G89" s="41">
        <f>IF($A89="","","Rice / FRK RRA")</f>
        <v/>
      </c>
      <c r="H89" s="41">
        <f>IF($A89="","","FIFO - Oldest Receipt First")</f>
        <v/>
      </c>
    </row>
    <row r="90" ht="15" customHeight="1" s="42">
      <c r="A90" s="77">
        <f>IFERROR(IF(INDEX('Master Stock'!$R$2:$R$100,MATCH(88,'Master Stock'!$R$2:$R$100,0))="","",88),"")</f>
        <v/>
      </c>
      <c r="B90" s="41">
        <f>IF($A90="","",INDEX('Master Stock'!$C$2:$C$100,MATCH($A90,'Master Stock'!$R$2:$R$100,0)))</f>
        <v/>
      </c>
      <c r="C90" s="41">
        <f>IF($A90="","",INDEX('Master Stock'!$D$2:$D$100,MATCH($A90,'Master Stock'!$R$2:$R$100,0)))</f>
        <v/>
      </c>
      <c r="D90" s="77">
        <f>IF($A90="","",IF(ISNUMBER(INDEX('Master Stock'!$B$2:$B$100,MATCH($A90,'Master Stock'!$R$2:$R$100,0))),INDEX('Master Stock'!$B$2:$B$100,MATCH($A90,'Master Stock'!$R$2:$R$100,0)),IFERROR(DATE(2000+VALUE(RIGHT(INDEX('Master Stock'!$B$2:$B$100,MATCH($A90,'Master Stock'!$R$2:$R$100,0)),2)),VALUE(MID(INDEX('Master Stock'!$B$2:$B$100,MATCH($A90,'Master Stock'!$R$2:$R$100,0)),4,2)),VALUE(LEFT(INDEX('Master Stock'!$B$2:$B$100,MATCH($A90,'Master Stock'!$R$2:$R$100,0)),2))),"")))</f>
        <v/>
      </c>
      <c r="E90" s="41">
        <f>IF($A90="","",INDEX('Master Stock'!$G$2:$G$100,MATCH($A90,'Master Stock'!$R$2:$R$100,0)))</f>
        <v/>
      </c>
      <c r="F90" s="41">
        <f>IF($A90="","",INDEX('Master Stock'!$F$2:$F$100,MATCH($A90,'Master Stock'!$R$2:$R$100,0)))</f>
        <v/>
      </c>
      <c r="G90" s="41">
        <f>IF($A90="","","Rice / FRK RRA")</f>
        <v/>
      </c>
      <c r="H90" s="41">
        <f>IF($A90="","","FIFO - Oldest Receipt First")</f>
        <v/>
      </c>
    </row>
    <row r="91" ht="15" customHeight="1" s="42">
      <c r="A91" s="77">
        <f>IFERROR(IF(INDEX('Master Stock'!$R$2:$R$100,MATCH(89,'Master Stock'!$R$2:$R$100,0))="","",89),"")</f>
        <v/>
      </c>
      <c r="B91" s="41">
        <f>IF($A91="","",INDEX('Master Stock'!$C$2:$C$100,MATCH($A91,'Master Stock'!$R$2:$R$100,0)))</f>
        <v/>
      </c>
      <c r="C91" s="41">
        <f>IF($A91="","",INDEX('Master Stock'!$D$2:$D$100,MATCH($A91,'Master Stock'!$R$2:$R$100,0)))</f>
        <v/>
      </c>
      <c r="D91" s="77">
        <f>IF($A91="","",IF(ISNUMBER(INDEX('Master Stock'!$B$2:$B$100,MATCH($A91,'Master Stock'!$R$2:$R$100,0))),INDEX('Master Stock'!$B$2:$B$100,MATCH($A91,'Master Stock'!$R$2:$R$100,0)),IFERROR(DATE(2000+VALUE(RIGHT(INDEX('Master Stock'!$B$2:$B$100,MATCH($A91,'Master Stock'!$R$2:$R$100,0)),2)),VALUE(MID(INDEX('Master Stock'!$B$2:$B$100,MATCH($A91,'Master Stock'!$R$2:$R$100,0)),4,2)),VALUE(LEFT(INDEX('Master Stock'!$B$2:$B$100,MATCH($A91,'Master Stock'!$R$2:$R$100,0)),2))),"")))</f>
        <v/>
      </c>
      <c r="E91" s="41">
        <f>IF($A91="","",INDEX('Master Stock'!$G$2:$G$100,MATCH($A91,'Master Stock'!$R$2:$R$100,0)))</f>
        <v/>
      </c>
      <c r="F91" s="41">
        <f>IF($A91="","",INDEX('Master Stock'!$F$2:$F$100,MATCH($A91,'Master Stock'!$R$2:$R$100,0)))</f>
        <v/>
      </c>
      <c r="G91" s="41">
        <f>IF($A91="","","Rice / FRK RRA")</f>
        <v/>
      </c>
      <c r="H91" s="41">
        <f>IF($A91="","","FIFO - Oldest Receipt First")</f>
        <v/>
      </c>
    </row>
    <row r="92" ht="15" customHeight="1" s="42">
      <c r="A92" s="77">
        <f>IFERROR(IF(INDEX('Master Stock'!$R$2:$R$100,MATCH(90,'Master Stock'!$R$2:$R$100,0))="","",90),"")</f>
        <v/>
      </c>
      <c r="B92" s="41">
        <f>IF($A92="","",INDEX('Master Stock'!$C$2:$C$100,MATCH($A92,'Master Stock'!$R$2:$R$100,0)))</f>
        <v/>
      </c>
      <c r="C92" s="41">
        <f>IF($A92="","",INDEX('Master Stock'!$D$2:$D$100,MATCH($A92,'Master Stock'!$R$2:$R$100,0)))</f>
        <v/>
      </c>
      <c r="D92" s="77">
        <f>IF($A92="","",IF(ISNUMBER(INDEX('Master Stock'!$B$2:$B$100,MATCH($A92,'Master Stock'!$R$2:$R$100,0))),INDEX('Master Stock'!$B$2:$B$100,MATCH($A92,'Master Stock'!$R$2:$R$100,0)),IFERROR(DATE(2000+VALUE(RIGHT(INDEX('Master Stock'!$B$2:$B$100,MATCH($A92,'Master Stock'!$R$2:$R$100,0)),2)),VALUE(MID(INDEX('Master Stock'!$B$2:$B$100,MATCH($A92,'Master Stock'!$R$2:$R$100,0)),4,2)),VALUE(LEFT(INDEX('Master Stock'!$B$2:$B$100,MATCH($A92,'Master Stock'!$R$2:$R$100,0)),2))),"")))</f>
        <v/>
      </c>
      <c r="E92" s="41">
        <f>IF($A92="","",INDEX('Master Stock'!$G$2:$G$100,MATCH($A92,'Master Stock'!$R$2:$R$100,0)))</f>
        <v/>
      </c>
      <c r="F92" s="41">
        <f>IF($A92="","",INDEX('Master Stock'!$F$2:$F$100,MATCH($A92,'Master Stock'!$R$2:$R$100,0)))</f>
        <v/>
      </c>
      <c r="G92" s="41">
        <f>IF($A92="","","Rice / FRK RRA")</f>
        <v/>
      </c>
      <c r="H92" s="41">
        <f>IF($A92="","","FIFO - Oldest Receipt First")</f>
        <v/>
      </c>
    </row>
    <row r="93" ht="15" customHeight="1" s="42">
      <c r="A93" s="77">
        <f>IFERROR(IF(INDEX('Master Stock'!$R$2:$R$100,MATCH(91,'Master Stock'!$R$2:$R$100,0))="","",91),"")</f>
        <v/>
      </c>
      <c r="B93" s="41">
        <f>IF($A93="","",INDEX('Master Stock'!$C$2:$C$100,MATCH($A93,'Master Stock'!$R$2:$R$100,0)))</f>
        <v/>
      </c>
      <c r="C93" s="41">
        <f>IF($A93="","",INDEX('Master Stock'!$D$2:$D$100,MATCH($A93,'Master Stock'!$R$2:$R$100,0)))</f>
        <v/>
      </c>
      <c r="D93" s="77">
        <f>IF($A93="","",IF(ISNUMBER(INDEX('Master Stock'!$B$2:$B$100,MATCH($A93,'Master Stock'!$R$2:$R$100,0))),INDEX('Master Stock'!$B$2:$B$100,MATCH($A93,'Master Stock'!$R$2:$R$100,0)),IFERROR(DATE(2000+VALUE(RIGHT(INDEX('Master Stock'!$B$2:$B$100,MATCH($A93,'Master Stock'!$R$2:$R$100,0)),2)),VALUE(MID(INDEX('Master Stock'!$B$2:$B$100,MATCH($A93,'Master Stock'!$R$2:$R$100,0)),4,2)),VALUE(LEFT(INDEX('Master Stock'!$B$2:$B$100,MATCH($A93,'Master Stock'!$R$2:$R$100,0)),2))),"")))</f>
        <v/>
      </c>
      <c r="E93" s="41">
        <f>IF($A93="","",INDEX('Master Stock'!$G$2:$G$100,MATCH($A93,'Master Stock'!$R$2:$R$100,0)))</f>
        <v/>
      </c>
      <c r="F93" s="41">
        <f>IF($A93="","",INDEX('Master Stock'!$F$2:$F$100,MATCH($A93,'Master Stock'!$R$2:$R$100,0)))</f>
        <v/>
      </c>
      <c r="G93" s="41">
        <f>IF($A93="","","Rice / FRK RRA")</f>
        <v/>
      </c>
      <c r="H93" s="41">
        <f>IF($A93="","","FIFO - Oldest Receipt First")</f>
        <v/>
      </c>
    </row>
    <row r="94" ht="15" customHeight="1" s="42">
      <c r="A94" s="77">
        <f>IFERROR(IF(INDEX('Master Stock'!$R$2:$R$100,MATCH(92,'Master Stock'!$R$2:$R$100,0))="","",92),"")</f>
        <v/>
      </c>
      <c r="B94" s="41">
        <f>IF($A94="","",INDEX('Master Stock'!$C$2:$C$100,MATCH($A94,'Master Stock'!$R$2:$R$100,0)))</f>
        <v/>
      </c>
      <c r="C94" s="41">
        <f>IF($A94="","",INDEX('Master Stock'!$D$2:$D$100,MATCH($A94,'Master Stock'!$R$2:$R$100,0)))</f>
        <v/>
      </c>
      <c r="D94" s="77">
        <f>IF($A94="","",IF(ISNUMBER(INDEX('Master Stock'!$B$2:$B$100,MATCH($A94,'Master Stock'!$R$2:$R$100,0))),INDEX('Master Stock'!$B$2:$B$100,MATCH($A94,'Master Stock'!$R$2:$R$100,0)),IFERROR(DATE(2000+VALUE(RIGHT(INDEX('Master Stock'!$B$2:$B$100,MATCH($A94,'Master Stock'!$R$2:$R$100,0)),2)),VALUE(MID(INDEX('Master Stock'!$B$2:$B$100,MATCH($A94,'Master Stock'!$R$2:$R$100,0)),4,2)),VALUE(LEFT(INDEX('Master Stock'!$B$2:$B$100,MATCH($A94,'Master Stock'!$R$2:$R$100,0)),2))),"")))</f>
        <v/>
      </c>
      <c r="E94" s="41">
        <f>IF($A94="","",INDEX('Master Stock'!$G$2:$G$100,MATCH($A94,'Master Stock'!$R$2:$R$100,0)))</f>
        <v/>
      </c>
      <c r="F94" s="41">
        <f>IF($A94="","",INDEX('Master Stock'!$F$2:$F$100,MATCH($A94,'Master Stock'!$R$2:$R$100,0)))</f>
        <v/>
      </c>
      <c r="G94" s="41">
        <f>IF($A94="","","Rice / FRK RRA")</f>
        <v/>
      </c>
      <c r="H94" s="41">
        <f>IF($A94="","","FIFO - Oldest Receipt First")</f>
        <v/>
      </c>
    </row>
    <row r="95" ht="15" customHeight="1" s="42">
      <c r="A95" s="77">
        <f>IFERROR(IF(INDEX('Master Stock'!$R$2:$R$100,MATCH(93,'Master Stock'!$R$2:$R$100,0))="","",93),"")</f>
        <v/>
      </c>
      <c r="B95" s="41">
        <f>IF($A95="","",INDEX('Master Stock'!$C$2:$C$100,MATCH($A95,'Master Stock'!$R$2:$R$100,0)))</f>
        <v/>
      </c>
      <c r="C95" s="41">
        <f>IF($A95="","",INDEX('Master Stock'!$D$2:$D$100,MATCH($A95,'Master Stock'!$R$2:$R$100,0)))</f>
        <v/>
      </c>
      <c r="D95" s="77">
        <f>IF($A95="","",IF(ISNUMBER(INDEX('Master Stock'!$B$2:$B$100,MATCH($A95,'Master Stock'!$R$2:$R$100,0))),INDEX('Master Stock'!$B$2:$B$100,MATCH($A95,'Master Stock'!$R$2:$R$100,0)),IFERROR(DATE(2000+VALUE(RIGHT(INDEX('Master Stock'!$B$2:$B$100,MATCH($A95,'Master Stock'!$R$2:$R$100,0)),2)),VALUE(MID(INDEX('Master Stock'!$B$2:$B$100,MATCH($A95,'Master Stock'!$R$2:$R$100,0)),4,2)),VALUE(LEFT(INDEX('Master Stock'!$B$2:$B$100,MATCH($A95,'Master Stock'!$R$2:$R$100,0)),2))),"")))</f>
        <v/>
      </c>
      <c r="E95" s="41">
        <f>IF($A95="","",INDEX('Master Stock'!$G$2:$G$100,MATCH($A95,'Master Stock'!$R$2:$R$100,0)))</f>
        <v/>
      </c>
      <c r="F95" s="41">
        <f>IF($A95="","",INDEX('Master Stock'!$F$2:$F$100,MATCH($A95,'Master Stock'!$R$2:$R$100,0)))</f>
        <v/>
      </c>
      <c r="G95" s="41">
        <f>IF($A95="","","Rice / FRK RRA")</f>
        <v/>
      </c>
      <c r="H95" s="41">
        <f>IF($A95="","","FIFO - Oldest Receipt First")</f>
        <v/>
      </c>
    </row>
    <row r="96" ht="15" customHeight="1" s="42">
      <c r="A96" s="77">
        <f>IFERROR(IF(INDEX('Master Stock'!$R$2:$R$100,MATCH(94,'Master Stock'!$R$2:$R$100,0))="","",94),"")</f>
        <v/>
      </c>
      <c r="B96" s="41">
        <f>IF($A96="","",INDEX('Master Stock'!$C$2:$C$100,MATCH($A96,'Master Stock'!$R$2:$R$100,0)))</f>
        <v/>
      </c>
      <c r="C96" s="41">
        <f>IF($A96="","",INDEX('Master Stock'!$D$2:$D$100,MATCH($A96,'Master Stock'!$R$2:$R$100,0)))</f>
        <v/>
      </c>
      <c r="D96" s="77">
        <f>IF($A96="","",IF(ISNUMBER(INDEX('Master Stock'!$B$2:$B$100,MATCH($A96,'Master Stock'!$R$2:$R$100,0))),INDEX('Master Stock'!$B$2:$B$100,MATCH($A96,'Master Stock'!$R$2:$R$100,0)),IFERROR(DATE(2000+VALUE(RIGHT(INDEX('Master Stock'!$B$2:$B$100,MATCH($A96,'Master Stock'!$R$2:$R$100,0)),2)),VALUE(MID(INDEX('Master Stock'!$B$2:$B$100,MATCH($A96,'Master Stock'!$R$2:$R$100,0)),4,2)),VALUE(LEFT(INDEX('Master Stock'!$B$2:$B$100,MATCH($A96,'Master Stock'!$R$2:$R$100,0)),2))),"")))</f>
        <v/>
      </c>
      <c r="E96" s="41">
        <f>IF($A96="","",INDEX('Master Stock'!$G$2:$G$100,MATCH($A96,'Master Stock'!$R$2:$R$100,0)))</f>
        <v/>
      </c>
      <c r="F96" s="41">
        <f>IF($A96="","",INDEX('Master Stock'!$F$2:$F$100,MATCH($A96,'Master Stock'!$R$2:$R$100,0)))</f>
        <v/>
      </c>
      <c r="G96" s="41">
        <f>IF($A96="","","Rice / FRK RRA")</f>
        <v/>
      </c>
      <c r="H96" s="41">
        <f>IF($A96="","","FIFO - Oldest Receipt First")</f>
        <v/>
      </c>
    </row>
    <row r="97" ht="15" customHeight="1" s="42">
      <c r="A97" s="77">
        <f>IFERROR(IF(INDEX('Master Stock'!$R$2:$R$100,MATCH(95,'Master Stock'!$R$2:$R$100,0))="","",95),"")</f>
        <v/>
      </c>
      <c r="B97" s="41">
        <f>IF($A97="","",INDEX('Master Stock'!$C$2:$C$100,MATCH($A97,'Master Stock'!$R$2:$R$100,0)))</f>
        <v/>
      </c>
      <c r="C97" s="41">
        <f>IF($A97="","",INDEX('Master Stock'!$D$2:$D$100,MATCH($A97,'Master Stock'!$R$2:$R$100,0)))</f>
        <v/>
      </c>
      <c r="D97" s="77">
        <f>IF($A97="","",IF(ISNUMBER(INDEX('Master Stock'!$B$2:$B$100,MATCH($A97,'Master Stock'!$R$2:$R$100,0))),INDEX('Master Stock'!$B$2:$B$100,MATCH($A97,'Master Stock'!$R$2:$R$100,0)),IFERROR(DATE(2000+VALUE(RIGHT(INDEX('Master Stock'!$B$2:$B$100,MATCH($A97,'Master Stock'!$R$2:$R$100,0)),2)),VALUE(MID(INDEX('Master Stock'!$B$2:$B$100,MATCH($A97,'Master Stock'!$R$2:$R$100,0)),4,2)),VALUE(LEFT(INDEX('Master Stock'!$B$2:$B$100,MATCH($A97,'Master Stock'!$R$2:$R$100,0)),2))),"")))</f>
        <v/>
      </c>
      <c r="E97" s="41">
        <f>IF($A97="","",INDEX('Master Stock'!$G$2:$G$100,MATCH($A97,'Master Stock'!$R$2:$R$100,0)))</f>
        <v/>
      </c>
      <c r="F97" s="41">
        <f>IF($A97="","",INDEX('Master Stock'!$F$2:$F$100,MATCH($A97,'Master Stock'!$R$2:$R$100,0)))</f>
        <v/>
      </c>
      <c r="G97" s="41">
        <f>IF($A97="","","Rice / FRK RRA")</f>
        <v/>
      </c>
      <c r="H97" s="41">
        <f>IF($A97="","","FIFO - Oldest Receipt First")</f>
        <v/>
      </c>
    </row>
    <row r="98" ht="15" customHeight="1" s="42">
      <c r="A98" s="77">
        <f>IFERROR(IF(INDEX('Master Stock'!$R$2:$R$100,MATCH(96,'Master Stock'!$R$2:$R$100,0))="","",96),"")</f>
        <v/>
      </c>
      <c r="B98" s="41">
        <f>IF($A98="","",INDEX('Master Stock'!$C$2:$C$100,MATCH($A98,'Master Stock'!$R$2:$R$100,0)))</f>
        <v/>
      </c>
      <c r="C98" s="41">
        <f>IF($A98="","",INDEX('Master Stock'!$D$2:$D$100,MATCH($A98,'Master Stock'!$R$2:$R$100,0)))</f>
        <v/>
      </c>
      <c r="D98" s="77">
        <f>IF($A98="","",IF(ISNUMBER(INDEX('Master Stock'!$B$2:$B$100,MATCH($A98,'Master Stock'!$R$2:$R$100,0))),INDEX('Master Stock'!$B$2:$B$100,MATCH($A98,'Master Stock'!$R$2:$R$100,0)),IFERROR(DATE(2000+VALUE(RIGHT(INDEX('Master Stock'!$B$2:$B$100,MATCH($A98,'Master Stock'!$R$2:$R$100,0)),2)),VALUE(MID(INDEX('Master Stock'!$B$2:$B$100,MATCH($A98,'Master Stock'!$R$2:$R$100,0)),4,2)),VALUE(LEFT(INDEX('Master Stock'!$B$2:$B$100,MATCH($A98,'Master Stock'!$R$2:$R$100,0)),2))),"")))</f>
        <v/>
      </c>
      <c r="E98" s="41">
        <f>IF($A98="","",INDEX('Master Stock'!$G$2:$G$100,MATCH($A98,'Master Stock'!$R$2:$R$100,0)))</f>
        <v/>
      </c>
      <c r="F98" s="41">
        <f>IF($A98="","",INDEX('Master Stock'!$F$2:$F$100,MATCH($A98,'Master Stock'!$R$2:$R$100,0)))</f>
        <v/>
      </c>
      <c r="G98" s="41">
        <f>IF($A98="","","Rice / FRK RRA")</f>
        <v/>
      </c>
      <c r="H98" s="41">
        <f>IF($A98="","","FIFO - Oldest Receipt First")</f>
        <v/>
      </c>
    </row>
    <row r="99" ht="15" customHeight="1" s="42">
      <c r="A99" s="77">
        <f>IFERROR(IF(INDEX('Master Stock'!$R$2:$R$100,MATCH(97,'Master Stock'!$R$2:$R$100,0))="","",97),"")</f>
        <v/>
      </c>
      <c r="B99" s="41">
        <f>IF($A99="","",INDEX('Master Stock'!$C$2:$C$100,MATCH($A99,'Master Stock'!$R$2:$R$100,0)))</f>
        <v/>
      </c>
      <c r="C99" s="41">
        <f>IF($A99="","",INDEX('Master Stock'!$D$2:$D$100,MATCH($A99,'Master Stock'!$R$2:$R$100,0)))</f>
        <v/>
      </c>
      <c r="D99" s="77">
        <f>IF($A99="","",IF(ISNUMBER(INDEX('Master Stock'!$B$2:$B$100,MATCH($A99,'Master Stock'!$R$2:$R$100,0))),INDEX('Master Stock'!$B$2:$B$100,MATCH($A99,'Master Stock'!$R$2:$R$100,0)),IFERROR(DATE(2000+VALUE(RIGHT(INDEX('Master Stock'!$B$2:$B$100,MATCH($A99,'Master Stock'!$R$2:$R$100,0)),2)),VALUE(MID(INDEX('Master Stock'!$B$2:$B$100,MATCH($A99,'Master Stock'!$R$2:$R$100,0)),4,2)),VALUE(LEFT(INDEX('Master Stock'!$B$2:$B$100,MATCH($A99,'Master Stock'!$R$2:$R$100,0)),2))),"")))</f>
        <v/>
      </c>
      <c r="E99" s="41">
        <f>IF($A99="","",INDEX('Master Stock'!$G$2:$G$100,MATCH($A99,'Master Stock'!$R$2:$R$100,0)))</f>
        <v/>
      </c>
      <c r="F99" s="41">
        <f>IF($A99="","",INDEX('Master Stock'!$F$2:$F$100,MATCH($A99,'Master Stock'!$R$2:$R$100,0)))</f>
        <v/>
      </c>
      <c r="G99" s="41">
        <f>IF($A99="","","Rice / FRK RRA")</f>
        <v/>
      </c>
      <c r="H99" s="41">
        <f>IF($A99="","","FIFO - Oldest Receipt First")</f>
        <v/>
      </c>
    </row>
    <row r="100" ht="15" customHeight="1" s="42">
      <c r="A100" s="77">
        <f>IFERROR(IF(INDEX('Master Stock'!$R$2:$R$100,MATCH(98,'Master Stock'!$R$2:$R$100,0))="","",98),"")</f>
        <v/>
      </c>
      <c r="B100" s="41">
        <f>IF($A100="","",INDEX('Master Stock'!$C$2:$C$100,MATCH($A100,'Master Stock'!$R$2:$R$100,0)))</f>
        <v/>
      </c>
      <c r="C100" s="41">
        <f>IF($A100="","",INDEX('Master Stock'!$D$2:$D$100,MATCH($A100,'Master Stock'!$R$2:$R$100,0)))</f>
        <v/>
      </c>
      <c r="D100" s="77">
        <f>IF($A100="","",IF(ISNUMBER(INDEX('Master Stock'!$B$2:$B$100,MATCH($A100,'Master Stock'!$R$2:$R$100,0))),INDEX('Master Stock'!$B$2:$B$100,MATCH($A100,'Master Stock'!$R$2:$R$100,0)),IFERROR(DATE(2000+VALUE(RIGHT(INDEX('Master Stock'!$B$2:$B$100,MATCH($A100,'Master Stock'!$R$2:$R$100,0)),2)),VALUE(MID(INDEX('Master Stock'!$B$2:$B$100,MATCH($A100,'Master Stock'!$R$2:$R$100,0)),4,2)),VALUE(LEFT(INDEX('Master Stock'!$B$2:$B$100,MATCH($A100,'Master Stock'!$R$2:$R$100,0)),2))),"")))</f>
        <v/>
      </c>
      <c r="E100" s="41">
        <f>IF($A100="","",INDEX('Master Stock'!$G$2:$G$100,MATCH($A100,'Master Stock'!$R$2:$R$100,0)))</f>
        <v/>
      </c>
      <c r="F100" s="41">
        <f>IF($A100="","",INDEX('Master Stock'!$F$2:$F$100,MATCH($A100,'Master Stock'!$R$2:$R$100,0)))</f>
        <v/>
      </c>
      <c r="G100" s="41">
        <f>IF($A100="","","Rice / FRK RRA")</f>
        <v/>
      </c>
      <c r="H100" s="41">
        <f>IF($A100="","","FIFO - Oldest Receipt First")</f>
        <v/>
      </c>
    </row>
  </sheetData>
  <sheetProtection selectLockedCells="1" selectUnlockedCells="1" sheet="1" objects="0" insertRows="1" insertHyperlinks="1" autoFilter="1" scenarios="0" formatColumns="1" deleteColumns="1" insertColumns="1" pivotTables="1" deleteRows="1" formatCells="1" formatRows="1" sort="1"/>
  <autoFilter ref="A2:H100"/>
  <mergeCells count="1">
    <mergeCell ref="A1:H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2026-08-25T15:04:33Z</dcterms:created>
  <dcterms:modified xmlns:dcterms="http://purl.org/dc/terms/" xmlns:xsi="http://www.w3.org/2001/XMLSchema-instance" xsi:type="dcterms:W3CDTF">2026-08-26T07:21:12Z</dcterms:modified>
  <cp:revision>0</cp:revision>
</cp:coreProperties>
</file>